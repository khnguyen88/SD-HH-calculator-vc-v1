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Rainfall Settings" sheetId="2" r:id="rId2"/>
    <sheet name="Drainage Area" sheetId="3" r:id="rId3"/>
    <sheet name="TR-55 Segments" sheetId="4" r:id="rId4"/>
    <sheet name="Junction Structure" sheetId="5" r:id="rId5"/>
    <sheet name="Pipe Sizing" sheetId="6" r:id="rId6"/>
    <sheet name="Outlet Structures" sheetId="7" r:id="rId7"/>
    <sheet name="Outlet Devices" sheetId="8" r:id="rId8"/>
    <sheet name="Rating - Pond 1 Outlet" sheetId="9" r:id="rId9"/>
    <sheet name="Rating - Bioretention Outlet" sheetId="10" r:id="rId10"/>
    <sheet name="Table 4-6 Reference" sheetId="11" r:id="rId11"/>
    <sheet name="Kb Coefficients" sheetId="12" r:id="rId12"/>
    <sheet name="Inlet Spacing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<sst xmlns="http://schemas.openxmlformats.org/spreadsheetml/2006/main" count="2117" uniqueCount="310">
  <si>
    <t>Storm Drain Design Workflow</t>
  </si>
  <si>
    <t>Project:</t>
  </si>
  <si>
    <t>Untitled Storm Drain Project</t>
  </si>
  <si>
    <t>Exported:</t>
  </si>
  <si>
    <t>9/10/2026, 3:15:04 PM</t>
  </si>
  <si>
    <t>This workbook mirrors the Storm Drain Design Calculator web app: Drainage Areas feed</t>
  </si>
  <si>
    <t>Junction Structures, Pipes connect one structure to another, and the hydraulic grade line</t>
  </si>
  <si>
    <t>propagates upstream automatically from the outfall. Computed columns are live formulas.</t>
  </si>
  <si>
    <t>1. Drainage Area - Enter Area, C, i, Cf per catchment. Q = Cf x C x i x A.</t>
  </si>
  <si>
    <t>2. Junction Structure - Link a Drainage Area (optional) for Captured Q. Q from Pipes sums</t>
  </si>
  <si>
    <t xml:space="preserve">   every pipe in the Pipe Sizing sheet whose To-Structure is this row. Total Flow = both.</t>
  </si>
  <si>
    <t xml:space="preserve">   Hf/Hb/Upstream HGL chain automatically to the outfall through the pipe network. A Flow</t>
  </si>
  <si>
    <t xml:space="preserve">   Splitter type divides its Total Flow between a Primary and Secondary outgoing pipe,</t>
  </si>
  <si>
    <t xml:space="preserve">   either capacity-limited (Primary = MIN(Total,Capacity)) or by a fixed ratio.</t>
  </si>
  <si>
    <t>3. Pipe Sizing - Pick From/To structure IDs (must match Junction Structure sheet IDs) and</t>
  </si>
  <si>
    <t xml:space="preserve">   an angle. Design Q is looked up live from the From structure's Total Flow (or its</t>
  </si>
  <si>
    <t xml:space="preserve">   Primary/Secondary split share, via the Split Role column, when From is a Flow Splitter).</t>
  </si>
  <si>
    <t>4. Outlet Structures - One row per BMP/SWM/ESD facility (its own stage range &amp; tailwater</t>
  </si>
  <si>
    <t xml:space="preserve">   config). Outlet Devices lists every Orifice/Weir/Pipe, tagged by which facility it</t>
  </si>
  <si>
    <t xml:space="preserve">   belongs to. Each facility gets its own "Rating - &lt;label&gt;" sheet with every device's flow</t>
  </si>
  <si>
    <t xml:space="preserve">   and the combined total at every stage - facilities never mix. Tailwater can link to a</t>
  </si>
  <si>
    <t xml:space="preserve">   Junction Structure's live Upstream HGL.</t>
  </si>
  <si>
    <t>5. Table 4-6 Reference / 6. Kb Coefficients - supporting reference data (Kb is editable;</t>
  </si>
  <si>
    <t xml:space="preserve">   Load MoCo Preset button on the Kb Coefficients tab to load MoCo agency values).</t>
  </si>
  <si>
    <t>7. TR-55 Segments - optional TC calculation. 8. Inlet Spacing - HEC-22 grate-inlet on-grade</t>
  </si>
  <si>
    <t xml:space="preserve">   spacing with bypass carryover. Each inlet's Q = (local CA + bypass CA in) x i, where</t>
  </si>
  <si>
    <t xml:space="preserve">   carried bypass is CA (not Q) - the receiving inlet applies its own intensity. SUMP inlets</t>
  </si>
  <si>
    <t xml:space="preserve">   capture 100%. Global settings: rainfall source (NOAA Atlas 14 per county / MDSHA / MoCo),</t>
  </si>
  <si>
    <t xml:space="preserve">   storm frequency, and default allowable spread. Per-inlet: L, W, a, n, S, Sx, i override.</t>
  </si>
  <si>
    <t>Note: Kb, structure-loss (Hb), and Rating sheet device flows are computed by the app</t>
  </si>
  <si>
    <t>(controlling-angle method; exact circular-segment orifice math; Villemonte weir submergence)</t>
  </si>
  <si>
    <t>and written as values you can override, while Total Flow, Design Q, Hf, split shares, and</t>
  </si>
  <si>
    <t>Upstream HGL remain live formulas that recalc as you edit inputs.</t>
  </si>
  <si>
    <t>Rainfall Source</t>
  </si>
  <si>
    <t>moco</t>
  </si>
  <si>
    <t>County</t>
  </si>
  <si>
    <t>Montgomery</t>
  </si>
  <si>
    <t>Pipe &amp; HGL Design Storm</t>
  </si>
  <si>
    <t>10yr</t>
  </si>
  <si>
    <t>25-yr Check</t>
  </si>
  <si>
    <t>FALSE</t>
  </si>
  <si>
    <t>Inlet Design Storm</t>
  </si>
  <si>
    <t>Custom NOAA 5-min (in/hr)</t>
  </si>
  <si>
    <t/>
  </si>
  <si>
    <t>Custom NOAA 10-min (in/hr)</t>
  </si>
  <si>
    <t>Custom NOAA 15-min (in/hr)</t>
  </si>
  <si>
    <t>Custom NOAA 30-min (in/hr)</t>
  </si>
  <si>
    <t>Custom NOAA 60-min (in/hr)</t>
  </si>
  <si>
    <t>ID</t>
  </si>
  <si>
    <t>Description</t>
  </si>
  <si>
    <t>Area A (ac)</t>
  </si>
  <si>
    <t>C</t>
  </si>
  <si>
    <t>CA</t>
  </si>
  <si>
    <t>i Override (in/hr)</t>
  </si>
  <si>
    <t>Tc (min)</t>
  </si>
  <si>
    <t>Cf</t>
  </si>
  <si>
    <t>Tc Method</t>
  </si>
  <si>
    <t>Structure</t>
  </si>
  <si>
    <t>Q_2yr (cfs)</t>
  </si>
  <si>
    <t>Q_5yr (cfs)</t>
  </si>
  <si>
    <t>Q_10yr (cfs)</t>
  </si>
  <si>
    <t>EX-I-1</t>
  </si>
  <si>
    <t>Existing Inlet EX-I-1</t>
  </si>
  <si>
    <t>direct</t>
  </si>
  <si>
    <t>EX-I-2</t>
  </si>
  <si>
    <t>Existing Inlet EX-I-2</t>
  </si>
  <si>
    <t>I-1</t>
  </si>
  <si>
    <t>Inlet I-1</t>
  </si>
  <si>
    <t>I-2</t>
  </si>
  <si>
    <t>Inlet I-2</t>
  </si>
  <si>
    <t>I-3</t>
  </si>
  <si>
    <t>Inlet I-3</t>
  </si>
  <si>
    <t>I-4</t>
  </si>
  <si>
    <t>Inlet I-4</t>
  </si>
  <si>
    <t>I-5</t>
  </si>
  <si>
    <t>Inlet I-5</t>
  </si>
  <si>
    <t>I-6</t>
  </si>
  <si>
    <t>Inlet I-6</t>
  </si>
  <si>
    <t>I-7</t>
  </si>
  <si>
    <t>Inlet I-7</t>
  </si>
  <si>
    <t>Drainage Area</t>
  </si>
  <si>
    <t>Order</t>
  </si>
  <si>
    <t>Type</t>
  </si>
  <si>
    <t>n</t>
  </si>
  <si>
    <t>L (ft)</t>
  </si>
  <si>
    <t>s (ft/ft)</t>
  </si>
  <si>
    <t>P2 (in)</t>
  </si>
  <si>
    <t>Surface</t>
  </si>
  <si>
    <t>Area a (sf)</t>
  </si>
  <si>
    <t>Wetted Perimeter Pw (ft)</t>
  </si>
  <si>
    <t>Structure ID</t>
  </si>
  <si>
    <t>Drainage Area ID</t>
  </si>
  <si>
    <t>Force Fixed</t>
  </si>
  <si>
    <t>Fixed-Start Elev (ft)</t>
  </si>
  <si>
    <t>Crown Elev (ft)</t>
  </si>
  <si>
    <t>Rim-Grate Elev (ft)</t>
  </si>
  <si>
    <t>Captured Q (cfs)</t>
  </si>
  <si>
    <t>Q from Pipes (cfs)</t>
  </si>
  <si>
    <t>Total Flow (cfs)</t>
  </si>
  <si>
    <t>Outgoing Pipe ID</t>
  </si>
  <si>
    <t>Hf (ft)</t>
  </si>
  <si>
    <t>Kb</t>
  </si>
  <si>
    <t>Hb (ft)</t>
  </si>
  <si>
    <t>Vout (fps)</t>
  </si>
  <si>
    <t>Upstream HGL (ft)</t>
  </si>
  <si>
    <t>Downstream Structure ID</t>
  </si>
  <si>
    <t>Crown Check</t>
  </si>
  <si>
    <t>Rim Check</t>
  </si>
  <si>
    <t>Split Method</t>
  </si>
  <si>
    <t>Split Capacity (cfs)</t>
  </si>
  <si>
    <t>Split Ratio (0-1)</t>
  </si>
  <si>
    <t>inlet</t>
  </si>
  <si>
    <t>p1</t>
  </si>
  <si>
    <t>MH-3</t>
  </si>
  <si>
    <t>OK</t>
  </si>
  <si>
    <t>Manhole MH-3</t>
  </si>
  <si>
    <t>manhole</t>
  </si>
  <si>
    <t>p2</t>
  </si>
  <si>
    <t>MH-2</t>
  </si>
  <si>
    <t>Manhole MH-2</t>
  </si>
  <si>
    <t>p3</t>
  </si>
  <si>
    <t>p4</t>
  </si>
  <si>
    <t>p5</t>
  </si>
  <si>
    <t>MH-1</t>
  </si>
  <si>
    <t>p6</t>
  </si>
  <si>
    <t>Manhole MH-1</t>
  </si>
  <si>
    <t>p7</t>
  </si>
  <si>
    <t>p8</t>
  </si>
  <si>
    <t>CULVERT-A</t>
  </si>
  <si>
    <t>p9</t>
  </si>
  <si>
    <t>Outfall Culvert A</t>
  </si>
  <si>
    <t>outfall</t>
  </si>
  <si>
    <t>p10</t>
  </si>
  <si>
    <t>p11</t>
  </si>
  <si>
    <t>p12</t>
  </si>
  <si>
    <t>CULVERT-B</t>
  </si>
  <si>
    <t>Outfall Culvert B</t>
  </si>
  <si>
    <t>From Structure</t>
  </si>
  <si>
    <t>To Structure</t>
  </si>
  <si>
    <t>Angle (deg)</t>
  </si>
  <si>
    <t>Shape</t>
  </si>
  <si>
    <t>Size (in or SPANxRISE)</t>
  </si>
  <si>
    <t>Slope (ft-ft)</t>
  </si>
  <si>
    <t>Length (ft)</t>
  </si>
  <si>
    <t>Design Q (cfs)</t>
  </si>
  <si>
    <t>Area (sf)</t>
  </si>
  <si>
    <t>Qfull (cfs)</t>
  </si>
  <si>
    <t>Velocity (fps)</t>
  </si>
  <si>
    <t>Status</t>
  </si>
  <si>
    <t>Split Role</t>
  </si>
  <si>
    <t>From|Role Key</t>
  </si>
  <si>
    <t>circular</t>
  </si>
  <si>
    <t>12</t>
  </si>
  <si>
    <t>PASS</t>
  </si>
  <si>
    <t>I-3|primary</t>
  </si>
  <si>
    <t>MH-3|primary</t>
  </si>
  <si>
    <t>MH-2|primary</t>
  </si>
  <si>
    <t>I-1|primary</t>
  </si>
  <si>
    <t>15</t>
  </si>
  <si>
    <t>I-2|primary</t>
  </si>
  <si>
    <t>21</t>
  </si>
  <si>
    <t>EX-I-2|primary</t>
  </si>
  <si>
    <t>24</t>
  </si>
  <si>
    <t>MH-1|primary</t>
  </si>
  <si>
    <t>EX-I-1|primary</t>
  </si>
  <si>
    <t>I-7|primary</t>
  </si>
  <si>
    <t>I-6|primary</t>
  </si>
  <si>
    <t>18</t>
  </si>
  <si>
    <t>I-5|primary</t>
  </si>
  <si>
    <t>I-4|primary</t>
  </si>
  <si>
    <t>Outlet Structure ID</t>
  </si>
  <si>
    <t>Label</t>
  </si>
  <si>
    <t>Precision Mode</t>
  </si>
  <si>
    <t>Start Elevation (ft)</t>
  </si>
  <si>
    <t>End Elevation (ft)</t>
  </si>
  <si>
    <t>Coarse Increment (ft)</t>
  </si>
  <si>
    <t>Fine Increment (ft)</t>
  </si>
  <si>
    <t>Fine Band +/- (ft)</t>
  </si>
  <si>
    <t>Tailwater Mode</t>
  </si>
  <si>
    <t>Tailwater Fixed Elevation (ft)</t>
  </si>
  <si>
    <t>Tailwater Linked Structure ID</t>
  </si>
  <si>
    <t>Pond 1 Outlet</t>
  </si>
  <si>
    <t>Primary detention outlet, discharges via ST-J/OUTFALL</t>
  </si>
  <si>
    <t>individual</t>
  </si>
  <si>
    <t>linked</t>
  </si>
  <si>
    <t>Bioretention Outlet</t>
  </si>
  <si>
    <t>Separate BMP, independent stage range and tailwater</t>
  </si>
  <si>
    <t>uniform</t>
  </si>
  <si>
    <t>none</t>
  </si>
  <si>
    <t>Device ID</t>
  </si>
  <si>
    <t>Outlet Structure</t>
  </si>
  <si>
    <t>Invert (ft)</t>
  </si>
  <si>
    <t>Crest (ft)</t>
  </si>
  <si>
    <t>Diameter (in)</t>
  </si>
  <si>
    <t>Diameter Unit</t>
  </si>
  <si>
    <t>Length Unit</t>
  </si>
  <si>
    <t>Weir Shape</t>
  </si>
  <si>
    <t>Notch Angle (deg)</t>
  </si>
  <si>
    <t>Coefficient</t>
  </si>
  <si>
    <t>Fine Override Enabled</t>
  </si>
  <si>
    <t>Fine Increment Override (ft)</t>
  </si>
  <si>
    <t>Fine Band Override (ft)</t>
  </si>
  <si>
    <t>Notes</t>
  </si>
  <si>
    <t>r18</t>
  </si>
  <si>
    <t>Low-flow orifice</t>
  </si>
  <si>
    <t>orifice</t>
  </si>
  <si>
    <t>in</t>
  </si>
  <si>
    <t>TRUE</t>
  </si>
  <si>
    <t>WQv / Cpv control</t>
  </si>
  <si>
    <t>r19</t>
  </si>
  <si>
    <t>Overflow weir</t>
  </si>
  <si>
    <t>weir</t>
  </si>
  <si>
    <t>ft</t>
  </si>
  <si>
    <t>rect</t>
  </si>
  <si>
    <t>Qp10 control</t>
  </si>
  <si>
    <t>r20</t>
  </si>
  <si>
    <t>Emergency spillway</t>
  </si>
  <si>
    <t>Qf/overtopping protection</t>
  </si>
  <si>
    <t>r22</t>
  </si>
  <si>
    <t>Underdrain orifice</t>
  </si>
  <si>
    <t>WQv control</t>
  </si>
  <si>
    <t>r23</t>
  </si>
  <si>
    <t>Bypass</t>
  </si>
  <si>
    <t>Stage (ft)</t>
  </si>
  <si>
    <t>Tailwater (ft)</t>
  </si>
  <si>
    <t>Low-flow orifice alpha (deg)</t>
  </si>
  <si>
    <t>Low-flow orifice A (sf)</t>
  </si>
  <si>
    <t>Low-flow orifice Centroid abv invert (ft)</t>
  </si>
  <si>
    <t>Low-flow orifice Head to centroid (ft)</t>
  </si>
  <si>
    <t>Low-flow orifice Regime</t>
  </si>
  <si>
    <t>Low-flow orifice Q (cfs)</t>
  </si>
  <si>
    <t>Overflow weir alpha (deg)</t>
  </si>
  <si>
    <t>Overflow weir A (sf)</t>
  </si>
  <si>
    <t>Overflow weir Centroid abv invert (ft)</t>
  </si>
  <si>
    <t>Overflow weir Head to centroid (ft)</t>
  </si>
  <si>
    <t>Overflow weir Regime</t>
  </si>
  <si>
    <t>Overflow weir Q (cfs)</t>
  </si>
  <si>
    <t>Emergency spillway alpha (deg)</t>
  </si>
  <si>
    <t>Emergency spillway A (sf)</t>
  </si>
  <si>
    <t>Emergency spillway Centroid abv invert (ft)</t>
  </si>
  <si>
    <t>Emergency spillway Head to centroid (ft)</t>
  </si>
  <si>
    <t>Emergency spillway Regime</t>
  </si>
  <si>
    <t>Emergency spillway Q (cfs)</t>
  </si>
  <si>
    <t>Total Q (cfs)</t>
  </si>
  <si>
    <t>dry</t>
  </si>
  <si>
    <t>partial</t>
  </si>
  <si>
    <t>full</t>
  </si>
  <si>
    <t>free</t>
  </si>
  <si>
    <t>Underdrain orifice alpha (deg)</t>
  </si>
  <si>
    <t>Underdrain orifice A (sf)</t>
  </si>
  <si>
    <t>Underdrain orifice Centroid abv invert (ft)</t>
  </si>
  <si>
    <t>Underdrain orifice Head to centroid (ft)</t>
  </si>
  <si>
    <t>Underdrain orifice Regime</t>
  </si>
  <si>
    <t>Underdrain orifice Q (cfs)</t>
  </si>
  <si>
    <t>Circular Diameter (in)</t>
  </si>
  <si>
    <t>Circular Area (sf)</t>
  </si>
  <si>
    <t>Elliptical Span x Rise (in)</t>
  </si>
  <si>
    <t>Elliptical Area (sf)</t>
  </si>
  <si>
    <t>23x14</t>
  </si>
  <si>
    <t>30x19</t>
  </si>
  <si>
    <t>34x22</t>
  </si>
  <si>
    <t>38x24</t>
  </si>
  <si>
    <t>42x27</t>
  </si>
  <si>
    <t>45x29</t>
  </si>
  <si>
    <t>53x34</t>
  </si>
  <si>
    <t>60x38</t>
  </si>
  <si>
    <t>68x43</t>
  </si>
  <si>
    <t>76x48</t>
  </si>
  <si>
    <t>83x53</t>
  </si>
  <si>
    <t>91x58</t>
  </si>
  <si>
    <t>98x63</t>
  </si>
  <si>
    <t>106x68</t>
  </si>
  <si>
    <t>113x72</t>
  </si>
  <si>
    <t>121x77</t>
  </si>
  <si>
    <t>128x82</t>
  </si>
  <si>
    <t>136x87</t>
  </si>
  <si>
    <t>143x92</t>
  </si>
  <si>
    <t>151x97</t>
  </si>
  <si>
    <t>166x106</t>
  </si>
  <si>
    <t>180x116</t>
  </si>
  <si>
    <t>Kb - Inlet</t>
  </si>
  <si>
    <t>Kb - Manhole</t>
  </si>
  <si>
    <t>Kb - Bend</t>
  </si>
  <si>
    <t>Street</t>
  </si>
  <si>
    <t>Second Avenue / MD 410</t>
  </si>
  <si>
    <t>Default Allowable Spread (ft)</t>
  </si>
  <si>
    <t>8</t>
  </si>
  <si>
    <t>Linked Structure</t>
  </si>
  <si>
    <t>Structure Type</t>
  </si>
  <si>
    <t>Area (ac)</t>
  </si>
  <si>
    <t>S</t>
  </si>
  <si>
    <t>Sx</t>
  </si>
  <si>
    <t>W (ft)</t>
  </si>
  <si>
    <t>a (ft)</t>
  </si>
  <si>
    <t>Allowable Spread (ft)</t>
  </si>
  <si>
    <t>Bypass To</t>
  </si>
  <si>
    <t>Q (cfs)</t>
  </si>
  <si>
    <t>Spread T (ft)</t>
  </si>
  <si>
    <t>Pickup (%)</t>
  </si>
  <si>
    <t>Bypass CA out</t>
  </si>
  <si>
    <t>SUMP</t>
  </si>
  <si>
    <t>0.055</t>
  </si>
  <si>
    <t>0.040</t>
  </si>
  <si>
    <t>0.044</t>
  </si>
  <si>
    <t>0.0219</t>
  </si>
  <si>
    <t>0.019</t>
  </si>
  <si>
    <t>0.027</t>
  </si>
  <si>
    <t>0.054</t>
  </si>
  <si>
    <t>0.026</t>
  </si>
  <si>
    <t>0.0291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</si>
</sst>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100.83203125" customWidth="1"/>
  </cols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1">
      <c r="A31" t="s">
        <v>29</v>
      </c>
    </row>
    <row r="32">
      <c r="A32" t="s">
        <v>30</v>
      </c>
    </row>
    <row r="33">
      <c r="A33" t="s">
        <v>31</v>
      </c>
    </row>
    <row r="34">
      <c r="A34" t="s">
        <v>32</v>
      </c>
    </row>
  </sheetData>
  <ignoredErrors>
    <ignoredError numberStoredAsText="1" sqref="A1:B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20.83203125" customWidth="1"/>
  </cols>
  <sheetData>
    <row r="1">
      <c r="A1" t="s">
        <v>33</v>
      </c>
      <c r="B1" t="s">
        <v>34</v>
      </c>
    </row>
    <row r="2">
      <c r="A2" t="s">
        <v>35</v>
      </c>
      <c r="B2" t="s">
        <v>36</v>
      </c>
    </row>
    <row r="3">
      <c r="A3" t="s">
        <v>37</v>
      </c>
      <c r="B3" t="s">
        <v>38</v>
      </c>
    </row>
    <row r="4">
      <c r="A4" t="s">
        <v>39</v>
      </c>
      <c r="B4" t="s">
        <v>40</v>
      </c>
    </row>
    <row r="5">
      <c r="A5" t="s">
        <v>41</v>
      </c>
      <c r="B5" t="s">
        <v>38</v>
      </c>
    </row>
    <row r="6">
      <c r="A6" t="s">
        <v>42</v>
      </c>
      <c r="B6" t="s">
        <v>43</v>
      </c>
    </row>
    <row r="7">
      <c r="A7" t="s">
        <v>44</v>
      </c>
      <c r="B7" t="s">
        <v>43</v>
      </c>
    </row>
    <row r="8">
      <c r="A8" t="s">
        <v>45</v>
      </c>
      <c r="B8" t="s">
        <v>43</v>
      </c>
    </row>
    <row r="9">
      <c r="A9" t="s">
        <v>46</v>
      </c>
      <c r="B9" t="s">
        <v>43</v>
      </c>
    </row>
    <row r="10">
      <c r="A10" t="s">
        <v>47</v>
      </c>
      <c r="B10" t="s">
        <v>43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2.83203125" customWidth="1"/>
    <col min="2" max="2" width="26.83203125" customWidth="1"/>
    <col min="3" max="3" width="11.83203125" customWidth="1"/>
    <col min="4" max="4" width="8.83203125" customWidth="1"/>
    <col min="5" max="5" width="8.83203125" customWidth="1"/>
    <col min="6" max="6" width="14.83203125" customWidth="1"/>
    <col min="7" max="7" width="9.83203125" customWidth="1"/>
    <col min="8" max="8" width="7.83203125" customWidth="1"/>
    <col min="9" max="9" width="11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61</v>
      </c>
      <c r="B2" t="s">
        <v>62</v>
      </c>
      <c r="C2">
        <v>0.055</v>
      </c>
      <c r="D2">
        <v>0.8491</v>
      </c>
      <c r="E2">
        <v>0.047</v>
      </c>
      <c r="F2" t="s">
        <v>43</v>
      </c>
      <c r="G2">
        <v>5</v>
      </c>
      <c r="H2">
        <v>1</v>
      </c>
      <c r="I2" t="s">
        <v>63</v>
      </c>
      <c r="J2" t="s">
        <v>61</v>
      </c>
      <c r="K2">
        <v>0.258</v>
      </c>
      <c r="L2">
        <v>0.298</v>
      </c>
      <c r="M2">
        <v>0.33</v>
      </c>
    </row>
    <row r="3">
      <c r="A3" t="s">
        <v>64</v>
      </c>
      <c r="B3" t="s">
        <v>65</v>
      </c>
      <c r="C3">
        <v>2.0137</v>
      </c>
      <c r="D3">
        <v>0.5821</v>
      </c>
      <c r="E3">
        <v>1.172</v>
      </c>
      <c r="F3" t="s">
        <v>43</v>
      </c>
      <c r="G3">
        <v>10</v>
      </c>
      <c r="H3">
        <v>1</v>
      </c>
      <c r="I3" t="s">
        <v>63</v>
      </c>
      <c r="J3" t="s">
        <v>64</v>
      </c>
      <c r="K3">
        <v>5.017</v>
      </c>
      <c r="L3">
        <v>6.048</v>
      </c>
      <c r="M3">
        <v>6.857</v>
      </c>
    </row>
    <row r="4">
      <c r="A4" t="s">
        <v>66</v>
      </c>
      <c r="B4" t="s">
        <v>67</v>
      </c>
      <c r="C4">
        <v>0.1859</v>
      </c>
      <c r="D4">
        <v>0.7686</v>
      </c>
      <c r="E4">
        <v>0.143</v>
      </c>
      <c r="F4" t="s">
        <v>43</v>
      </c>
      <c r="G4">
        <v>7</v>
      </c>
      <c r="H4">
        <v>1</v>
      </c>
      <c r="I4" t="s">
        <v>63</v>
      </c>
      <c r="J4" t="s">
        <v>66</v>
      </c>
      <c r="K4">
        <v>0.718</v>
      </c>
      <c r="L4">
        <v>0.843</v>
      </c>
      <c r="M4">
        <v>0.94</v>
      </c>
    </row>
    <row r="5">
      <c r="A5" t="s">
        <v>68</v>
      </c>
      <c r="B5" t="s">
        <v>69</v>
      </c>
      <c r="C5">
        <v>0.2143</v>
      </c>
      <c r="D5">
        <v>0.8404</v>
      </c>
      <c r="E5">
        <v>0.18</v>
      </c>
      <c r="F5" t="s">
        <v>43</v>
      </c>
      <c r="G5">
        <v>5</v>
      </c>
      <c r="H5">
        <v>1</v>
      </c>
      <c r="I5" t="s">
        <v>63</v>
      </c>
      <c r="J5" t="s">
        <v>68</v>
      </c>
      <c r="K5">
        <v>0.994</v>
      </c>
      <c r="L5">
        <v>1.151</v>
      </c>
      <c r="M5">
        <v>1.273</v>
      </c>
    </row>
    <row r="6">
      <c r="A6" t="s">
        <v>70</v>
      </c>
      <c r="B6" t="s">
        <v>71</v>
      </c>
      <c r="C6">
        <v>0.3315</v>
      </c>
      <c r="D6">
        <v>0.5588</v>
      </c>
      <c r="E6">
        <v>0.185</v>
      </c>
      <c r="F6" t="s">
        <v>43</v>
      </c>
      <c r="G6">
        <v>10</v>
      </c>
      <c r="H6">
        <v>1</v>
      </c>
      <c r="I6" t="s">
        <v>63</v>
      </c>
      <c r="J6" t="s">
        <v>70</v>
      </c>
      <c r="K6">
        <v>0.793</v>
      </c>
      <c r="L6">
        <v>0.956</v>
      </c>
      <c r="M6">
        <v>1.084</v>
      </c>
    </row>
    <row r="7">
      <c r="A7" t="s">
        <v>72</v>
      </c>
      <c r="B7" t="s">
        <v>73</v>
      </c>
      <c r="C7">
        <v>0.0771</v>
      </c>
      <c r="D7">
        <v>0.8698</v>
      </c>
      <c r="E7">
        <v>0.067</v>
      </c>
      <c r="F7" t="s">
        <v>43</v>
      </c>
      <c r="G7">
        <v>5</v>
      </c>
      <c r="H7">
        <v>1</v>
      </c>
      <c r="I7" t="s">
        <v>63</v>
      </c>
      <c r="J7" t="s">
        <v>72</v>
      </c>
      <c r="K7">
        <v>0.37</v>
      </c>
      <c r="L7">
        <v>0.429</v>
      </c>
      <c r="M7">
        <v>0.474</v>
      </c>
    </row>
    <row r="8">
      <c r="A8" t="s">
        <v>74</v>
      </c>
      <c r="B8" t="s">
        <v>75</v>
      </c>
      <c r="C8">
        <v>0.6656</v>
      </c>
      <c r="D8">
        <v>0.6542</v>
      </c>
      <c r="E8">
        <v>0.435</v>
      </c>
      <c r="F8" t="s">
        <v>43</v>
      </c>
      <c r="G8">
        <v>7</v>
      </c>
      <c r="H8">
        <v>1</v>
      </c>
      <c r="I8" t="s">
        <v>63</v>
      </c>
      <c r="J8" t="s">
        <v>74</v>
      </c>
      <c r="K8">
        <v>2.188</v>
      </c>
      <c r="L8">
        <v>2.568</v>
      </c>
      <c r="M8">
        <v>2.866</v>
      </c>
    </row>
    <row r="9">
      <c r="A9" t="s">
        <v>76</v>
      </c>
      <c r="B9" t="s">
        <v>77</v>
      </c>
      <c r="C9">
        <v>0.2576</v>
      </c>
      <c r="D9">
        <v>0.6082</v>
      </c>
      <c r="E9">
        <v>0.157</v>
      </c>
      <c r="F9" t="s">
        <v>43</v>
      </c>
      <c r="G9">
        <v>10</v>
      </c>
      <c r="H9">
        <v>1</v>
      </c>
      <c r="I9" t="s">
        <v>63</v>
      </c>
      <c r="J9" t="s">
        <v>76</v>
      </c>
      <c r="K9">
        <v>0.671</v>
      </c>
      <c r="L9">
        <v>0.808</v>
      </c>
      <c r="M9">
        <v>0.917</v>
      </c>
    </row>
    <row r="10">
      <c r="A10" t="s">
        <v>78</v>
      </c>
      <c r="B10" t="s">
        <v>79</v>
      </c>
      <c r="C10">
        <v>2.4604</v>
      </c>
      <c r="D10">
        <v>0.5779</v>
      </c>
      <c r="E10">
        <v>1.422</v>
      </c>
      <c r="F10" t="s">
        <v>43</v>
      </c>
      <c r="G10">
        <v>10</v>
      </c>
      <c r="H10">
        <v>1</v>
      </c>
      <c r="I10" t="s">
        <v>63</v>
      </c>
      <c r="J10" t="s">
        <v>78</v>
      </c>
      <c r="K10">
        <v>6.086</v>
      </c>
      <c r="L10">
        <v>7.337</v>
      </c>
      <c r="M10">
        <v>8.318</v>
      </c>
    </row>
  </sheetData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8.83203125" customWidth="1"/>
    <col min="3" max="3" width="10.83203125" customWidth="1"/>
    <col min="4" max="4" width="9.83203125" customWidth="1"/>
    <col min="5" max="5" width="9.83203125" customWidth="1"/>
    <col min="6" max="6" width="11.83203125" customWidth="1"/>
    <col min="7" max="7" width="9.83203125" customWidth="1"/>
    <col min="8" max="8" width="14.83203125" customWidth="1"/>
    <col min="9" max="9" width="11.83203125" customWidth="1"/>
    <col min="10" max="10" width="15.83203125" customWidth="1"/>
  </cols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</cols>
  <sheetData>
    <row r="1">
      <c r="A1" t="s">
        <v>90</v>
      </c>
      <c r="B1" t="s">
        <v>49</v>
      </c>
      <c r="C1" t="s">
        <v>91</v>
      </c>
      <c r="D1" t="s">
        <v>82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</row>
    <row r="2">
      <c r="A2" t="s">
        <v>70</v>
      </c>
      <c r="B2" t="s">
        <v>71</v>
      </c>
      <c r="C2" t="s">
        <v>70</v>
      </c>
      <c r="D2" t="s">
        <v>111</v>
      </c>
      <c r="E2" t="s">
        <v>40</v>
      </c>
      <c r="F2" t="s">
        <v>43</v>
      </c>
      <c r="G2">
        <v>71</v>
      </c>
      <c r="H2">
        <v>313.1</v>
      </c>
      <c r="I2">
        <f>IF(C2="",0,IFERROR(INDEX('Drainage Area'!H:H,MATCH(C2,'Drainage Area'!A:A,0)),0))</f>
        <v>1.0837</v>
      </c>
      <c r="J2">
        <f>SUMIF('Pipe Sizing'!C:C,A2,'Pipe Sizing'!J:J)</f>
        <v>0</v>
      </c>
      <c r="K2">
        <f>I2+J2</f>
        <v>1.0837</v>
      </c>
      <c r="L2" t="s">
        <f>IFERROR(INDEX('Pipe Sizing'!A:A,MATCH(A2&amp;"|primary",'Pipe Sizing'!P:P,0)),"")</f>
        <v>112</v>
      </c>
      <c r="M2">
        <f>IF(IFERROR(INDEX('Pipe Sizing'!K:K,MATCH(L2,'Pipe Sizing'!A:A,0)),0)=0,0,(((IFERROR(INDEX('Pipe Sizing'!J:J,MATCH(L2,'Pipe Sizing'!A:A,0)),0))*IFERROR(INDEX('Pipe Sizing'!G:G,MATCH(L2,'Pipe Sizing'!A:A,0)),0.013))/(1.486*(IFERROR(INDEX('Pipe Sizing'!K:K,MATCH(L2,'Pipe Sizing'!A:A,0)),0))*(((((IFERROR(INDEX('Pipe Sizing'!K:K,MATCH(L2,'Pipe Sizing'!A:A,0)),0))/PI())^0.5)/2)^(2/3))))^2*IFERROR(INDEX('Pipe Sizing'!I:I,MATCH(L2,'Pipe Sizing'!A:A,0)),0)</f>
        <v>0.0217</v>
      </c>
      <c r="N2">
        <v>0.06</v>
      </c>
      <c r="O2">
        <f>N2*P2^2/(2*32.2)</f>
        <v>0.0018</v>
      </c>
      <c r="P2">
        <f>IF(IFERROR(INDEX('Pipe Sizing'!K:K,MATCH(L2,'Pipe Sizing'!A:A,0)),0)=0,0,K2/(IFERROR(INDEX('Pipe Sizing'!K:K,MATCH(L2,'Pipe Sizing'!A:A,0)),0)))</f>
        <v>1.38</v>
      </c>
      <c r="Q2">
        <f>IF(OR(E2="TRUE",R2=""),F2,IFERROR(INDEX(Q:Q,MATCH(R2,A:A,0)),F2)+M2+O2)</f>
        <v>0.451</v>
      </c>
      <c r="R2" t="s">
        <f>IFERROR(INDEX('Pipe Sizing'!C:C,MATCH(L2,'Pipe Sizing'!A:A,0)),"")</f>
        <v>113</v>
      </c>
      <c r="S2" t="s">
        <f>IF(G2="","",IF(Q2&lt;=G2+1,"OK","EXCEEDS"))</f>
        <v>114</v>
      </c>
      <c r="T2" t="s">
        <f>IF(H2="","",IF(Q2&lt;=H2-1,"OK","EXCEEDS"))</f>
        <v>114</v>
      </c>
      <c r="U2" t="s">
        <v>43</v>
      </c>
      <c r="V2" t="s">
        <v>43</v>
      </c>
      <c r="W2" t="s">
        <v>43</v>
      </c>
    </row>
    <row r="3">
      <c r="A3" t="s">
        <v>113</v>
      </c>
      <c r="B3" t="s">
        <v>115</v>
      </c>
      <c r="C3" t="s">
        <v>43</v>
      </c>
      <c r="D3" t="s">
        <v>116</v>
      </c>
      <c r="E3" t="s">
        <v>40</v>
      </c>
      <c r="F3" t="s">
        <v>43</v>
      </c>
      <c r="G3">
        <v>70.8</v>
      </c>
      <c r="H3">
        <v>300</v>
      </c>
      <c r="I3">
        <f>IF(C3="",0,IFERROR(INDEX('Drainage Area'!H:H,MATCH(C3,'Drainage Area'!A:A,0)),0))</f>
        <v>0</v>
      </c>
      <c r="J3">
        <f>SUMIF('Pipe Sizing'!C:C,A3,'Pipe Sizing'!J:J)</f>
        <v>1.0837</v>
      </c>
      <c r="K3">
        <f>I3+J3</f>
        <v>1.0837</v>
      </c>
      <c r="L3" t="s">
        <f>IFERROR(INDEX('Pipe Sizing'!A:A,MATCH(A3&amp;"|primary",'Pipe Sizing'!P:P,0)),"")</f>
        <v>117</v>
      </c>
      <c r="M3">
        <f>IF(IFERROR(INDEX('Pipe Sizing'!K:K,MATCH(L3,'Pipe Sizing'!A:A,0)),0)=0,0,(((IFERROR(INDEX('Pipe Sizing'!J:J,MATCH(L3,'Pipe Sizing'!A:A,0)),0))*IFERROR(INDEX('Pipe Sizing'!G:G,MATCH(L3,'Pipe Sizing'!A:A,0)),0.013))/(1.486*(IFERROR(INDEX('Pipe Sizing'!K:K,MATCH(L3,'Pipe Sizing'!A:A,0)),0))*(((((IFERROR(INDEX('Pipe Sizing'!K:K,MATCH(L3,'Pipe Sizing'!A:A,0)),0))/PI())^0.5)/2)^(2/3))))^2*IFERROR(INDEX('Pipe Sizing'!I:I,MATCH(L3,'Pipe Sizing'!A:A,0)),0)</f>
        <v>0.0521</v>
      </c>
      <c r="N3">
        <v>0.06</v>
      </c>
      <c r="O3">
        <f>N3*P3^2/(2*32.2)</f>
        <v>0.0018</v>
      </c>
      <c r="P3">
        <f>IF(IFERROR(INDEX('Pipe Sizing'!K:K,MATCH(L3,'Pipe Sizing'!A:A,0)),0)=0,0,K3/(IFERROR(INDEX('Pipe Sizing'!K:K,MATCH(L3,'Pipe Sizing'!A:A,0)),0)))</f>
        <v>1.38</v>
      </c>
      <c r="Q3">
        <f>IF(OR(E3="TRUE",R3=""),F3,IFERROR(INDEX(Q:Q,MATCH(R3,A:A,0)),F3)+M3+O3)</f>
        <v>0.427</v>
      </c>
      <c r="R3" t="s">
        <f>IFERROR(INDEX('Pipe Sizing'!C:C,MATCH(L3,'Pipe Sizing'!A:A,0)),"")</f>
        <v>118</v>
      </c>
      <c r="S3" t="s">
        <f>IF(G3="","",IF(Q3&lt;=G3+1,"OK","EXCEEDS"))</f>
        <v>114</v>
      </c>
      <c r="T3" t="s">
        <f>IF(H3="","",IF(Q3&lt;=H3-1,"OK","EXCEEDS"))</f>
        <v>114</v>
      </c>
      <c r="U3" t="s">
        <v>43</v>
      </c>
      <c r="V3" t="s">
        <v>43</v>
      </c>
      <c r="W3" t="s">
        <v>43</v>
      </c>
    </row>
    <row r="4">
      <c r="A4" t="s">
        <v>118</v>
      </c>
      <c r="B4" t="s">
        <v>119</v>
      </c>
      <c r="C4" t="s">
        <v>43</v>
      </c>
      <c r="D4" t="s">
        <v>116</v>
      </c>
      <c r="E4" t="s">
        <v>40</v>
      </c>
      <c r="F4" t="s">
        <v>43</v>
      </c>
      <c r="G4">
        <v>70.1</v>
      </c>
      <c r="H4">
        <v>300</v>
      </c>
      <c r="I4">
        <f>IF(C4="",0,IFERROR(INDEX('Drainage Area'!H:H,MATCH(C4,'Drainage Area'!A:A,0)),0))</f>
        <v>0</v>
      </c>
      <c r="J4">
        <f>SUMIF('Pipe Sizing'!C:C,A4,'Pipe Sizing'!J:J)</f>
        <v>1.0837</v>
      </c>
      <c r="K4">
        <f>I4+J4</f>
        <v>1.0837</v>
      </c>
      <c r="L4" t="s">
        <f>IFERROR(INDEX('Pipe Sizing'!A:A,MATCH(A4&amp;"|primary",'Pipe Sizing'!P:P,0)),"")</f>
        <v>120</v>
      </c>
      <c r="M4">
        <f>IF(IFERROR(INDEX('Pipe Sizing'!K:K,MATCH(L4,'Pipe Sizing'!A:A,0)),0)=0,0,(((IFERROR(INDEX('Pipe Sizing'!J:J,MATCH(L4,'Pipe Sizing'!A:A,0)),0))*IFERROR(INDEX('Pipe Sizing'!G:G,MATCH(L4,'Pipe Sizing'!A:A,0)),0.013))/(1.486*(IFERROR(INDEX('Pipe Sizing'!K:K,MATCH(L4,'Pipe Sizing'!A:A,0)),0))*(((((IFERROR(INDEX('Pipe Sizing'!K:K,MATCH(L4,'Pipe Sizing'!A:A,0)),0))/PI())^0.5)/2)^(2/3))))^2*IFERROR(INDEX('Pipe Sizing'!I:I,MATCH(L4,'Pipe Sizing'!A:A,0)),0)</f>
        <v>0.0659</v>
      </c>
      <c r="N4">
        <v>0.06</v>
      </c>
      <c r="O4">
        <f>N4*P4^2/(2*32.2)</f>
        <v>0.0018</v>
      </c>
      <c r="P4">
        <f>IF(IFERROR(INDEX('Pipe Sizing'!K:K,MATCH(L4,'Pipe Sizing'!A:A,0)),0)=0,0,K4/(IFERROR(INDEX('Pipe Sizing'!K:K,MATCH(L4,'Pipe Sizing'!A:A,0)),0)))</f>
        <v>1.38</v>
      </c>
      <c r="Q4">
        <f>IF(OR(E4="TRUE",R4=""),F4,IFERROR(INDEX(Q:Q,MATCH(R4,A:A,0)),F4)+M4+O4)</f>
        <v>0.373</v>
      </c>
      <c r="R4" t="s">
        <f>IFERROR(INDEX('Pipe Sizing'!C:C,MATCH(L4,'Pipe Sizing'!A:A,0)),"")</f>
        <v>68</v>
      </c>
      <c r="S4" t="s">
        <f>IF(G4="","",IF(Q4&lt;=G4+1,"OK","EXCEEDS"))</f>
        <v>114</v>
      </c>
      <c r="T4" t="s">
        <f>IF(H4="","",IF(Q4&lt;=H4-1,"OK","EXCEEDS"))</f>
        <v>114</v>
      </c>
      <c r="U4" t="s">
        <v>43</v>
      </c>
      <c r="V4" t="s">
        <v>43</v>
      </c>
      <c r="W4" t="s">
        <v>43</v>
      </c>
    </row>
    <row r="5">
      <c r="A5" t="s">
        <v>66</v>
      </c>
      <c r="B5" t="s">
        <v>67</v>
      </c>
      <c r="C5" t="s">
        <v>66</v>
      </c>
      <c r="D5" t="s">
        <v>111</v>
      </c>
      <c r="E5" t="s">
        <v>40</v>
      </c>
      <c r="F5" t="s">
        <v>43</v>
      </c>
      <c r="G5">
        <v>69.5</v>
      </c>
      <c r="H5">
        <v>314.2</v>
      </c>
      <c r="I5">
        <f>IF(C5="",0,IFERROR(INDEX('Drainage Area'!H:H,MATCH(C5,'Drainage Area'!A:A,0)),0))</f>
        <v>0.9405</v>
      </c>
      <c r="J5">
        <f>SUMIF('Pipe Sizing'!C:C,A5,'Pipe Sizing'!J:J)</f>
        <v>0</v>
      </c>
      <c r="K5">
        <f>I5+J5</f>
        <v>0.9405</v>
      </c>
      <c r="L5" t="s">
        <f>IFERROR(INDEX('Pipe Sizing'!A:A,MATCH(A5&amp;"|primary",'Pipe Sizing'!P:P,0)),"")</f>
        <v>121</v>
      </c>
      <c r="M5">
        <f>IF(IFERROR(INDEX('Pipe Sizing'!K:K,MATCH(L5,'Pipe Sizing'!A:A,0)),0)=0,0,(((IFERROR(INDEX('Pipe Sizing'!J:J,MATCH(L5,'Pipe Sizing'!A:A,0)),0))*IFERROR(INDEX('Pipe Sizing'!G:G,MATCH(L5,'Pipe Sizing'!A:A,0)),0.013))/(1.486*(IFERROR(INDEX('Pipe Sizing'!K:K,MATCH(L5,'Pipe Sizing'!A:A,0)),0))*(((((IFERROR(INDEX('Pipe Sizing'!K:K,MATCH(L5,'Pipe Sizing'!A:A,0)),0))/PI())^0.5)/2)^(2/3))))^2*IFERROR(INDEX('Pipe Sizing'!I:I,MATCH(L5,'Pipe Sizing'!A:A,0)),0)</f>
        <v>0.015</v>
      </c>
      <c r="N5">
        <v>0.06</v>
      </c>
      <c r="O5">
        <f>N5*P5^2/(2*32.2)</f>
        <v>0.0013</v>
      </c>
      <c r="P5">
        <f>IF(IFERROR(INDEX('Pipe Sizing'!K:K,MATCH(L5,'Pipe Sizing'!A:A,0)),0)=0,0,K5/(IFERROR(INDEX('Pipe Sizing'!K:K,MATCH(L5,'Pipe Sizing'!A:A,0)),0)))</f>
        <v>1.197</v>
      </c>
      <c r="Q5">
        <f>IF(OR(E5="TRUE",R5=""),F5,IFERROR(INDEX(Q:Q,MATCH(R5,A:A,0)),F5)+M5+O5)</f>
        <v>0.322</v>
      </c>
      <c r="R5" t="s">
        <f>IFERROR(INDEX('Pipe Sizing'!C:C,MATCH(L5,'Pipe Sizing'!A:A,0)),"")</f>
        <v>68</v>
      </c>
      <c r="S5" t="s">
        <f>IF(G5="","",IF(Q5&lt;=G5+1,"OK","EXCEEDS"))</f>
        <v>114</v>
      </c>
      <c r="T5" t="s">
        <f>IF(H5="","",IF(Q5&lt;=H5-1,"OK","EXCEEDS"))</f>
        <v>114</v>
      </c>
      <c r="U5" t="s">
        <v>43</v>
      </c>
      <c r="V5" t="s">
        <v>43</v>
      </c>
      <c r="W5" t="s">
        <v>43</v>
      </c>
    </row>
    <row r="6">
      <c r="A6" t="s">
        <v>68</v>
      </c>
      <c r="B6" t="s">
        <v>69</v>
      </c>
      <c r="C6" t="s">
        <v>68</v>
      </c>
      <c r="D6" t="s">
        <v>111</v>
      </c>
      <c r="E6" t="s">
        <v>40</v>
      </c>
      <c r="F6" t="s">
        <v>43</v>
      </c>
      <c r="G6">
        <v>69.5</v>
      </c>
      <c r="H6">
        <v>313.2</v>
      </c>
      <c r="I6">
        <f>IF(C6="",0,IFERROR(INDEX('Drainage Area'!H:H,MATCH(C6,'Drainage Area'!A:A,0)),0))</f>
        <v>1.2733</v>
      </c>
      <c r="J6">
        <f>SUMIF('Pipe Sizing'!C:C,A6,'Pipe Sizing'!J:J)</f>
        <v>2.0241</v>
      </c>
      <c r="K6">
        <f>I6+J6</f>
        <v>3.2974</v>
      </c>
      <c r="L6" t="s">
        <f>IFERROR(INDEX('Pipe Sizing'!A:A,MATCH(A6&amp;"|primary",'Pipe Sizing'!P:P,0)),"")</f>
        <v>122</v>
      </c>
      <c r="M6">
        <f>IF(IFERROR(INDEX('Pipe Sizing'!K:K,MATCH(L6,'Pipe Sizing'!A:A,0)),0)=0,0,(((IFERROR(INDEX('Pipe Sizing'!J:J,MATCH(L6,'Pipe Sizing'!A:A,0)),0))*IFERROR(INDEX('Pipe Sizing'!G:G,MATCH(L6,'Pipe Sizing'!A:A,0)),0.013))/(1.486*(IFERROR(INDEX('Pipe Sizing'!K:K,MATCH(L6,'Pipe Sizing'!A:A,0)),0))*(((((IFERROR(INDEX('Pipe Sizing'!K:K,MATCH(L6,'Pipe Sizing'!A:A,0)),0))/PI())^0.5)/2)^(2/3))))^2*IFERROR(INDEX('Pipe Sizing'!I:I,MATCH(L6,'Pipe Sizing'!A:A,0)),0)</f>
        <v>0.2085</v>
      </c>
      <c r="N6">
        <v>0.06</v>
      </c>
      <c r="O6">
        <f>N6*P6^2/(2*32.2)</f>
        <v>0.0067</v>
      </c>
      <c r="P6">
        <f>IF(IFERROR(INDEX('Pipe Sizing'!K:K,MATCH(L6,'Pipe Sizing'!A:A,0)),0)=0,0,K6/(IFERROR(INDEX('Pipe Sizing'!K:K,MATCH(L6,'Pipe Sizing'!A:A,0)),0)))</f>
        <v>2.687</v>
      </c>
      <c r="Q6">
        <f>IF(OR(E6="TRUE",R6=""),F6,IFERROR(INDEX(Q:Q,MATCH(R6,A:A,0)),F6)+M6+O6)</f>
        <v>0.306</v>
      </c>
      <c r="R6" t="s">
        <f>IFERROR(INDEX('Pipe Sizing'!C:C,MATCH(L6,'Pipe Sizing'!A:A,0)),"")</f>
        <v>123</v>
      </c>
      <c r="S6" t="s">
        <f>IF(G6="","",IF(Q6&lt;=G6+1,"OK","EXCEEDS"))</f>
        <v>114</v>
      </c>
      <c r="T6" t="s">
        <f>IF(H6="","",IF(Q6&lt;=H6-1,"OK","EXCEEDS"))</f>
        <v>114</v>
      </c>
      <c r="U6" t="s">
        <v>43</v>
      </c>
      <c r="V6" t="s">
        <v>43</v>
      </c>
      <c r="W6" t="s">
        <v>43</v>
      </c>
    </row>
    <row r="7">
      <c r="A7" t="s">
        <v>64</v>
      </c>
      <c r="B7" t="s">
        <v>65</v>
      </c>
      <c r="C7" t="s">
        <v>64</v>
      </c>
      <c r="D7" t="s">
        <v>111</v>
      </c>
      <c r="E7" t="s">
        <v>40</v>
      </c>
      <c r="F7" t="s">
        <v>43</v>
      </c>
      <c r="G7">
        <v>69.2</v>
      </c>
      <c r="H7">
        <v>313.2</v>
      </c>
      <c r="I7">
        <f>IF(C7="",0,IFERROR(INDEX('Drainage Area'!H:H,MATCH(C7,'Drainage Area'!A:A,0)),0))</f>
        <v>6.8572</v>
      </c>
      <c r="J7">
        <f>SUMIF('Pipe Sizing'!C:C,A7,'Pipe Sizing'!J:J)</f>
        <v>0</v>
      </c>
      <c r="K7">
        <f>I7+J7</f>
        <v>6.8572</v>
      </c>
      <c r="L7" t="s">
        <f>IFERROR(INDEX('Pipe Sizing'!A:A,MATCH(A7&amp;"|primary",'Pipe Sizing'!P:P,0)),"")</f>
        <v>124</v>
      </c>
      <c r="M7">
        <f>IF(IFERROR(INDEX('Pipe Sizing'!K:K,MATCH(L7,'Pipe Sizing'!A:A,0)),0)=0,0,(((IFERROR(INDEX('Pipe Sizing'!J:J,MATCH(L7,'Pipe Sizing'!A:A,0)),0))*IFERROR(INDEX('Pipe Sizing'!G:G,MATCH(L7,'Pipe Sizing'!A:A,0)),0.013))/(1.486*(IFERROR(INDEX('Pipe Sizing'!K:K,MATCH(L7,'Pipe Sizing'!A:A,0)),0))*(((((IFERROR(INDEX('Pipe Sizing'!K:K,MATCH(L7,'Pipe Sizing'!A:A,0)),0))/PI())^0.5)/2)^(2/3))))^2*IFERROR(INDEX('Pipe Sizing'!I:I,MATCH(L7,'Pipe Sizing'!A:A,0)),0)</f>
        <v>0.0111</v>
      </c>
      <c r="N7">
        <v>0.06</v>
      </c>
      <c r="O7">
        <f>N7*P7^2/(2*32.2)</f>
        <v>0.0076</v>
      </c>
      <c r="P7">
        <f>IF(IFERROR(INDEX('Pipe Sizing'!K:K,MATCH(L7,'Pipe Sizing'!A:A,0)),0)=0,0,K7/(IFERROR(INDEX('Pipe Sizing'!K:K,MATCH(L7,'Pipe Sizing'!A:A,0)),0)))</f>
        <v>2.851</v>
      </c>
      <c r="Q7">
        <f>IF(OR(E7="TRUE",R7=""),F7,IFERROR(INDEX(Q:Q,MATCH(R7,A:A,0)),F7)+M7+O7)</f>
        <v>0.109</v>
      </c>
      <c r="R7" t="s">
        <f>IFERROR(INDEX('Pipe Sizing'!C:C,MATCH(L7,'Pipe Sizing'!A:A,0)),"")</f>
        <v>123</v>
      </c>
      <c r="S7" t="s">
        <f>IF(G7="","",IF(Q7&lt;=G7+1,"OK","EXCEEDS"))</f>
        <v>114</v>
      </c>
      <c r="T7" t="s">
        <f>IF(H7="","",IF(Q7&lt;=H7-1,"OK","EXCEEDS"))</f>
        <v>114</v>
      </c>
      <c r="U7" t="s">
        <v>43</v>
      </c>
      <c r="V7" t="s">
        <v>43</v>
      </c>
      <c r="W7" t="s">
        <v>43</v>
      </c>
    </row>
    <row r="8">
      <c r="A8" t="s">
        <v>123</v>
      </c>
      <c r="B8" t="s">
        <v>125</v>
      </c>
      <c r="C8" t="s">
        <v>43</v>
      </c>
      <c r="D8" t="s">
        <v>116</v>
      </c>
      <c r="E8" t="s">
        <v>40</v>
      </c>
      <c r="F8" t="s">
        <v>43</v>
      </c>
      <c r="G8">
        <v>69.3</v>
      </c>
      <c r="H8">
        <v>315.2</v>
      </c>
      <c r="I8">
        <f>IF(C8="",0,IFERROR(INDEX('Drainage Area'!H:H,MATCH(C8,'Drainage Area'!A:A,0)),0))</f>
        <v>0</v>
      </c>
      <c r="J8">
        <f>SUMIF('Pipe Sizing'!C:C,A8,'Pipe Sizing'!J:J)</f>
        <v>10.1546</v>
      </c>
      <c r="K8">
        <f>I8+J8</f>
        <v>10.1546</v>
      </c>
      <c r="L8" t="s">
        <f>IFERROR(INDEX('Pipe Sizing'!A:A,MATCH(A8&amp;"|primary",'Pipe Sizing'!P:P,0)),"")</f>
        <v>126</v>
      </c>
      <c r="M8">
        <f>IF(IFERROR(INDEX('Pipe Sizing'!K:K,MATCH(L8,'Pipe Sizing'!A:A,0)),0)=0,0,(((IFERROR(INDEX('Pipe Sizing'!J:J,MATCH(L8,'Pipe Sizing'!A:A,0)),0))*IFERROR(INDEX('Pipe Sizing'!G:G,MATCH(L8,'Pipe Sizing'!A:A,0)),0.013))/(1.486*(IFERROR(INDEX('Pipe Sizing'!K:K,MATCH(L8,'Pipe Sizing'!A:A,0)),0))*(((((IFERROR(INDEX('Pipe Sizing'!K:K,MATCH(L8,'Pipe Sizing'!A:A,0)),0))/PI())^0.5)/2)^(2/3))))^2*IFERROR(INDEX('Pipe Sizing'!I:I,MATCH(L8,'Pipe Sizing'!A:A,0)),0)</f>
        <v>0.0395</v>
      </c>
      <c r="N8">
        <v>0.06</v>
      </c>
      <c r="O8">
        <f>N8*P8^2/(2*32.2)</f>
        <v>0.0097</v>
      </c>
      <c r="P8">
        <f>IF(IFERROR(INDEX('Pipe Sizing'!K:K,MATCH(L8,'Pipe Sizing'!A:A,0)),0)=0,0,K8/(IFERROR(INDEX('Pipe Sizing'!K:K,MATCH(L8,'Pipe Sizing'!A:A,0)),0)))</f>
        <v>3.232</v>
      </c>
      <c r="Q8">
        <f>IF(OR(E8="TRUE",R8=""),F8,IFERROR(INDEX(Q:Q,MATCH(R8,A:A,0)),F8)+M8+O8)</f>
        <v>0.09</v>
      </c>
      <c r="R8" t="s">
        <f>IFERROR(INDEX('Pipe Sizing'!C:C,MATCH(L8,'Pipe Sizing'!A:A,0)),"")</f>
        <v>61</v>
      </c>
      <c r="S8" t="s">
        <f>IF(G8="","",IF(Q8&lt;=G8+1,"OK","EXCEEDS"))</f>
        <v>114</v>
      </c>
      <c r="T8" t="s">
        <f>IF(H8="","",IF(Q8&lt;=H8-1,"OK","EXCEEDS"))</f>
        <v>114</v>
      </c>
      <c r="U8" t="s">
        <v>43</v>
      </c>
      <c r="V8" t="s">
        <v>43</v>
      </c>
      <c r="W8" t="s">
        <v>43</v>
      </c>
    </row>
    <row r="9">
      <c r="A9" t="s">
        <v>61</v>
      </c>
      <c r="B9" t="s">
        <v>62</v>
      </c>
      <c r="C9" t="s">
        <v>61</v>
      </c>
      <c r="D9" t="s">
        <v>111</v>
      </c>
      <c r="E9" t="s">
        <v>40</v>
      </c>
      <c r="F9" t="s">
        <v>43</v>
      </c>
      <c r="G9">
        <v>69.1</v>
      </c>
      <c r="H9">
        <v>312.5</v>
      </c>
      <c r="I9">
        <f>IF(C9="",0,IFERROR(INDEX('Drainage Area'!H:H,MATCH(C9,'Drainage Area'!A:A,0)),0))</f>
        <v>0.3302</v>
      </c>
      <c r="J9">
        <f>SUMIF('Pipe Sizing'!C:C,A9,'Pipe Sizing'!J:J)</f>
        <v>10.1546</v>
      </c>
      <c r="K9">
        <f>I9+J9</f>
        <v>10.4848</v>
      </c>
      <c r="L9" t="s">
        <f>IFERROR(INDEX('Pipe Sizing'!A:A,MATCH(A9&amp;"|primary",'Pipe Sizing'!P:P,0)),"")</f>
        <v>127</v>
      </c>
      <c r="M9">
        <f>IF(IFERROR(INDEX('Pipe Sizing'!K:K,MATCH(L9,'Pipe Sizing'!A:A,0)),0)=0,0,(((IFERROR(INDEX('Pipe Sizing'!J:J,MATCH(L9,'Pipe Sizing'!A:A,0)),0))*IFERROR(INDEX('Pipe Sizing'!G:G,MATCH(L9,'Pipe Sizing'!A:A,0)),0.013))/(1.486*(IFERROR(INDEX('Pipe Sizing'!K:K,MATCH(L9,'Pipe Sizing'!A:A,0)),0))*(((((IFERROR(INDEX('Pipe Sizing'!K:K,MATCH(L9,'Pipe Sizing'!A:A,0)),0))/PI())^0.5)/2)^(2/3))))^2*IFERROR(INDEX('Pipe Sizing'!I:I,MATCH(L9,'Pipe Sizing'!A:A,0)),0)</f>
        <v>0.0308</v>
      </c>
      <c r="N9">
        <v>0.06</v>
      </c>
      <c r="O9">
        <f>N9*P9^2/(2*32.2)</f>
        <v>0.0104</v>
      </c>
      <c r="P9">
        <f>IF(IFERROR(INDEX('Pipe Sizing'!K:K,MATCH(L9,'Pipe Sizing'!A:A,0)),0)=0,0,K9/(IFERROR(INDEX('Pipe Sizing'!K:K,MATCH(L9,'Pipe Sizing'!A:A,0)),0)))</f>
        <v>3.337</v>
      </c>
      <c r="Q9">
        <f>IF(OR(E9="TRUE",R9=""),F9,IFERROR(INDEX(Q:Q,MATCH(R9,A:A,0)),F9)+M9+O9)</f>
        <v>0.041</v>
      </c>
      <c r="R9" t="s">
        <f>IFERROR(INDEX('Pipe Sizing'!C:C,MATCH(L9,'Pipe Sizing'!A:A,0)),"")</f>
        <v>128</v>
      </c>
      <c r="S9" t="s">
        <f>IF(G9="","",IF(Q9&lt;=G9+1,"OK","EXCEEDS"))</f>
        <v>114</v>
      </c>
      <c r="T9" t="s">
        <f>IF(H9="","",IF(Q9&lt;=H9-1,"OK","EXCEEDS"))</f>
        <v>114</v>
      </c>
      <c r="U9" t="s">
        <v>43</v>
      </c>
      <c r="V9" t="s">
        <v>43</v>
      </c>
      <c r="W9" t="s">
        <v>43</v>
      </c>
    </row>
    <row r="10">
      <c r="A10" t="s">
        <v>78</v>
      </c>
      <c r="B10" t="s">
        <v>79</v>
      </c>
      <c r="C10" t="s">
        <v>78</v>
      </c>
      <c r="D10" t="s">
        <v>111</v>
      </c>
      <c r="E10" t="s">
        <v>40</v>
      </c>
      <c r="F10" t="s">
        <v>43</v>
      </c>
      <c r="G10">
        <v>69.1</v>
      </c>
      <c r="H10">
        <v>312.1</v>
      </c>
      <c r="I10">
        <f>IF(C10="",0,IFERROR(INDEX('Drainage Area'!H:H,MATCH(C10,'Drainage Area'!A:A,0)),0))</f>
        <v>8.3179</v>
      </c>
      <c r="J10">
        <f>SUMIF('Pipe Sizing'!C:C,A10,'Pipe Sizing'!J:J)</f>
        <v>0</v>
      </c>
      <c r="K10">
        <f>I10+J10</f>
        <v>8.3179</v>
      </c>
      <c r="L10" t="s">
        <f>IFERROR(INDEX('Pipe Sizing'!A:A,MATCH(A10&amp;"|primary",'Pipe Sizing'!P:P,0)),"")</f>
        <v>129</v>
      </c>
      <c r="M10">
        <f>IF(IFERROR(INDEX('Pipe Sizing'!K:K,MATCH(L10,'Pipe Sizing'!A:A,0)),0)=0,0,(((IFERROR(INDEX('Pipe Sizing'!J:J,MATCH(L10,'Pipe Sizing'!A:A,0)),0))*IFERROR(INDEX('Pipe Sizing'!G:G,MATCH(L10,'Pipe Sizing'!A:A,0)),0.013))/(1.486*(IFERROR(INDEX('Pipe Sizing'!K:K,MATCH(L10,'Pipe Sizing'!A:A,0)),0))*(((((IFERROR(INDEX('Pipe Sizing'!K:K,MATCH(L10,'Pipe Sizing'!A:A,0)),0))/PI())^0.5)/2)^(2/3))))^2*IFERROR(INDEX('Pipe Sizing'!I:I,MATCH(L10,'Pipe Sizing'!A:A,0)),0)</f>
        <v>0.0315</v>
      </c>
      <c r="N10">
        <v>0.06</v>
      </c>
      <c r="O10">
        <f>N10*P10^2/(2*32.2)</f>
        <v>0.0065</v>
      </c>
      <c r="P10">
        <f>IF(IFERROR(INDEX('Pipe Sizing'!K:K,MATCH(L10,'Pipe Sizing'!A:A,0)),0)=0,0,K10/(IFERROR(INDEX('Pipe Sizing'!K:K,MATCH(L10,'Pipe Sizing'!A:A,0)),0)))</f>
        <v>2.648</v>
      </c>
      <c r="Q10">
        <f>IF(OR(E10="TRUE",R10=""),F10,IFERROR(INDEX(Q:Q,MATCH(R10,A:A,0)),F10)+M10+O10)</f>
        <v>0.038</v>
      </c>
      <c r="R10" t="s">
        <f>IFERROR(INDEX('Pipe Sizing'!C:C,MATCH(L10,'Pipe Sizing'!A:A,0)),"")</f>
        <v>128</v>
      </c>
      <c r="S10" t="s">
        <f>IF(G10="","",IF(Q10&lt;=G10+1,"OK","EXCEEDS"))</f>
        <v>114</v>
      </c>
      <c r="T10" t="s">
        <f>IF(H10="","",IF(Q10&lt;=H10-1,"OK","EXCEEDS"))</f>
        <v>114</v>
      </c>
      <c r="U10" t="s">
        <v>43</v>
      </c>
      <c r="V10" t="s">
        <v>43</v>
      </c>
      <c r="W10" t="s">
        <v>43</v>
      </c>
    </row>
    <row r="11">
      <c r="A11" t="s">
        <v>128</v>
      </c>
      <c r="B11" t="s">
        <v>130</v>
      </c>
      <c r="C11" t="s">
        <v>43</v>
      </c>
      <c r="D11" t="s">
        <v>131</v>
      </c>
      <c r="E11" t="s">
        <v>40</v>
      </c>
      <c r="F11" t="s">
        <v>43</v>
      </c>
      <c r="G11">
        <v>68.9</v>
      </c>
      <c r="H11">
        <v>999</v>
      </c>
      <c r="I11">
        <f>IF(C11="",0,IFERROR(INDEX('Drainage Area'!H:H,MATCH(C11,'Drainage Area'!A:A,0)),0))</f>
        <v>0</v>
      </c>
      <c r="J11">
        <f>SUMIF('Pipe Sizing'!C:C,A11,'Pipe Sizing'!J:J)</f>
        <v>18.8027</v>
      </c>
      <c r="K11">
        <f>I11+J11</f>
        <v>18.8027</v>
      </c>
      <c r="L11" t="s">
        <f>IFERROR(INDEX('Pipe Sizing'!A:A,MATCH(A11&amp;"|primary",'Pipe Sizing'!P:P,0)),"")</f>
        <v>43</v>
      </c>
      <c r="M11">
        <f>0</f>
        <v>0</v>
      </c>
      <c r="N11">
        <v>0</v>
      </c>
      <c r="O11">
        <f>0</f>
        <v>0</v>
      </c>
      <c r="P11">
        <f>0</f>
        <v>0</v>
      </c>
      <c r="Q11">
        <f>F11</f>
        <v>0</v>
      </c>
      <c r="R11" t="s">
        <f>""</f>
        <v>43</v>
      </c>
      <c r="S11" t="s">
        <f>IF(G11="","",IF(Q11&lt;=G11+1,"OK","EXCEEDS"))</f>
        <v>114</v>
      </c>
      <c r="T11" t="s">
        <f>IF(H11="","",IF(Q11&lt;=H11-1,"OK","EXCEEDS"))</f>
        <v>114</v>
      </c>
      <c r="U11" t="s">
        <v>43</v>
      </c>
      <c r="V11" t="s">
        <v>43</v>
      </c>
      <c r="W11" t="s">
        <v>43</v>
      </c>
    </row>
    <row r="12">
      <c r="A12" t="s">
        <v>76</v>
      </c>
      <c r="B12" t="s">
        <v>77</v>
      </c>
      <c r="C12" t="s">
        <v>76</v>
      </c>
      <c r="D12" t="s">
        <v>111</v>
      </c>
      <c r="E12" t="s">
        <v>40</v>
      </c>
      <c r="F12" t="s">
        <v>43</v>
      </c>
      <c r="G12">
        <v>73.4</v>
      </c>
      <c r="H12">
        <v>313.4</v>
      </c>
      <c r="I12">
        <f>IF(C12="",0,IFERROR(INDEX('Drainage Area'!H:H,MATCH(C12,'Drainage Area'!A:A,0)),0))</f>
        <v>0.9165</v>
      </c>
      <c r="J12">
        <f>SUMIF('Pipe Sizing'!C:C,A12,'Pipe Sizing'!J:J)</f>
        <v>0</v>
      </c>
      <c r="K12">
        <f>I12+J12</f>
        <v>0.9165</v>
      </c>
      <c r="L12" t="s">
        <f>IFERROR(INDEX('Pipe Sizing'!A:A,MATCH(A12&amp;"|primary",'Pipe Sizing'!P:P,0)),"")</f>
        <v>132</v>
      </c>
      <c r="M12">
        <f>IF(IFERROR(INDEX('Pipe Sizing'!K:K,MATCH(L12,'Pipe Sizing'!A:A,0)),0)=0,0,(((IFERROR(INDEX('Pipe Sizing'!J:J,MATCH(L12,'Pipe Sizing'!A:A,0)),0))*IFERROR(INDEX('Pipe Sizing'!G:G,MATCH(L12,'Pipe Sizing'!A:A,0)),0.013))/(1.486*(IFERROR(INDEX('Pipe Sizing'!K:K,MATCH(L12,'Pipe Sizing'!A:A,0)),0))*(((((IFERROR(INDEX('Pipe Sizing'!K:K,MATCH(L12,'Pipe Sizing'!A:A,0)),0))/PI())^0.5)/2)^(2/3))))^2*IFERROR(INDEX('Pipe Sizing'!I:I,MATCH(L12,'Pipe Sizing'!A:A,0)),0)</f>
        <v>0.0212</v>
      </c>
      <c r="N12">
        <v>0.06</v>
      </c>
      <c r="O12">
        <f>N12*P12^2/(2*32.2)</f>
        <v>0.0013</v>
      </c>
      <c r="P12">
        <f>IF(IFERROR(INDEX('Pipe Sizing'!K:K,MATCH(L12,'Pipe Sizing'!A:A,0)),0)=0,0,K12/(IFERROR(INDEX('Pipe Sizing'!K:K,MATCH(L12,'Pipe Sizing'!A:A,0)),0)))</f>
        <v>1.167</v>
      </c>
      <c r="Q12">
        <f>IF(OR(E12="TRUE",R12=""),F12,IFERROR(INDEX(Q:Q,MATCH(R12,A:A,0)),F12)+M12+O12)</f>
        <v>0.124</v>
      </c>
      <c r="R12" t="s">
        <f>IFERROR(INDEX('Pipe Sizing'!C:C,MATCH(L12,'Pipe Sizing'!A:A,0)),"")</f>
        <v>74</v>
      </c>
      <c r="S12" t="s">
        <f>IF(G12="","",IF(Q12&lt;=G12+1,"OK","EXCEEDS"))</f>
        <v>114</v>
      </c>
      <c r="T12" t="s">
        <f>IF(H12="","",IF(Q12&lt;=H12-1,"OK","EXCEEDS"))</f>
        <v>114</v>
      </c>
      <c r="U12" t="s">
        <v>43</v>
      </c>
      <c r="V12" t="s">
        <v>43</v>
      </c>
      <c r="W12" t="s">
        <v>43</v>
      </c>
    </row>
    <row r="13">
      <c r="A13" t="s">
        <v>74</v>
      </c>
      <c r="B13" t="s">
        <v>75</v>
      </c>
      <c r="C13" t="s">
        <v>74</v>
      </c>
      <c r="D13" t="s">
        <v>111</v>
      </c>
      <c r="E13" t="s">
        <v>40</v>
      </c>
      <c r="F13" t="s">
        <v>43</v>
      </c>
      <c r="G13">
        <v>73.5</v>
      </c>
      <c r="H13">
        <v>313.4</v>
      </c>
      <c r="I13">
        <f>IF(C13="",0,IFERROR(INDEX('Drainage Area'!H:H,MATCH(C13,'Drainage Area'!A:A,0)),0))</f>
        <v>2.866</v>
      </c>
      <c r="J13">
        <f>SUMIF('Pipe Sizing'!C:C,A13,'Pipe Sizing'!J:J)</f>
        <v>0.9165</v>
      </c>
      <c r="K13">
        <f>I13+J13</f>
        <v>3.7826</v>
      </c>
      <c r="L13" t="s">
        <f>IFERROR(INDEX('Pipe Sizing'!A:A,MATCH(A13&amp;"|primary",'Pipe Sizing'!P:P,0)),"")</f>
        <v>133</v>
      </c>
      <c r="M13">
        <f>IF(IFERROR(INDEX('Pipe Sizing'!K:K,MATCH(L13,'Pipe Sizing'!A:A,0)),0)=0,0,(((IFERROR(INDEX('Pipe Sizing'!J:J,MATCH(L13,'Pipe Sizing'!A:A,0)),0))*IFERROR(INDEX('Pipe Sizing'!G:G,MATCH(L13,'Pipe Sizing'!A:A,0)),0.013))/(1.486*(IFERROR(INDEX('Pipe Sizing'!K:K,MATCH(L13,'Pipe Sizing'!A:A,0)),0))*(((((IFERROR(INDEX('Pipe Sizing'!K:K,MATCH(L13,'Pipe Sizing'!A:A,0)),0))/PI())^0.5)/2)^(2/3))))^2*IFERROR(INDEX('Pipe Sizing'!I:I,MATCH(L13,'Pipe Sizing'!A:A,0)),0)</f>
        <v>0.0383</v>
      </c>
      <c r="N13">
        <v>0.06</v>
      </c>
      <c r="O13">
        <f>N13*P13^2/(2*32.2)</f>
        <v>0.0043</v>
      </c>
      <c r="P13">
        <f>IF(IFERROR(INDEX('Pipe Sizing'!K:K,MATCH(L13,'Pipe Sizing'!A:A,0)),0)=0,0,K13/(IFERROR(INDEX('Pipe Sizing'!K:K,MATCH(L13,'Pipe Sizing'!A:A,0)),0)))</f>
        <v>2.14</v>
      </c>
      <c r="Q13">
        <f>IF(OR(E13="TRUE",R13=""),F13,IFERROR(INDEX(Q:Q,MATCH(R13,A:A,0)),F13)+M13+O13)</f>
        <v>0.101</v>
      </c>
      <c r="R13" t="s">
        <f>IFERROR(INDEX('Pipe Sizing'!C:C,MATCH(L13,'Pipe Sizing'!A:A,0)),"")</f>
        <v>72</v>
      </c>
      <c r="S13" t="s">
        <f>IF(G13="","",IF(Q13&lt;=G13+1,"OK","EXCEEDS"))</f>
        <v>114</v>
      </c>
      <c r="T13" t="s">
        <f>IF(H13="","",IF(Q13&lt;=H13-1,"OK","EXCEEDS"))</f>
        <v>114</v>
      </c>
      <c r="U13" t="s">
        <v>43</v>
      </c>
      <c r="V13" t="s">
        <v>43</v>
      </c>
      <c r="W13" t="s">
        <v>43</v>
      </c>
    </row>
    <row r="14">
      <c r="A14" t="s">
        <v>72</v>
      </c>
      <c r="B14" t="s">
        <v>73</v>
      </c>
      <c r="C14" t="s">
        <v>72</v>
      </c>
      <c r="D14" t="s">
        <v>111</v>
      </c>
      <c r="E14" t="s">
        <v>40</v>
      </c>
      <c r="F14" t="s">
        <v>43</v>
      </c>
      <c r="G14">
        <v>72.9</v>
      </c>
      <c r="H14">
        <v>308.3</v>
      </c>
      <c r="I14">
        <f>IF(C14="",0,IFERROR(INDEX('Drainage Area'!H:H,MATCH(C14,'Drainage Area'!A:A,0)),0))</f>
        <v>0.4741</v>
      </c>
      <c r="J14">
        <f>SUMIF('Pipe Sizing'!C:C,A14,'Pipe Sizing'!J:J)</f>
        <v>3.7826</v>
      </c>
      <c r="K14">
        <f>I14+J14</f>
        <v>4.2567</v>
      </c>
      <c r="L14" t="s">
        <f>IFERROR(INDEX('Pipe Sizing'!A:A,MATCH(A14&amp;"|primary",'Pipe Sizing'!P:P,0)),"")</f>
        <v>134</v>
      </c>
      <c r="M14">
        <f>IF(IFERROR(INDEX('Pipe Sizing'!K:K,MATCH(L14,'Pipe Sizing'!A:A,0)),0)=0,0,(((IFERROR(INDEX('Pipe Sizing'!J:J,MATCH(L14,'Pipe Sizing'!A:A,0)),0))*IFERROR(INDEX('Pipe Sizing'!G:G,MATCH(L14,'Pipe Sizing'!A:A,0)),0.013))/(1.486*(IFERROR(INDEX('Pipe Sizing'!K:K,MATCH(L14,'Pipe Sizing'!A:A,0)),0))*(((((IFERROR(INDEX('Pipe Sizing'!K:K,MATCH(L14,'Pipe Sizing'!A:A,0)),0))/PI())^0.5)/2)^(2/3))))^2*IFERROR(INDEX('Pipe Sizing'!I:I,MATCH(L14,'Pipe Sizing'!A:A,0)),0)</f>
        <v>0.0531</v>
      </c>
      <c r="N14">
        <v>0.06</v>
      </c>
      <c r="O14">
        <f>N14*P14^2/(2*32.2)</f>
        <v>0.0054</v>
      </c>
      <c r="P14">
        <f>IF(IFERROR(INDEX('Pipe Sizing'!K:K,MATCH(L14,'Pipe Sizing'!A:A,0)),0)=0,0,K14/(IFERROR(INDEX('Pipe Sizing'!K:K,MATCH(L14,'Pipe Sizing'!A:A,0)),0)))</f>
        <v>2.409</v>
      </c>
      <c r="Q14">
        <f>IF(OR(E14="TRUE",R14=""),F14,IFERROR(INDEX(Q:Q,MATCH(R14,A:A,0)),F14)+M14+O14)</f>
        <v>0.058</v>
      </c>
      <c r="R14" t="s">
        <f>IFERROR(INDEX('Pipe Sizing'!C:C,MATCH(L14,'Pipe Sizing'!A:A,0)),"")</f>
        <v>135</v>
      </c>
      <c r="S14" t="s">
        <f>IF(G14="","",IF(Q14&lt;=G14+1,"OK","EXCEEDS"))</f>
        <v>114</v>
      </c>
      <c r="T14" t="s">
        <f>IF(H14="","",IF(Q14&lt;=H14-1,"OK","EXCEEDS"))</f>
        <v>114</v>
      </c>
      <c r="U14" t="s">
        <v>43</v>
      </c>
      <c r="V14" t="s">
        <v>43</v>
      </c>
      <c r="W14" t="s">
        <v>43</v>
      </c>
    </row>
    <row r="15">
      <c r="A15" t="s">
        <v>135</v>
      </c>
      <c r="B15" t="s">
        <v>136</v>
      </c>
      <c r="C15" t="s">
        <v>43</v>
      </c>
      <c r="D15" t="s">
        <v>131</v>
      </c>
      <c r="E15" t="s">
        <v>40</v>
      </c>
      <c r="F15" t="s">
        <v>43</v>
      </c>
      <c r="G15">
        <v>72.5</v>
      </c>
      <c r="H15">
        <v>999</v>
      </c>
      <c r="I15">
        <f>IF(C15="",0,IFERROR(INDEX('Drainage Area'!H:H,MATCH(C15,'Drainage Area'!A:A,0)),0))</f>
        <v>0</v>
      </c>
      <c r="J15">
        <f>SUMIF('Pipe Sizing'!C:C,A15,'Pipe Sizing'!J:J)</f>
        <v>4.2567</v>
      </c>
      <c r="K15">
        <f>I15+J15</f>
        <v>4.2567</v>
      </c>
      <c r="L15" t="s">
        <f>IFERROR(INDEX('Pipe Sizing'!A:A,MATCH(A15&amp;"|primary",'Pipe Sizing'!P:P,0)),"")</f>
        <v>43</v>
      </c>
      <c r="M15">
        <f>0</f>
        <v>0</v>
      </c>
      <c r="N15">
        <v>0</v>
      </c>
      <c r="O15">
        <f>0</f>
        <v>0</v>
      </c>
      <c r="P15">
        <f>0</f>
        <v>0</v>
      </c>
      <c r="Q15">
        <f>F15</f>
        <v>0</v>
      </c>
      <c r="R15" t="s">
        <f>""</f>
        <v>43</v>
      </c>
      <c r="S15" t="s">
        <f>IF(G15="","",IF(Q15&lt;=G15+1,"OK","EXCEEDS"))</f>
        <v>114</v>
      </c>
      <c r="T15" t="s">
        <f>IF(H15="","",IF(Q15&lt;=H15-1,"OK","EXCEEDS"))</f>
        <v>114</v>
      </c>
      <c r="U15" t="s">
        <v>43</v>
      </c>
      <c r="V15" t="s">
        <v>43</v>
      </c>
      <c r="W15" t="s">
        <v>43</v>
      </c>
    </row>
  </sheetData>
  <ignoredErrors>
    <ignoredError numberStoredAsText="1" sqref="A1:W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20.83203125" customWidth="1"/>
    <col min="7" max="7" width="8.83203125" customWidth="1"/>
    <col min="8" max="8" width="12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9.83203125" customWidth="1"/>
    <col min="15" max="15" width="10.83203125" customWidth="1"/>
    <col min="16" max="16" width="16.83203125" customWidth="1"/>
  </cols>
  <sheetData>
    <row r="1">
      <c r="A1" t="s">
        <v>48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83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</row>
    <row r="2">
      <c r="A2" t="s">
        <v>112</v>
      </c>
      <c r="B2" t="s">
        <v>70</v>
      </c>
      <c r="C2" t="s">
        <v>113</v>
      </c>
      <c r="D2">
        <v>0</v>
      </c>
      <c r="E2" t="s">
        <v>151</v>
      </c>
      <c r="F2" t="s">
        <v>152</v>
      </c>
      <c r="G2">
        <v>0.013</v>
      </c>
      <c r="H2">
        <v>0.009824</v>
      </c>
      <c r="I2">
        <v>23.41</v>
      </c>
      <c r="J2">
        <f>IF(B2="",0,IF(IFERROR(INDEX('Junction Structure'!D:D,MATCH(B2,'Junction Structure'!A:A,0)),"")="splitter",IF(O2="primary",IF(IFERROR(INDEX('Junction Structure'!U:U,MATCH(B2,'Junction Structure'!A:A,0)),"capacity")="ratio",IFERROR(INDEX('Junction Structure'!K:K,MATCH(B2,'Junction Structure'!A:A,0)),0)*IFERROR(INDEX('Junction Structure'!W:W,MATCH(B2,'Junction Structure'!A:A,0)),0.5),MIN(IFERROR(INDEX('Junction Structure'!K:K,MATCH(B2,'Junction Structure'!A:A,0)),0),IFERROR(INDEX('Junction Structure'!V:V,MATCH(B2,'Junction Structure'!A:A,0)),0))),IF(O2="secondary",IFERROR(INDEX('Junction Structure'!K:K,MATCH(B2,'Junction Structure'!A:A,0)),0)-(IF(IFERROR(INDEX('Junction Structure'!U:U,MATCH(B2,'Junction Structure'!A:A,0)),"capacity")="ratio",IFERROR(INDEX('Junction Structure'!K:K,MATCH(B2,'Junction Structure'!A:A,0)),0)*IFERROR(INDEX('Junction Structure'!W:W,MATCH(B2,'Junction Structure'!A:A,0)),0.5),MIN(IFERROR(INDEX('Junction Structure'!K:K,MATCH(B2,'Junction Structure'!A:A,0)),0),IFERROR(INDEX('Junction Structure'!V:V,MATCH(B2,'Junction Structure'!A:A,0)),0)))),0)),IFERROR(INDEX('Junction Structure'!K:K,MATCH(B2,'Junction Structure'!A:A,0)),0)))</f>
        <v>1.0837</v>
      </c>
      <c r="K2">
        <f>PI()/4*(F2/12)^2</f>
        <v>0.7854</v>
      </c>
      <c r="L2">
        <f>M2*K2</f>
        <v>3.531</v>
      </c>
      <c r="M2">
        <f>(1.486/G2)*K2*((F2/12/4)^(2/3))*SQRT(H2)</f>
        <v>4.496</v>
      </c>
      <c r="N2" t="s">
        <f>IF(L2&gt;=J2,"PASS","FAIL")</f>
        <v>153</v>
      </c>
      <c r="O2" t="s">
        <v>43</v>
      </c>
      <c r="P2" t="s">
        <f>B2&amp;"|"&amp;IF(O2="","primary",O2)</f>
        <v>154</v>
      </c>
    </row>
    <row r="3">
      <c r="A3" t="s">
        <v>117</v>
      </c>
      <c r="B3" t="s">
        <v>113</v>
      </c>
      <c r="C3" t="s">
        <v>118</v>
      </c>
      <c r="D3">
        <v>0</v>
      </c>
      <c r="E3" t="s">
        <v>151</v>
      </c>
      <c r="F3" t="s">
        <v>152</v>
      </c>
      <c r="G3">
        <v>0.013</v>
      </c>
      <c r="H3">
        <v>0.009952</v>
      </c>
      <c r="I3">
        <v>56.27</v>
      </c>
      <c r="J3">
        <f>IF(B3="",0,IF(IFERROR(INDEX('Junction Structure'!D:D,MATCH(B3,'Junction Structure'!A:A,0)),"")="splitter",IF(O3="primary",IF(IFERROR(INDEX('Junction Structure'!U:U,MATCH(B3,'Junction Structure'!A:A,0)),"capacity")="ratio",IFERROR(INDEX('Junction Structure'!K:K,MATCH(B3,'Junction Structure'!A:A,0)),0)*IFERROR(INDEX('Junction Structure'!W:W,MATCH(B3,'Junction Structure'!A:A,0)),0.5),MIN(IFERROR(INDEX('Junction Structure'!K:K,MATCH(B3,'Junction Structure'!A:A,0)),0),IFERROR(INDEX('Junction Structure'!V:V,MATCH(B3,'Junction Structure'!A:A,0)),0))),IF(O3="secondary",IFERROR(INDEX('Junction Structure'!K:K,MATCH(B3,'Junction Structure'!A:A,0)),0)-(IF(IFERROR(INDEX('Junction Structure'!U:U,MATCH(B3,'Junction Structure'!A:A,0)),"capacity")="ratio",IFERROR(INDEX('Junction Structure'!K:K,MATCH(B3,'Junction Structure'!A:A,0)),0)*IFERROR(INDEX('Junction Structure'!W:W,MATCH(B3,'Junction Structure'!A:A,0)),0.5),MIN(IFERROR(INDEX('Junction Structure'!K:K,MATCH(B3,'Junction Structure'!A:A,0)),0),IFERROR(INDEX('Junction Structure'!V:V,MATCH(B3,'Junction Structure'!A:A,0)),0)))),0)),IFERROR(INDEX('Junction Structure'!K:K,MATCH(B3,'Junction Structure'!A:A,0)),0)))</f>
        <v>1.0837</v>
      </c>
      <c r="K3">
        <f>PI()/4*(F3/12)^2</f>
        <v>0.7854</v>
      </c>
      <c r="L3">
        <f>M3*K3</f>
        <v>3.554</v>
      </c>
      <c r="M3">
        <f>(1.486/G3)*K3*((F3/12/4)^(2/3))*SQRT(H3)</f>
        <v>4.525</v>
      </c>
      <c r="N3" t="s">
        <f>IF(L3&gt;=J3,"PASS","FAIL")</f>
        <v>153</v>
      </c>
      <c r="O3" t="s">
        <v>43</v>
      </c>
      <c r="P3" t="s">
        <f>B3&amp;"|"&amp;IF(O3="","primary",O3)</f>
        <v>155</v>
      </c>
    </row>
    <row r="4">
      <c r="A4" t="s">
        <v>120</v>
      </c>
      <c r="B4" t="s">
        <v>118</v>
      </c>
      <c r="C4" t="s">
        <v>68</v>
      </c>
      <c r="D4">
        <v>0</v>
      </c>
      <c r="E4" t="s">
        <v>151</v>
      </c>
      <c r="F4" t="s">
        <v>152</v>
      </c>
      <c r="G4">
        <v>0.013</v>
      </c>
      <c r="H4">
        <v>0.009971</v>
      </c>
      <c r="I4">
        <v>71.21</v>
      </c>
      <c r="J4">
        <f>IF(B4="",0,IF(IFERROR(INDEX('Junction Structure'!D:D,MATCH(B4,'Junction Structure'!A:A,0)),"")="splitter",IF(O4="primary",IF(IFERROR(INDEX('Junction Structure'!U:U,MATCH(B4,'Junction Structure'!A:A,0)),"capacity")="ratio",IFERROR(INDEX('Junction Structure'!K:K,MATCH(B4,'Junction Structure'!A:A,0)),0)*IFERROR(INDEX('Junction Structure'!W:W,MATCH(B4,'Junction Structure'!A:A,0)),0.5),MIN(IFERROR(INDEX('Junction Structure'!K:K,MATCH(B4,'Junction Structure'!A:A,0)),0),IFERROR(INDEX('Junction Structure'!V:V,MATCH(B4,'Junction Structure'!A:A,0)),0))),IF(O4="secondary",IFERROR(INDEX('Junction Structure'!K:K,MATCH(B4,'Junction Structure'!A:A,0)),0)-(IF(IFERROR(INDEX('Junction Structure'!U:U,MATCH(B4,'Junction Structure'!A:A,0)),"capacity")="ratio",IFERROR(INDEX('Junction Structure'!K:K,MATCH(B4,'Junction Structure'!A:A,0)),0)*IFERROR(INDEX('Junction Structure'!W:W,MATCH(B4,'Junction Structure'!A:A,0)),0.5),MIN(IFERROR(INDEX('Junction Structure'!K:K,MATCH(B4,'Junction Structure'!A:A,0)),0),IFERROR(INDEX('Junction Structure'!V:V,MATCH(B4,'Junction Structure'!A:A,0)),0)))),0)),IFERROR(INDEX('Junction Structure'!K:K,MATCH(B4,'Junction Structure'!A:A,0)),0)))</f>
        <v>1.0837</v>
      </c>
      <c r="K4">
        <f>PI()/4*(F4/12)^2</f>
        <v>0.7854</v>
      </c>
      <c r="L4">
        <f>M4*K4</f>
        <v>3.558</v>
      </c>
      <c r="M4">
        <f>(1.486/G4)*K4*((F4/12/4)^(2/3))*SQRT(H4)</f>
        <v>4.53</v>
      </c>
      <c r="N4" t="s">
        <f>IF(L4&gt;=J4,"PASS","FAIL")</f>
        <v>153</v>
      </c>
      <c r="O4" t="s">
        <v>43</v>
      </c>
      <c r="P4" t="s">
        <f>B4&amp;"|"&amp;IF(O4="","primary",O4)</f>
        <v>156</v>
      </c>
    </row>
    <row r="5">
      <c r="A5" t="s">
        <v>121</v>
      </c>
      <c r="B5" t="s">
        <v>66</v>
      </c>
      <c r="C5" t="s">
        <v>68</v>
      </c>
      <c r="D5">
        <v>0</v>
      </c>
      <c r="E5" t="s">
        <v>151</v>
      </c>
      <c r="F5" t="s">
        <v>152</v>
      </c>
      <c r="G5">
        <v>0.013</v>
      </c>
      <c r="H5">
        <v>0.009754</v>
      </c>
      <c r="I5">
        <v>21.53</v>
      </c>
      <c r="J5">
        <f>IF(B5="",0,IF(IFERROR(INDEX('Junction Structure'!D:D,MATCH(B5,'Junction Structure'!A:A,0)),"")="splitter",IF(O5="primary",IF(IFERROR(INDEX('Junction Structure'!U:U,MATCH(B5,'Junction Structure'!A:A,0)),"capacity")="ratio",IFERROR(INDEX('Junction Structure'!K:K,MATCH(B5,'Junction Structure'!A:A,0)),0)*IFERROR(INDEX('Junction Structure'!W:W,MATCH(B5,'Junction Structure'!A:A,0)),0.5),MIN(IFERROR(INDEX('Junction Structure'!K:K,MATCH(B5,'Junction Structure'!A:A,0)),0),IFERROR(INDEX('Junction Structure'!V:V,MATCH(B5,'Junction Structure'!A:A,0)),0))),IF(O5="secondary",IFERROR(INDEX('Junction Structure'!K:K,MATCH(B5,'Junction Structure'!A:A,0)),0)-(IF(IFERROR(INDEX('Junction Structure'!U:U,MATCH(B5,'Junction Structure'!A:A,0)),"capacity")="ratio",IFERROR(INDEX('Junction Structure'!K:K,MATCH(B5,'Junction Structure'!A:A,0)),0)*IFERROR(INDEX('Junction Structure'!W:W,MATCH(B5,'Junction Structure'!A:A,0)),0.5),MIN(IFERROR(INDEX('Junction Structure'!K:K,MATCH(B5,'Junction Structure'!A:A,0)),0),IFERROR(INDEX('Junction Structure'!V:V,MATCH(B5,'Junction Structure'!A:A,0)),0)))),0)),IFERROR(INDEX('Junction Structure'!K:K,MATCH(B5,'Junction Structure'!A:A,0)),0)))</f>
        <v>0.9405</v>
      </c>
      <c r="K5">
        <f>PI()/4*(F5/12)^2</f>
        <v>0.7854</v>
      </c>
      <c r="L5">
        <f>M5*K5</f>
        <v>3.519</v>
      </c>
      <c r="M5">
        <f>(1.486/G5)*K5*((F5/12/4)^(2/3))*SQRT(H5)</f>
        <v>4.48</v>
      </c>
      <c r="N5" t="s">
        <f>IF(L5&gt;=J5,"PASS","FAIL")</f>
        <v>153</v>
      </c>
      <c r="O5" t="s">
        <v>43</v>
      </c>
      <c r="P5" t="s">
        <f>B5&amp;"|"&amp;IF(O5="","primary",O5)</f>
        <v>157</v>
      </c>
    </row>
    <row r="6">
      <c r="A6" t="s">
        <v>122</v>
      </c>
      <c r="B6" t="s">
        <v>68</v>
      </c>
      <c r="C6" t="s">
        <v>123</v>
      </c>
      <c r="D6">
        <v>0</v>
      </c>
      <c r="E6" t="s">
        <v>151</v>
      </c>
      <c r="F6" t="s">
        <v>158</v>
      </c>
      <c r="G6">
        <v>0.013</v>
      </c>
      <c r="H6">
        <v>0.009998</v>
      </c>
      <c r="I6">
        <v>80.02</v>
      </c>
      <c r="J6">
        <f>IF(B6="",0,IF(IFERROR(INDEX('Junction Structure'!D:D,MATCH(B6,'Junction Structure'!A:A,0)),"")="splitter",IF(O6="primary",IF(IFERROR(INDEX('Junction Structure'!U:U,MATCH(B6,'Junction Structure'!A:A,0)),"capacity")="ratio",IFERROR(INDEX('Junction Structure'!K:K,MATCH(B6,'Junction Structure'!A:A,0)),0)*IFERROR(INDEX('Junction Structure'!W:W,MATCH(B6,'Junction Structure'!A:A,0)),0.5),MIN(IFERROR(INDEX('Junction Structure'!K:K,MATCH(B6,'Junction Structure'!A:A,0)),0),IFERROR(INDEX('Junction Structure'!V:V,MATCH(B6,'Junction Structure'!A:A,0)),0))),IF(O6="secondary",IFERROR(INDEX('Junction Structure'!K:K,MATCH(B6,'Junction Structure'!A:A,0)),0)-(IF(IFERROR(INDEX('Junction Structure'!U:U,MATCH(B6,'Junction Structure'!A:A,0)),"capacity")="ratio",IFERROR(INDEX('Junction Structure'!K:K,MATCH(B6,'Junction Structure'!A:A,0)),0)*IFERROR(INDEX('Junction Structure'!W:W,MATCH(B6,'Junction Structure'!A:A,0)),0.5),MIN(IFERROR(INDEX('Junction Structure'!K:K,MATCH(B6,'Junction Structure'!A:A,0)),0),IFERROR(INDEX('Junction Structure'!V:V,MATCH(B6,'Junction Structure'!A:A,0)),0)))),0)),IFERROR(INDEX('Junction Structure'!K:K,MATCH(B6,'Junction Structure'!A:A,0)),0)))</f>
        <v>3.2974</v>
      </c>
      <c r="K6">
        <f>PI()/4*(F6/12)^2</f>
        <v>1.22718</v>
      </c>
      <c r="L6">
        <f>M6*K6</f>
        <v>6.459</v>
      </c>
      <c r="M6">
        <f>(1.486/G6)*K6*((F6/12/4)^(2/3))*SQRT(H6)</f>
        <v>5.263</v>
      </c>
      <c r="N6" t="s">
        <f>IF(L6&gt;=J6,"PASS","FAIL")</f>
        <v>153</v>
      </c>
      <c r="O6" t="s">
        <v>43</v>
      </c>
      <c r="P6" t="s">
        <f>B6&amp;"|"&amp;IF(O6="","primary",O6)</f>
        <v>159</v>
      </c>
    </row>
    <row r="7">
      <c r="A7" t="s">
        <v>124</v>
      </c>
      <c r="B7" t="s">
        <v>64</v>
      </c>
      <c r="C7" t="s">
        <v>123</v>
      </c>
      <c r="D7">
        <v>0</v>
      </c>
      <c r="E7" t="s">
        <v>151</v>
      </c>
      <c r="F7" t="s">
        <v>160</v>
      </c>
      <c r="G7">
        <v>0.013</v>
      </c>
      <c r="H7">
        <v>0.010135</v>
      </c>
      <c r="I7">
        <v>5.92</v>
      </c>
      <c r="J7">
        <f>IF(B7="",0,IF(IFERROR(INDEX('Junction Structure'!D:D,MATCH(B7,'Junction Structure'!A:A,0)),"")="splitter",IF(O7="primary",IF(IFERROR(INDEX('Junction Structure'!U:U,MATCH(B7,'Junction Structure'!A:A,0)),"capacity")="ratio",IFERROR(INDEX('Junction Structure'!K:K,MATCH(B7,'Junction Structure'!A:A,0)),0)*IFERROR(INDEX('Junction Structure'!W:W,MATCH(B7,'Junction Structure'!A:A,0)),0.5),MIN(IFERROR(INDEX('Junction Structure'!K:K,MATCH(B7,'Junction Structure'!A:A,0)),0),IFERROR(INDEX('Junction Structure'!V:V,MATCH(B7,'Junction Structure'!A:A,0)),0))),IF(O7="secondary",IFERROR(INDEX('Junction Structure'!K:K,MATCH(B7,'Junction Structure'!A:A,0)),0)-(IF(IFERROR(INDEX('Junction Structure'!U:U,MATCH(B7,'Junction Structure'!A:A,0)),"capacity")="ratio",IFERROR(INDEX('Junction Structure'!K:K,MATCH(B7,'Junction Structure'!A:A,0)),0)*IFERROR(INDEX('Junction Structure'!W:W,MATCH(B7,'Junction Structure'!A:A,0)),0.5),MIN(IFERROR(INDEX('Junction Structure'!K:K,MATCH(B7,'Junction Structure'!A:A,0)),0),IFERROR(INDEX('Junction Structure'!V:V,MATCH(B7,'Junction Structure'!A:A,0)),0)))),0)),IFERROR(INDEX('Junction Structure'!K:K,MATCH(B7,'Junction Structure'!A:A,0)),0)))</f>
        <v>6.8572</v>
      </c>
      <c r="K7">
        <f>PI()/4*(F7/12)^2</f>
        <v>2.40528</v>
      </c>
      <c r="L7">
        <f>M7*K7</f>
        <v>15.952</v>
      </c>
      <c r="M7">
        <f>(1.486/G7)*K7*((F7/12/4)^(2/3))*SQRT(H7)</f>
        <v>6.632</v>
      </c>
      <c r="N7" t="s">
        <f>IF(L7&gt;=J7,"PASS","FAIL")</f>
        <v>153</v>
      </c>
      <c r="O7" t="s">
        <v>43</v>
      </c>
      <c r="P7" t="s">
        <f>B7&amp;"|"&amp;IF(O7="","primary",O7)</f>
        <v>161</v>
      </c>
    </row>
    <row r="8">
      <c r="A8" t="s">
        <v>126</v>
      </c>
      <c r="B8" t="s">
        <v>123</v>
      </c>
      <c r="C8" t="s">
        <v>61</v>
      </c>
      <c r="D8">
        <v>0</v>
      </c>
      <c r="E8" t="s">
        <v>151</v>
      </c>
      <c r="F8" t="s">
        <v>162</v>
      </c>
      <c r="G8">
        <v>0.013</v>
      </c>
      <c r="H8">
        <v>0.010199</v>
      </c>
      <c r="I8">
        <v>19.61</v>
      </c>
      <c r="J8">
        <f>IF(B8="",0,IF(IFERROR(INDEX('Junction Structure'!D:D,MATCH(B8,'Junction Structure'!A:A,0)),"")="splitter",IF(O8="primary",IF(IFERROR(INDEX('Junction Structure'!U:U,MATCH(B8,'Junction Structure'!A:A,0)),"capacity")="ratio",IFERROR(INDEX('Junction Structure'!K:K,MATCH(B8,'Junction Structure'!A:A,0)),0)*IFERROR(INDEX('Junction Structure'!W:W,MATCH(B8,'Junction Structure'!A:A,0)),0.5),MIN(IFERROR(INDEX('Junction Structure'!K:K,MATCH(B8,'Junction Structure'!A:A,0)),0),IFERROR(INDEX('Junction Structure'!V:V,MATCH(B8,'Junction Structure'!A:A,0)),0))),IF(O8="secondary",IFERROR(INDEX('Junction Structure'!K:K,MATCH(B8,'Junction Structure'!A:A,0)),0)-(IF(IFERROR(INDEX('Junction Structure'!U:U,MATCH(B8,'Junction Structure'!A:A,0)),"capacity")="ratio",IFERROR(INDEX('Junction Structure'!K:K,MATCH(B8,'Junction Structure'!A:A,0)),0)*IFERROR(INDEX('Junction Structure'!W:W,MATCH(B8,'Junction Structure'!A:A,0)),0.5),MIN(IFERROR(INDEX('Junction Structure'!K:K,MATCH(B8,'Junction Structure'!A:A,0)),0),IFERROR(INDEX('Junction Structure'!V:V,MATCH(B8,'Junction Structure'!A:A,0)),0)))),0)),IFERROR(INDEX('Junction Structure'!K:K,MATCH(B8,'Junction Structure'!A:A,0)),0)))</f>
        <v>10.1546</v>
      </c>
      <c r="K8">
        <f>PI()/4*(F8/12)^2</f>
        <v>3.14159</v>
      </c>
      <c r="L8">
        <f>M8*K8</f>
        <v>22.846</v>
      </c>
      <c r="M8">
        <f>(1.486/G8)*K8*((F8/12/4)^(2/3))*SQRT(H8)</f>
        <v>7.272</v>
      </c>
      <c r="N8" t="s">
        <f>IF(L8&gt;=J8,"PASS","FAIL")</f>
        <v>153</v>
      </c>
      <c r="O8" t="s">
        <v>43</v>
      </c>
      <c r="P8" t="s">
        <f>B8&amp;"|"&amp;IF(O8="","primary",O8)</f>
        <v>163</v>
      </c>
    </row>
    <row r="9">
      <c r="A9" t="s">
        <v>127</v>
      </c>
      <c r="B9" t="s">
        <v>61</v>
      </c>
      <c r="C9" t="s">
        <v>128</v>
      </c>
      <c r="D9">
        <v>0</v>
      </c>
      <c r="E9" t="s">
        <v>151</v>
      </c>
      <c r="F9" t="s">
        <v>162</v>
      </c>
      <c r="G9">
        <v>0.013</v>
      </c>
      <c r="H9">
        <v>0.01</v>
      </c>
      <c r="I9">
        <v>14.36</v>
      </c>
      <c r="J9">
        <f>IF(B9="",0,IF(IFERROR(INDEX('Junction Structure'!D:D,MATCH(B9,'Junction Structure'!A:A,0)),"")="splitter",IF(O9="primary",IF(IFERROR(INDEX('Junction Structure'!U:U,MATCH(B9,'Junction Structure'!A:A,0)),"capacity")="ratio",IFERROR(INDEX('Junction Structure'!K:K,MATCH(B9,'Junction Structure'!A:A,0)),0)*IFERROR(INDEX('Junction Structure'!W:W,MATCH(B9,'Junction Structure'!A:A,0)),0.5),MIN(IFERROR(INDEX('Junction Structure'!K:K,MATCH(B9,'Junction Structure'!A:A,0)),0),IFERROR(INDEX('Junction Structure'!V:V,MATCH(B9,'Junction Structure'!A:A,0)),0))),IF(O9="secondary",IFERROR(INDEX('Junction Structure'!K:K,MATCH(B9,'Junction Structure'!A:A,0)),0)-(IF(IFERROR(INDEX('Junction Structure'!U:U,MATCH(B9,'Junction Structure'!A:A,0)),"capacity")="ratio",IFERROR(INDEX('Junction Structure'!K:K,MATCH(B9,'Junction Structure'!A:A,0)),0)*IFERROR(INDEX('Junction Structure'!W:W,MATCH(B9,'Junction Structure'!A:A,0)),0.5),MIN(IFERROR(INDEX('Junction Structure'!K:K,MATCH(B9,'Junction Structure'!A:A,0)),0),IFERROR(INDEX('Junction Structure'!V:V,MATCH(B9,'Junction Structure'!A:A,0)),0)))),0)),IFERROR(INDEX('Junction Structure'!K:K,MATCH(B9,'Junction Structure'!A:A,0)),0)))</f>
        <v>10.4848</v>
      </c>
      <c r="K9">
        <f>PI()/4*(F9/12)^2</f>
        <v>3.14159</v>
      </c>
      <c r="L9">
        <f>M9*K9</f>
        <v>22.622</v>
      </c>
      <c r="M9">
        <f>(1.486/G9)*K9*((F9/12/4)^(2/3))*SQRT(H9)</f>
        <v>7.201</v>
      </c>
      <c r="N9" t="s">
        <f>IF(L9&gt;=J9,"PASS","FAIL")</f>
        <v>153</v>
      </c>
      <c r="O9" t="s">
        <v>43</v>
      </c>
      <c r="P9" t="s">
        <f>B9&amp;"|"&amp;IF(O9="","primary",O9)</f>
        <v>164</v>
      </c>
    </row>
    <row r="10">
      <c r="A10" t="s">
        <v>129</v>
      </c>
      <c r="B10" t="s">
        <v>78</v>
      </c>
      <c r="C10" t="s">
        <v>128</v>
      </c>
      <c r="D10">
        <v>0</v>
      </c>
      <c r="E10" t="s">
        <v>151</v>
      </c>
      <c r="F10" t="s">
        <v>162</v>
      </c>
      <c r="G10">
        <v>0.013</v>
      </c>
      <c r="H10">
        <v>0.009876</v>
      </c>
      <c r="I10">
        <v>23.29</v>
      </c>
      <c r="J10">
        <f>IF(B10="",0,IF(IFERROR(INDEX('Junction Structure'!D:D,MATCH(B10,'Junction Structure'!A:A,0)),"")="splitter",IF(O10="primary",IF(IFERROR(INDEX('Junction Structure'!U:U,MATCH(B10,'Junction Structure'!A:A,0)),"capacity")="ratio",IFERROR(INDEX('Junction Structure'!K:K,MATCH(B10,'Junction Structure'!A:A,0)),0)*IFERROR(INDEX('Junction Structure'!W:W,MATCH(B10,'Junction Structure'!A:A,0)),0.5),MIN(IFERROR(INDEX('Junction Structure'!K:K,MATCH(B10,'Junction Structure'!A:A,0)),0),IFERROR(INDEX('Junction Structure'!V:V,MATCH(B10,'Junction Structure'!A:A,0)),0))),IF(O10="secondary",IFERROR(INDEX('Junction Structure'!K:K,MATCH(B10,'Junction Structure'!A:A,0)),0)-(IF(IFERROR(INDEX('Junction Structure'!U:U,MATCH(B10,'Junction Structure'!A:A,0)),"capacity")="ratio",IFERROR(INDEX('Junction Structure'!K:K,MATCH(B10,'Junction Structure'!A:A,0)),0)*IFERROR(INDEX('Junction Structure'!W:W,MATCH(B10,'Junction Structure'!A:A,0)),0.5),MIN(IFERROR(INDEX('Junction Structure'!K:K,MATCH(B10,'Junction Structure'!A:A,0)),0),IFERROR(INDEX('Junction Structure'!V:V,MATCH(B10,'Junction Structure'!A:A,0)),0)))),0)),IFERROR(INDEX('Junction Structure'!K:K,MATCH(B10,'Junction Structure'!A:A,0)),0)))</f>
        <v>8.3179</v>
      </c>
      <c r="K10">
        <f>PI()/4*(F10/12)^2</f>
        <v>3.14159</v>
      </c>
      <c r="L10">
        <f>M10*K10</f>
        <v>22.482</v>
      </c>
      <c r="M10">
        <f>(1.486/G10)*K10*((F10/12/4)^(2/3))*SQRT(H10)</f>
        <v>7.156</v>
      </c>
      <c r="N10" t="s">
        <f>IF(L10&gt;=J10,"PASS","FAIL")</f>
        <v>153</v>
      </c>
      <c r="O10" t="s">
        <v>43</v>
      </c>
      <c r="P10" t="s">
        <f>B10&amp;"|"&amp;IF(O10="","primary",O10)</f>
        <v>165</v>
      </c>
    </row>
    <row r="11">
      <c r="A11" t="s">
        <v>132</v>
      </c>
      <c r="B11" t="s">
        <v>76</v>
      </c>
      <c r="C11" t="s">
        <v>74</v>
      </c>
      <c r="D11">
        <v>0</v>
      </c>
      <c r="E11" t="s">
        <v>151</v>
      </c>
      <c r="F11" t="s">
        <v>152</v>
      </c>
      <c r="G11">
        <v>0.013</v>
      </c>
      <c r="H11">
        <v>0.009991</v>
      </c>
      <c r="I11">
        <v>32.03</v>
      </c>
      <c r="J11">
        <f>IF(B11="",0,IF(IFERROR(INDEX('Junction Structure'!D:D,MATCH(B11,'Junction Structure'!A:A,0)),"")="splitter",IF(O11="primary",IF(IFERROR(INDEX('Junction Structure'!U:U,MATCH(B11,'Junction Structure'!A:A,0)),"capacity")="ratio",IFERROR(INDEX('Junction Structure'!K:K,MATCH(B11,'Junction Structure'!A:A,0)),0)*IFERROR(INDEX('Junction Structure'!W:W,MATCH(B11,'Junction Structure'!A:A,0)),0.5),MIN(IFERROR(INDEX('Junction Structure'!K:K,MATCH(B11,'Junction Structure'!A:A,0)),0),IFERROR(INDEX('Junction Structure'!V:V,MATCH(B11,'Junction Structure'!A:A,0)),0))),IF(O11="secondary",IFERROR(INDEX('Junction Structure'!K:K,MATCH(B11,'Junction Structure'!A:A,0)),0)-(IF(IFERROR(INDEX('Junction Structure'!U:U,MATCH(B11,'Junction Structure'!A:A,0)),"capacity")="ratio",IFERROR(INDEX('Junction Structure'!K:K,MATCH(B11,'Junction Structure'!A:A,0)),0)*IFERROR(INDEX('Junction Structure'!W:W,MATCH(B11,'Junction Structure'!A:A,0)),0.5),MIN(IFERROR(INDEX('Junction Structure'!K:K,MATCH(B11,'Junction Structure'!A:A,0)),0),IFERROR(INDEX('Junction Structure'!V:V,MATCH(B11,'Junction Structure'!A:A,0)),0)))),0)),IFERROR(INDEX('Junction Structure'!K:K,MATCH(B11,'Junction Structure'!A:A,0)),0)))</f>
        <v>0.9165</v>
      </c>
      <c r="K11">
        <f>PI()/4*(F11/12)^2</f>
        <v>0.7854</v>
      </c>
      <c r="L11">
        <f>M11*K11</f>
        <v>3.561</v>
      </c>
      <c r="M11">
        <f>(1.486/G11)*K11*((F11/12/4)^(2/3))*SQRT(H11)</f>
        <v>4.534</v>
      </c>
      <c r="N11" t="s">
        <f>IF(L11&gt;=J11,"PASS","FAIL")</f>
        <v>153</v>
      </c>
      <c r="O11" t="s">
        <v>43</v>
      </c>
      <c r="P11" t="s">
        <f>B11&amp;"|"&amp;IF(O11="","primary",O11)</f>
        <v>166</v>
      </c>
    </row>
    <row r="12">
      <c r="A12" t="s">
        <v>133</v>
      </c>
      <c r="B12" t="s">
        <v>74</v>
      </c>
      <c r="C12" t="s">
        <v>72</v>
      </c>
      <c r="D12">
        <v>0</v>
      </c>
      <c r="E12" t="s">
        <v>151</v>
      </c>
      <c r="F12" t="s">
        <v>167</v>
      </c>
      <c r="G12">
        <v>0.013</v>
      </c>
      <c r="H12">
        <v>0.019621</v>
      </c>
      <c r="I12">
        <v>29.56</v>
      </c>
      <c r="J12">
        <f>IF(B12="",0,IF(IFERROR(INDEX('Junction Structure'!D:D,MATCH(B12,'Junction Structure'!A:A,0)),"")="splitter",IF(O12="primary",IF(IFERROR(INDEX('Junction Structure'!U:U,MATCH(B12,'Junction Structure'!A:A,0)),"capacity")="ratio",IFERROR(INDEX('Junction Structure'!K:K,MATCH(B12,'Junction Structure'!A:A,0)),0)*IFERROR(INDEX('Junction Structure'!W:W,MATCH(B12,'Junction Structure'!A:A,0)),0.5),MIN(IFERROR(INDEX('Junction Structure'!K:K,MATCH(B12,'Junction Structure'!A:A,0)),0),IFERROR(INDEX('Junction Structure'!V:V,MATCH(B12,'Junction Structure'!A:A,0)),0))),IF(O12="secondary",IFERROR(INDEX('Junction Structure'!K:K,MATCH(B12,'Junction Structure'!A:A,0)),0)-(IF(IFERROR(INDEX('Junction Structure'!U:U,MATCH(B12,'Junction Structure'!A:A,0)),"capacity")="ratio",IFERROR(INDEX('Junction Structure'!K:K,MATCH(B12,'Junction Structure'!A:A,0)),0)*IFERROR(INDEX('Junction Structure'!W:W,MATCH(B12,'Junction Structure'!A:A,0)),0.5),MIN(IFERROR(INDEX('Junction Structure'!K:K,MATCH(B12,'Junction Structure'!A:A,0)),0),IFERROR(INDEX('Junction Structure'!V:V,MATCH(B12,'Junction Structure'!A:A,0)),0)))),0)),IFERROR(INDEX('Junction Structure'!K:K,MATCH(B12,'Junction Structure'!A:A,0)),0)))</f>
        <v>3.7826</v>
      </c>
      <c r="K12">
        <f>PI()/4*(F12/12)^2</f>
        <v>1.76715</v>
      </c>
      <c r="L12">
        <f>M12*K12</f>
        <v>14.714</v>
      </c>
      <c r="M12">
        <f>(1.486/G12)*K12*((F12/12/4)^(2/3))*SQRT(H12)</f>
        <v>8.326</v>
      </c>
      <c r="N12" t="s">
        <f>IF(L12&gt;=J12,"PASS","FAIL")</f>
        <v>153</v>
      </c>
      <c r="O12" t="s">
        <v>43</v>
      </c>
      <c r="P12" t="s">
        <f>B12&amp;"|"&amp;IF(O12="","primary",O12)</f>
        <v>168</v>
      </c>
    </row>
    <row r="13">
      <c r="A13" t="s">
        <v>134</v>
      </c>
      <c r="B13" t="s">
        <v>72</v>
      </c>
      <c r="C13" t="s">
        <v>135</v>
      </c>
      <c r="D13">
        <v>0</v>
      </c>
      <c r="E13" t="s">
        <v>151</v>
      </c>
      <c r="F13" t="s">
        <v>167</v>
      </c>
      <c r="G13">
        <v>0.013</v>
      </c>
      <c r="H13">
        <v>0.010142</v>
      </c>
      <c r="I13">
        <v>32.31</v>
      </c>
      <c r="J13">
        <f>IF(B13="",0,IF(IFERROR(INDEX('Junction Structure'!D:D,MATCH(B13,'Junction Structure'!A:A,0)),"")="splitter",IF(O13="primary",IF(IFERROR(INDEX('Junction Structure'!U:U,MATCH(B13,'Junction Structure'!A:A,0)),"capacity")="ratio",IFERROR(INDEX('Junction Structure'!K:K,MATCH(B13,'Junction Structure'!A:A,0)),0)*IFERROR(INDEX('Junction Structure'!W:W,MATCH(B13,'Junction Structure'!A:A,0)),0.5),MIN(IFERROR(INDEX('Junction Structure'!K:K,MATCH(B13,'Junction Structure'!A:A,0)),0),IFERROR(INDEX('Junction Structure'!V:V,MATCH(B13,'Junction Structure'!A:A,0)),0))),IF(O13="secondary",IFERROR(INDEX('Junction Structure'!K:K,MATCH(B13,'Junction Structure'!A:A,0)),0)-(IF(IFERROR(INDEX('Junction Structure'!U:U,MATCH(B13,'Junction Structure'!A:A,0)),"capacity")="ratio",IFERROR(INDEX('Junction Structure'!K:K,MATCH(B13,'Junction Structure'!A:A,0)),0)*IFERROR(INDEX('Junction Structure'!W:W,MATCH(B13,'Junction Structure'!A:A,0)),0.5),MIN(IFERROR(INDEX('Junction Structure'!K:K,MATCH(B13,'Junction Structure'!A:A,0)),0),IFERROR(INDEX('Junction Structure'!V:V,MATCH(B13,'Junction Structure'!A:A,0)),0)))),0)),IFERROR(INDEX('Junction Structure'!K:K,MATCH(B13,'Junction Structure'!A:A,0)),0)))</f>
        <v>4.2567</v>
      </c>
      <c r="K13">
        <f>PI()/4*(F13/12)^2</f>
        <v>1.76715</v>
      </c>
      <c r="L13">
        <f>M13*K13</f>
        <v>10.579</v>
      </c>
      <c r="M13">
        <f>(1.486/G13)*K13*((F13/12/4)^(2/3))*SQRT(H13)</f>
        <v>5.986</v>
      </c>
      <c r="N13" t="s">
        <f>IF(L13&gt;=J13,"PASS","FAIL")</f>
        <v>153</v>
      </c>
      <c r="O13" t="s">
        <v>43</v>
      </c>
      <c r="P13" t="s">
        <f>B13&amp;"|"&amp;IF(O13="","primary",O13)</f>
        <v>169</v>
      </c>
    </row>
  </sheetData>
  <ignoredErrors>
    <ignoredError numberStoredAsText="1" sqref="A1:P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26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18.83203125" customWidth="1"/>
  </cols>
  <sheetData>
    <row r="1">
      <c r="A1" t="s">
        <v>170</v>
      </c>
      <c r="B1" t="s">
        <v>171</v>
      </c>
      <c r="C1" t="s">
        <v>49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</row>
    <row r="2">
      <c r="A2" t="s">
        <v>181</v>
      </c>
      <c r="B2" t="s">
        <v>181</v>
      </c>
      <c r="C2" t="s">
        <v>182</v>
      </c>
      <c r="D2" t="s">
        <v>183</v>
      </c>
      <c r="E2">
        <v>100</v>
      </c>
      <c r="F2">
        <v>106</v>
      </c>
      <c r="G2">
        <v>0.5</v>
      </c>
      <c r="H2">
        <v>0.05</v>
      </c>
      <c r="I2">
        <v>0.3</v>
      </c>
      <c r="J2" t="s">
        <v>184</v>
      </c>
      <c r="K2" t="s">
        <v>43</v>
      </c>
      <c r="L2" t="s">
        <v>43</v>
      </c>
    </row>
    <row r="3">
      <c r="A3" t="s">
        <v>185</v>
      </c>
      <c r="B3" t="s">
        <v>185</v>
      </c>
      <c r="C3" t="s">
        <v>186</v>
      </c>
      <c r="D3" t="s">
        <v>187</v>
      </c>
      <c r="E3">
        <v>104</v>
      </c>
      <c r="F3">
        <v>106.5</v>
      </c>
      <c r="G3">
        <v>0.25</v>
      </c>
      <c r="H3">
        <v>0.02</v>
      </c>
      <c r="I3">
        <v>0.2</v>
      </c>
      <c r="J3" t="s">
        <v>188</v>
      </c>
      <c r="K3" t="s">
        <v>43</v>
      </c>
      <c r="L3" t="s">
        <v>43</v>
      </c>
    </row>
  </sheetData>
  <ignoredErrors>
    <ignoredError numberStoredAsText="1" sqref="A1:L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0.83203125" customWidth="1"/>
    <col min="2" max="2" width="20.83203125" customWidth="1"/>
    <col min="3" max="3" width="18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9.83203125" customWidth="1"/>
    <col min="9" max="9" width="10.83203125" customWidth="1"/>
    <col min="10" max="10" width="9.83203125" customWidth="1"/>
    <col min="11" max="11" width="10.83203125" customWidth="1"/>
    <col min="12" max="12" width="12.83203125" customWidth="1"/>
    <col min="13" max="13" width="11.83203125" customWidth="1"/>
    <col min="14" max="14" width="13.83203125" customWidth="1"/>
    <col min="15" max="15" width="14.83203125" customWidth="1"/>
    <col min="16" max="16" width="14.83203125" customWidth="1"/>
    <col min="17" max="17" width="26.83203125" customWidth="1"/>
  </cols>
  <sheetData>
    <row r="1">
      <c r="A1" t="s">
        <v>189</v>
      </c>
      <c r="B1" t="s">
        <v>190</v>
      </c>
      <c r="C1" t="s">
        <v>171</v>
      </c>
      <c r="D1" t="s">
        <v>82</v>
      </c>
      <c r="E1" t="s">
        <v>191</v>
      </c>
      <c r="F1" t="s">
        <v>192</v>
      </c>
      <c r="G1" t="s">
        <v>193</v>
      </c>
      <c r="H1" t="s">
        <v>194</v>
      </c>
      <c r="I1" t="s">
        <v>143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</row>
    <row r="2">
      <c r="A2" t="s">
        <v>203</v>
      </c>
      <c r="B2" t="s">
        <v>181</v>
      </c>
      <c r="C2" t="s">
        <v>204</v>
      </c>
      <c r="D2" t="s">
        <v>205</v>
      </c>
      <c r="E2">
        <v>100.5</v>
      </c>
      <c r="F2" t="s">
        <v>43</v>
      </c>
      <c r="G2">
        <v>6</v>
      </c>
      <c r="H2" t="s">
        <v>206</v>
      </c>
      <c r="I2" t="s">
        <v>43</v>
      </c>
      <c r="J2" t="s">
        <v>43</v>
      </c>
      <c r="K2" t="s">
        <v>43</v>
      </c>
      <c r="L2" t="s">
        <v>43</v>
      </c>
      <c r="M2">
        <v>0.6</v>
      </c>
      <c r="N2" t="s">
        <v>207</v>
      </c>
      <c r="O2">
        <v>0.01</v>
      </c>
      <c r="P2">
        <v>0.15</v>
      </c>
      <c r="Q2" t="s">
        <v>208</v>
      </c>
    </row>
    <row r="3">
      <c r="A3" t="s">
        <v>209</v>
      </c>
      <c r="B3" t="s">
        <v>181</v>
      </c>
      <c r="C3" t="s">
        <v>210</v>
      </c>
      <c r="D3" t="s">
        <v>211</v>
      </c>
      <c r="E3" t="s">
        <v>43</v>
      </c>
      <c r="F3">
        <v>103</v>
      </c>
      <c r="G3" t="s">
        <v>43</v>
      </c>
      <c r="H3" t="s">
        <v>43</v>
      </c>
      <c r="I3">
        <v>4</v>
      </c>
      <c r="J3" t="s">
        <v>212</v>
      </c>
      <c r="K3" t="s">
        <v>213</v>
      </c>
      <c r="L3" t="s">
        <v>43</v>
      </c>
      <c r="M3">
        <v>3.1</v>
      </c>
      <c r="N3" t="s">
        <v>40</v>
      </c>
      <c r="O3" t="s">
        <v>43</v>
      </c>
      <c r="P3" t="s">
        <v>43</v>
      </c>
      <c r="Q3" t="s">
        <v>214</v>
      </c>
    </row>
    <row r="4">
      <c r="A4" t="s">
        <v>215</v>
      </c>
      <c r="B4" t="s">
        <v>181</v>
      </c>
      <c r="C4" t="s">
        <v>216</v>
      </c>
      <c r="D4" t="s">
        <v>211</v>
      </c>
      <c r="E4" t="s">
        <v>43</v>
      </c>
      <c r="F4">
        <v>105</v>
      </c>
      <c r="G4" t="s">
        <v>43</v>
      </c>
      <c r="H4" t="s">
        <v>43</v>
      </c>
      <c r="I4">
        <v>10</v>
      </c>
      <c r="J4" t="s">
        <v>212</v>
      </c>
      <c r="K4" t="s">
        <v>213</v>
      </c>
      <c r="L4" t="s">
        <v>43</v>
      </c>
      <c r="M4">
        <v>3.1</v>
      </c>
      <c r="N4" t="s">
        <v>207</v>
      </c>
      <c r="O4">
        <v>0.05</v>
      </c>
      <c r="P4">
        <v>0</v>
      </c>
      <c r="Q4" t="s">
        <v>217</v>
      </c>
    </row>
    <row r="5">
      <c r="A5" t="s">
        <v>218</v>
      </c>
      <c r="B5" t="s">
        <v>185</v>
      </c>
      <c r="C5" t="s">
        <v>219</v>
      </c>
      <c r="D5" t="s">
        <v>205</v>
      </c>
      <c r="E5">
        <v>104.2</v>
      </c>
      <c r="F5" t="s">
        <v>43</v>
      </c>
      <c r="G5">
        <v>4</v>
      </c>
      <c r="H5" t="s">
        <v>206</v>
      </c>
      <c r="I5" t="s">
        <v>43</v>
      </c>
      <c r="J5" t="s">
        <v>43</v>
      </c>
      <c r="K5" t="s">
        <v>43</v>
      </c>
      <c r="L5" t="s">
        <v>43</v>
      </c>
      <c r="M5">
        <v>0.6</v>
      </c>
      <c r="N5" t="s">
        <v>40</v>
      </c>
      <c r="O5" t="s">
        <v>43</v>
      </c>
      <c r="P5" t="s">
        <v>43</v>
      </c>
      <c r="Q5" t="s">
        <v>220</v>
      </c>
    </row>
    <row r="6">
      <c r="A6" t="s">
        <v>221</v>
      </c>
      <c r="B6" t="s">
        <v>185</v>
      </c>
      <c r="C6" t="s">
        <v>210</v>
      </c>
      <c r="D6" t="s">
        <v>211</v>
      </c>
      <c r="E6" t="s">
        <v>43</v>
      </c>
      <c r="F6">
        <v>105.8</v>
      </c>
      <c r="G6" t="s">
        <v>43</v>
      </c>
      <c r="H6" t="s">
        <v>43</v>
      </c>
      <c r="I6">
        <v>3</v>
      </c>
      <c r="J6" t="s">
        <v>212</v>
      </c>
      <c r="K6" t="s">
        <v>213</v>
      </c>
      <c r="L6" t="s">
        <v>43</v>
      </c>
      <c r="M6">
        <v>3.1</v>
      </c>
      <c r="N6" t="s">
        <v>40</v>
      </c>
      <c r="O6" t="s">
        <v>43</v>
      </c>
      <c r="P6" t="s">
        <v>43</v>
      </c>
      <c r="Q6" t="s">
        <v>222</v>
      </c>
    </row>
  </sheetData>
  <ignoredErrors>
    <ignoredError numberStoredAsText="1" sqref="A1:Q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cols>
    <col min="1" max="1" width="11.83203125" customWidth="1"/>
    <col min="2" max="2" width="11.83203125" customWidth="1"/>
    <col min="3" max="3" width="10.83203125" customWidth="1"/>
    <col min="4" max="4" width="10.83203125" customWidth="1"/>
    <col min="5" max="5" width="15.83203125" customWidth="1"/>
    <col min="6" max="6" width="13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5.83203125" customWidth="1"/>
    <col min="12" max="12" width="13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5.83203125" customWidth="1"/>
    <col min="18" max="18" width="13.83203125" customWidth="1"/>
    <col min="19" max="19" width="12.83203125" customWidth="1"/>
    <col min="20" max="20" width="10.83203125" customWidth="1"/>
    <col min="21" max="21" width="12.83203125" customWidth="1"/>
  </cols>
  <sheetData>
    <row r="1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</row>
    <row r="2">
      <c r="A2">
        <v>100</v>
      </c>
      <c r="B2" t="s">
        <f>IFERROR(INDEX('Junction Structure'!Q:Q,MATCH("",'Junction Structure'!A:A,0)),"")</f>
        <v>43</v>
      </c>
      <c r="C2" t="s">
        <v>43</v>
      </c>
      <c r="D2">
        <v>0</v>
      </c>
      <c r="E2" t="s">
        <v>43</v>
      </c>
      <c r="F2">
        <v>0</v>
      </c>
      <c r="G2" t="s">
        <v>244</v>
      </c>
      <c r="H2">
        <v>0</v>
      </c>
      <c r="I2" t="s">
        <v>43</v>
      </c>
      <c r="J2" t="s">
        <v>43</v>
      </c>
      <c r="K2" t="s">
        <v>43</v>
      </c>
      <c r="L2">
        <v>0</v>
      </c>
      <c r="M2" t="s">
        <v>244</v>
      </c>
      <c r="N2">
        <v>0</v>
      </c>
      <c r="O2" t="s">
        <v>43</v>
      </c>
      <c r="P2" t="s">
        <v>43</v>
      </c>
      <c r="Q2" t="s">
        <v>43</v>
      </c>
      <c r="R2">
        <v>0</v>
      </c>
      <c r="S2" t="s">
        <v>244</v>
      </c>
      <c r="T2">
        <v>0</v>
      </c>
      <c r="U2">
        <f>H2+N2+T2</f>
        <v>0</v>
      </c>
    </row>
    <row r="3">
      <c r="A3">
        <v>100.35</v>
      </c>
      <c r="B3" t="s">
        <f>IFERROR(INDEX('Junction Structure'!Q:Q,MATCH("",'Junction Structure'!A:A,0)),"")</f>
        <v>43</v>
      </c>
      <c r="C3" t="s">
        <v>43</v>
      </c>
      <c r="D3">
        <v>0</v>
      </c>
      <c r="E3" t="s">
        <v>43</v>
      </c>
      <c r="F3">
        <v>0</v>
      </c>
      <c r="G3" t="s">
        <v>244</v>
      </c>
      <c r="H3">
        <v>0</v>
      </c>
      <c r="I3" t="s">
        <v>43</v>
      </c>
      <c r="J3" t="s">
        <v>43</v>
      </c>
      <c r="K3" t="s">
        <v>43</v>
      </c>
      <c r="L3">
        <v>0</v>
      </c>
      <c r="M3" t="s">
        <v>244</v>
      </c>
      <c r="N3">
        <v>0</v>
      </c>
      <c r="O3" t="s">
        <v>43</v>
      </c>
      <c r="P3" t="s">
        <v>43</v>
      </c>
      <c r="Q3" t="s">
        <v>43</v>
      </c>
      <c r="R3">
        <v>0</v>
      </c>
      <c r="S3" t="s">
        <v>244</v>
      </c>
      <c r="T3">
        <v>0</v>
      </c>
      <c r="U3">
        <f>H3+N3+T3</f>
        <v>0</v>
      </c>
    </row>
    <row r="4">
      <c r="A4">
        <v>100.36</v>
      </c>
      <c r="B4" t="s">
        <f>IFERROR(INDEX('Junction Structure'!Q:Q,MATCH("",'Junction Structure'!A:A,0)),"")</f>
        <v>43</v>
      </c>
      <c r="C4" t="s">
        <v>43</v>
      </c>
      <c r="D4">
        <v>0</v>
      </c>
      <c r="E4" t="s">
        <v>43</v>
      </c>
      <c r="F4">
        <v>0</v>
      </c>
      <c r="G4" t="s">
        <v>244</v>
      </c>
      <c r="H4">
        <v>0</v>
      </c>
      <c r="I4" t="s">
        <v>43</v>
      </c>
      <c r="J4" t="s">
        <v>43</v>
      </c>
      <c r="K4" t="s">
        <v>43</v>
      </c>
      <c r="L4">
        <v>0</v>
      </c>
      <c r="M4" t="s">
        <v>244</v>
      </c>
      <c r="N4">
        <v>0</v>
      </c>
      <c r="O4" t="s">
        <v>43</v>
      </c>
      <c r="P4" t="s">
        <v>43</v>
      </c>
      <c r="Q4" t="s">
        <v>43</v>
      </c>
      <c r="R4">
        <v>0</v>
      </c>
      <c r="S4" t="s">
        <v>244</v>
      </c>
      <c r="T4">
        <v>0</v>
      </c>
      <c r="U4">
        <f>H4+N4+T4</f>
        <v>0</v>
      </c>
    </row>
    <row r="5">
      <c r="A5">
        <v>100.37</v>
      </c>
      <c r="B5" t="s">
        <f>IFERROR(INDEX('Junction Structure'!Q:Q,MATCH("",'Junction Structure'!A:A,0)),"")</f>
        <v>43</v>
      </c>
      <c r="C5" t="s">
        <v>43</v>
      </c>
      <c r="D5">
        <v>0</v>
      </c>
      <c r="E5" t="s">
        <v>43</v>
      </c>
      <c r="F5">
        <v>0</v>
      </c>
      <c r="G5" t="s">
        <v>244</v>
      </c>
      <c r="H5">
        <v>0</v>
      </c>
      <c r="I5" t="s">
        <v>43</v>
      </c>
      <c r="J5" t="s">
        <v>43</v>
      </c>
      <c r="K5" t="s">
        <v>43</v>
      </c>
      <c r="L5">
        <v>0</v>
      </c>
      <c r="M5" t="s">
        <v>244</v>
      </c>
      <c r="N5">
        <v>0</v>
      </c>
      <c r="O5" t="s">
        <v>43</v>
      </c>
      <c r="P5" t="s">
        <v>43</v>
      </c>
      <c r="Q5" t="s">
        <v>43</v>
      </c>
      <c r="R5">
        <v>0</v>
      </c>
      <c r="S5" t="s">
        <v>244</v>
      </c>
      <c r="T5">
        <v>0</v>
      </c>
      <c r="U5">
        <f>H5+N5+T5</f>
        <v>0</v>
      </c>
    </row>
    <row r="6">
      <c r="A6">
        <v>100.38</v>
      </c>
      <c r="B6" t="s">
        <f>IFERROR(INDEX('Junction Structure'!Q:Q,MATCH("",'Junction Structure'!A:A,0)),"")</f>
        <v>43</v>
      </c>
      <c r="C6" t="s">
        <v>43</v>
      </c>
      <c r="D6">
        <v>0</v>
      </c>
      <c r="E6" t="s">
        <v>43</v>
      </c>
      <c r="F6">
        <v>0</v>
      </c>
      <c r="G6" t="s">
        <v>244</v>
      </c>
      <c r="H6">
        <v>0</v>
      </c>
      <c r="I6" t="s">
        <v>43</v>
      </c>
      <c r="J6" t="s">
        <v>43</v>
      </c>
      <c r="K6" t="s">
        <v>43</v>
      </c>
      <c r="L6">
        <v>0</v>
      </c>
      <c r="M6" t="s">
        <v>244</v>
      </c>
      <c r="N6">
        <v>0</v>
      </c>
      <c r="O6" t="s">
        <v>43</v>
      </c>
      <c r="P6" t="s">
        <v>43</v>
      </c>
      <c r="Q6" t="s">
        <v>43</v>
      </c>
      <c r="R6">
        <v>0</v>
      </c>
      <c r="S6" t="s">
        <v>244</v>
      </c>
      <c r="T6">
        <v>0</v>
      </c>
      <c r="U6">
        <f>H6+N6+T6</f>
        <v>0</v>
      </c>
    </row>
    <row r="7">
      <c r="A7">
        <v>100.39</v>
      </c>
      <c r="B7" t="s">
        <f>IFERROR(INDEX('Junction Structure'!Q:Q,MATCH("",'Junction Structure'!A:A,0)),"")</f>
        <v>43</v>
      </c>
      <c r="C7" t="s">
        <v>43</v>
      </c>
      <c r="D7">
        <v>0</v>
      </c>
      <c r="E7" t="s">
        <v>43</v>
      </c>
      <c r="F7">
        <v>0</v>
      </c>
      <c r="G7" t="s">
        <v>244</v>
      </c>
      <c r="H7">
        <v>0</v>
      </c>
      <c r="I7" t="s">
        <v>43</v>
      </c>
      <c r="J7" t="s">
        <v>43</v>
      </c>
      <c r="K7" t="s">
        <v>43</v>
      </c>
      <c r="L7">
        <v>0</v>
      </c>
      <c r="M7" t="s">
        <v>244</v>
      </c>
      <c r="N7">
        <v>0</v>
      </c>
      <c r="O7" t="s">
        <v>43</v>
      </c>
      <c r="P7" t="s">
        <v>43</v>
      </c>
      <c r="Q7" t="s">
        <v>43</v>
      </c>
      <c r="R7">
        <v>0</v>
      </c>
      <c r="S7" t="s">
        <v>244</v>
      </c>
      <c r="T7">
        <v>0</v>
      </c>
      <c r="U7">
        <f>H7+N7+T7</f>
        <v>0</v>
      </c>
    </row>
    <row r="8">
      <c r="A8">
        <v>100.4</v>
      </c>
      <c r="B8" t="s">
        <f>IFERROR(INDEX('Junction Structure'!Q:Q,MATCH("",'Junction Structure'!A:A,0)),"")</f>
        <v>43</v>
      </c>
      <c r="C8" t="s">
        <v>43</v>
      </c>
      <c r="D8">
        <v>0</v>
      </c>
      <c r="E8" t="s">
        <v>43</v>
      </c>
      <c r="F8">
        <v>0</v>
      </c>
      <c r="G8" t="s">
        <v>244</v>
      </c>
      <c r="H8">
        <v>0</v>
      </c>
      <c r="I8" t="s">
        <v>43</v>
      </c>
      <c r="J8" t="s">
        <v>43</v>
      </c>
      <c r="K8" t="s">
        <v>43</v>
      </c>
      <c r="L8">
        <v>0</v>
      </c>
      <c r="M8" t="s">
        <v>244</v>
      </c>
      <c r="N8">
        <v>0</v>
      </c>
      <c r="O8" t="s">
        <v>43</v>
      </c>
      <c r="P8" t="s">
        <v>43</v>
      </c>
      <c r="Q8" t="s">
        <v>43</v>
      </c>
      <c r="R8">
        <v>0</v>
      </c>
      <c r="S8" t="s">
        <v>244</v>
      </c>
      <c r="T8">
        <v>0</v>
      </c>
      <c r="U8">
        <f>H8+N8+T8</f>
        <v>0</v>
      </c>
    </row>
    <row r="9">
      <c r="A9">
        <v>100.41</v>
      </c>
      <c r="B9" t="s">
        <f>IFERROR(INDEX('Junction Structure'!Q:Q,MATCH("",'Junction Structure'!A:A,0)),"")</f>
        <v>43</v>
      </c>
      <c r="C9" t="s">
        <v>43</v>
      </c>
      <c r="D9">
        <v>0</v>
      </c>
      <c r="E9" t="s">
        <v>43</v>
      </c>
      <c r="F9">
        <v>0</v>
      </c>
      <c r="G9" t="s">
        <v>244</v>
      </c>
      <c r="H9">
        <v>0</v>
      </c>
      <c r="I9" t="s">
        <v>43</v>
      </c>
      <c r="J9" t="s">
        <v>43</v>
      </c>
      <c r="K9" t="s">
        <v>43</v>
      </c>
      <c r="L9">
        <v>0</v>
      </c>
      <c r="M9" t="s">
        <v>244</v>
      </c>
      <c r="N9">
        <v>0</v>
      </c>
      <c r="O9" t="s">
        <v>43</v>
      </c>
      <c r="P9" t="s">
        <v>43</v>
      </c>
      <c r="Q9" t="s">
        <v>43</v>
      </c>
      <c r="R9">
        <v>0</v>
      </c>
      <c r="S9" t="s">
        <v>244</v>
      </c>
      <c r="T9">
        <v>0</v>
      </c>
      <c r="U9">
        <f>H9+N9+T9</f>
        <v>0</v>
      </c>
    </row>
    <row r="10">
      <c r="A10">
        <v>100.42</v>
      </c>
      <c r="B10" t="s">
        <f>IFERROR(INDEX('Junction Structure'!Q:Q,MATCH("",'Junction Structure'!A:A,0)),"")</f>
        <v>43</v>
      </c>
      <c r="C10" t="s">
        <v>43</v>
      </c>
      <c r="D10">
        <v>0</v>
      </c>
      <c r="E10" t="s">
        <v>43</v>
      </c>
      <c r="F10">
        <v>0</v>
      </c>
      <c r="G10" t="s">
        <v>244</v>
      </c>
      <c r="H10">
        <v>0</v>
      </c>
      <c r="I10" t="s">
        <v>43</v>
      </c>
      <c r="J10" t="s">
        <v>43</v>
      </c>
      <c r="K10" t="s">
        <v>43</v>
      </c>
      <c r="L10">
        <v>0</v>
      </c>
      <c r="M10" t="s">
        <v>244</v>
      </c>
      <c r="N10">
        <v>0</v>
      </c>
      <c r="O10" t="s">
        <v>43</v>
      </c>
      <c r="P10" t="s">
        <v>43</v>
      </c>
      <c r="Q10" t="s">
        <v>43</v>
      </c>
      <c r="R10">
        <v>0</v>
      </c>
      <c r="S10" t="s">
        <v>244</v>
      </c>
      <c r="T10">
        <v>0</v>
      </c>
      <c r="U10">
        <f>H10+N10+T10</f>
        <v>0</v>
      </c>
    </row>
    <row r="11">
      <c r="A11">
        <v>100.43</v>
      </c>
      <c r="B11" t="s">
        <f>IFERROR(INDEX('Junction Structure'!Q:Q,MATCH("",'Junction Structure'!A:A,0)),"")</f>
        <v>43</v>
      </c>
      <c r="C11" t="s">
        <v>43</v>
      </c>
      <c r="D11">
        <v>0</v>
      </c>
      <c r="E11" t="s">
        <v>43</v>
      </c>
      <c r="F11">
        <v>0</v>
      </c>
      <c r="G11" t="s">
        <v>244</v>
      </c>
      <c r="H11">
        <v>0</v>
      </c>
      <c r="I11" t="s">
        <v>43</v>
      </c>
      <c r="J11" t="s">
        <v>43</v>
      </c>
      <c r="K11" t="s">
        <v>43</v>
      </c>
      <c r="L11">
        <v>0</v>
      </c>
      <c r="M11" t="s">
        <v>244</v>
      </c>
      <c r="N11">
        <v>0</v>
      </c>
      <c r="O11" t="s">
        <v>43</v>
      </c>
      <c r="P11" t="s">
        <v>43</v>
      </c>
      <c r="Q11" t="s">
        <v>43</v>
      </c>
      <c r="R11">
        <v>0</v>
      </c>
      <c r="S11" t="s">
        <v>244</v>
      </c>
      <c r="T11">
        <v>0</v>
      </c>
      <c r="U11">
        <f>H11+N11+T11</f>
        <v>0</v>
      </c>
    </row>
    <row r="12">
      <c r="A12">
        <v>100.44</v>
      </c>
      <c r="B12" t="s">
        <f>IFERROR(INDEX('Junction Structure'!Q:Q,MATCH("",'Junction Structure'!A:A,0)),"")</f>
        <v>43</v>
      </c>
      <c r="C12" t="s">
        <v>43</v>
      </c>
      <c r="D12">
        <v>0</v>
      </c>
      <c r="E12" t="s">
        <v>43</v>
      </c>
      <c r="F12">
        <v>0</v>
      </c>
      <c r="G12" t="s">
        <v>244</v>
      </c>
      <c r="H12">
        <v>0</v>
      </c>
      <c r="I12" t="s">
        <v>43</v>
      </c>
      <c r="J12" t="s">
        <v>43</v>
      </c>
      <c r="K12" t="s">
        <v>43</v>
      </c>
      <c r="L12">
        <v>0</v>
      </c>
      <c r="M12" t="s">
        <v>244</v>
      </c>
      <c r="N12">
        <v>0</v>
      </c>
      <c r="O12" t="s">
        <v>43</v>
      </c>
      <c r="P12" t="s">
        <v>43</v>
      </c>
      <c r="Q12" t="s">
        <v>43</v>
      </c>
      <c r="R12">
        <v>0</v>
      </c>
      <c r="S12" t="s">
        <v>244</v>
      </c>
      <c r="T12">
        <v>0</v>
      </c>
      <c r="U12">
        <f>H12+N12+T12</f>
        <v>0</v>
      </c>
    </row>
    <row r="13">
      <c r="A13">
        <v>100.45</v>
      </c>
      <c r="B13" t="s">
        <f>IFERROR(INDEX('Junction Structure'!Q:Q,MATCH("",'Junction Structure'!A:A,0)),"")</f>
        <v>43</v>
      </c>
      <c r="C13" t="s">
        <v>43</v>
      </c>
      <c r="D13">
        <v>0</v>
      </c>
      <c r="E13" t="s">
        <v>43</v>
      </c>
      <c r="F13">
        <v>0</v>
      </c>
      <c r="G13" t="s">
        <v>244</v>
      </c>
      <c r="H13">
        <v>0</v>
      </c>
      <c r="I13" t="s">
        <v>43</v>
      </c>
      <c r="J13" t="s">
        <v>43</v>
      </c>
      <c r="K13" t="s">
        <v>43</v>
      </c>
      <c r="L13">
        <v>0</v>
      </c>
      <c r="M13" t="s">
        <v>244</v>
      </c>
      <c r="N13">
        <v>0</v>
      </c>
      <c r="O13" t="s">
        <v>43</v>
      </c>
      <c r="P13" t="s">
        <v>43</v>
      </c>
      <c r="Q13" t="s">
        <v>43</v>
      </c>
      <c r="R13">
        <v>0</v>
      </c>
      <c r="S13" t="s">
        <v>244</v>
      </c>
      <c r="T13">
        <v>0</v>
      </c>
      <c r="U13">
        <f>H13+N13+T13</f>
        <v>0</v>
      </c>
    </row>
    <row r="14">
      <c r="A14">
        <v>100.46</v>
      </c>
      <c r="B14" t="s">
        <f>IFERROR(INDEX('Junction Structure'!Q:Q,MATCH("",'Junction Structure'!A:A,0)),"")</f>
        <v>43</v>
      </c>
      <c r="C14" t="s">
        <v>43</v>
      </c>
      <c r="D14">
        <v>0</v>
      </c>
      <c r="E14" t="s">
        <v>43</v>
      </c>
      <c r="F14">
        <v>0</v>
      </c>
      <c r="G14" t="s">
        <v>244</v>
      </c>
      <c r="H14">
        <v>0</v>
      </c>
      <c r="I14" t="s">
        <v>43</v>
      </c>
      <c r="J14" t="s">
        <v>43</v>
      </c>
      <c r="K14" t="s">
        <v>43</v>
      </c>
      <c r="L14">
        <v>0</v>
      </c>
      <c r="M14" t="s">
        <v>244</v>
      </c>
      <c r="N14">
        <v>0</v>
      </c>
      <c r="O14" t="s">
        <v>43</v>
      </c>
      <c r="P14" t="s">
        <v>43</v>
      </c>
      <c r="Q14" t="s">
        <v>43</v>
      </c>
      <c r="R14">
        <v>0</v>
      </c>
      <c r="S14" t="s">
        <v>244</v>
      </c>
      <c r="T14">
        <v>0</v>
      </c>
      <c r="U14">
        <f>H14+N14+T14</f>
        <v>0</v>
      </c>
    </row>
    <row r="15">
      <c r="A15">
        <v>100.47</v>
      </c>
      <c r="B15" t="s">
        <f>IFERROR(INDEX('Junction Structure'!Q:Q,MATCH("",'Junction Structure'!A:A,0)),"")</f>
        <v>43</v>
      </c>
      <c r="C15" t="s">
        <v>43</v>
      </c>
      <c r="D15">
        <v>0</v>
      </c>
      <c r="E15" t="s">
        <v>43</v>
      </c>
      <c r="F15">
        <v>0</v>
      </c>
      <c r="G15" t="s">
        <v>244</v>
      </c>
      <c r="H15">
        <v>0</v>
      </c>
      <c r="I15" t="s">
        <v>43</v>
      </c>
      <c r="J15" t="s">
        <v>43</v>
      </c>
      <c r="K15" t="s">
        <v>43</v>
      </c>
      <c r="L15">
        <v>0</v>
      </c>
      <c r="M15" t="s">
        <v>244</v>
      </c>
      <c r="N15">
        <v>0</v>
      </c>
      <c r="O15" t="s">
        <v>43</v>
      </c>
      <c r="P15" t="s">
        <v>43</v>
      </c>
      <c r="Q15" t="s">
        <v>43</v>
      </c>
      <c r="R15">
        <v>0</v>
      </c>
      <c r="S15" t="s">
        <v>244</v>
      </c>
      <c r="T15">
        <v>0</v>
      </c>
      <c r="U15">
        <f>H15+N15+T15</f>
        <v>0</v>
      </c>
    </row>
    <row r="16">
      <c r="A16">
        <v>100.48</v>
      </c>
      <c r="B16" t="s">
        <f>IFERROR(INDEX('Junction Structure'!Q:Q,MATCH("",'Junction Structure'!A:A,0)),"")</f>
        <v>43</v>
      </c>
      <c r="C16" t="s">
        <v>43</v>
      </c>
      <c r="D16">
        <v>0</v>
      </c>
      <c r="E16" t="s">
        <v>43</v>
      </c>
      <c r="F16">
        <v>0</v>
      </c>
      <c r="G16" t="s">
        <v>244</v>
      </c>
      <c r="H16">
        <v>0</v>
      </c>
      <c r="I16" t="s">
        <v>43</v>
      </c>
      <c r="J16" t="s">
        <v>43</v>
      </c>
      <c r="K16" t="s">
        <v>43</v>
      </c>
      <c r="L16">
        <v>0</v>
      </c>
      <c r="M16" t="s">
        <v>244</v>
      </c>
      <c r="N16">
        <v>0</v>
      </c>
      <c r="O16" t="s">
        <v>43</v>
      </c>
      <c r="P16" t="s">
        <v>43</v>
      </c>
      <c r="Q16" t="s">
        <v>43</v>
      </c>
      <c r="R16">
        <v>0</v>
      </c>
      <c r="S16" t="s">
        <v>244</v>
      </c>
      <c r="T16">
        <v>0</v>
      </c>
      <c r="U16">
        <f>H16+N16+T16</f>
        <v>0</v>
      </c>
    </row>
    <row r="17">
      <c r="A17">
        <v>100.49</v>
      </c>
      <c r="B17" t="s">
        <f>IFERROR(INDEX('Junction Structure'!Q:Q,MATCH("",'Junction Structure'!A:A,0)),"")</f>
        <v>43</v>
      </c>
      <c r="C17" t="s">
        <v>43</v>
      </c>
      <c r="D17">
        <v>0</v>
      </c>
      <c r="E17" t="s">
        <v>43</v>
      </c>
      <c r="F17">
        <v>0</v>
      </c>
      <c r="G17" t="s">
        <v>244</v>
      </c>
      <c r="H17">
        <v>0</v>
      </c>
      <c r="I17" t="s">
        <v>43</v>
      </c>
      <c r="J17" t="s">
        <v>43</v>
      </c>
      <c r="K17" t="s">
        <v>43</v>
      </c>
      <c r="L17">
        <v>0</v>
      </c>
      <c r="M17" t="s">
        <v>244</v>
      </c>
      <c r="N17">
        <v>0</v>
      </c>
      <c r="O17" t="s">
        <v>43</v>
      </c>
      <c r="P17" t="s">
        <v>43</v>
      </c>
      <c r="Q17" t="s">
        <v>43</v>
      </c>
      <c r="R17">
        <v>0</v>
      </c>
      <c r="S17" t="s">
        <v>244</v>
      </c>
      <c r="T17">
        <v>0</v>
      </c>
      <c r="U17">
        <f>H17+N17+T17</f>
        <v>0</v>
      </c>
    </row>
    <row r="18">
      <c r="A18">
        <v>100.5</v>
      </c>
      <c r="B18" t="s">
        <f>IFERROR(INDEX('Junction Structure'!Q:Q,MATCH("",'Junction Structure'!A:A,0)),"")</f>
        <v>43</v>
      </c>
      <c r="C18" t="s">
        <v>43</v>
      </c>
      <c r="D18">
        <v>0</v>
      </c>
      <c r="E18" t="s">
        <v>43</v>
      </c>
      <c r="F18">
        <v>0</v>
      </c>
      <c r="G18" t="s">
        <v>244</v>
      </c>
      <c r="H18">
        <v>0</v>
      </c>
      <c r="I18" t="s">
        <v>43</v>
      </c>
      <c r="J18" t="s">
        <v>43</v>
      </c>
      <c r="K18" t="s">
        <v>43</v>
      </c>
      <c r="L18">
        <v>0</v>
      </c>
      <c r="M18" t="s">
        <v>244</v>
      </c>
      <c r="N18">
        <v>0</v>
      </c>
      <c r="O18" t="s">
        <v>43</v>
      </c>
      <c r="P18" t="s">
        <v>43</v>
      </c>
      <c r="Q18" t="s">
        <v>43</v>
      </c>
      <c r="R18">
        <v>0</v>
      </c>
      <c r="S18" t="s">
        <v>244</v>
      </c>
      <c r="T18">
        <v>0</v>
      </c>
      <c r="U18">
        <f>H18+N18+T18</f>
        <v>0</v>
      </c>
    </row>
    <row r="19">
      <c r="A19">
        <v>100.51</v>
      </c>
      <c r="B19" t="s">
        <f>IFERROR(INDEX('Junction Structure'!Q:Q,MATCH("",'Junction Structure'!A:A,0)),"")</f>
        <v>43</v>
      </c>
      <c r="C19">
        <v>16.26</v>
      </c>
      <c r="D19">
        <v>0.0009</v>
      </c>
      <c r="E19">
        <v>0.006</v>
      </c>
      <c r="F19">
        <v>0.004</v>
      </c>
      <c r="G19" t="s">
        <v>245</v>
      </c>
      <c r="H19">
        <v>0.0003</v>
      </c>
      <c r="I19" t="s">
        <v>43</v>
      </c>
      <c r="J19" t="s">
        <v>43</v>
      </c>
      <c r="K19" t="s">
        <v>43</v>
      </c>
      <c r="L19">
        <v>0</v>
      </c>
      <c r="M19" t="s">
        <v>244</v>
      </c>
      <c r="N19">
        <v>0</v>
      </c>
      <c r="O19" t="s">
        <v>43</v>
      </c>
      <c r="P19" t="s">
        <v>43</v>
      </c>
      <c r="Q19" t="s">
        <v>43</v>
      </c>
      <c r="R19">
        <v>0</v>
      </c>
      <c r="S19" t="s">
        <v>244</v>
      </c>
      <c r="T19">
        <v>0</v>
      </c>
      <c r="U19">
        <f>H19+N19+T19</f>
        <v>0.0003</v>
      </c>
    </row>
    <row r="20">
      <c r="A20">
        <v>100.52</v>
      </c>
      <c r="B20" t="s">
        <f>IFERROR(INDEX('Junction Structure'!Q:Q,MATCH("",'Junction Structure'!A:A,0)),"")</f>
        <v>43</v>
      </c>
      <c r="C20">
        <v>23.074</v>
      </c>
      <c r="D20">
        <v>0.0026</v>
      </c>
      <c r="E20">
        <v>0.012</v>
      </c>
      <c r="F20">
        <v>0.008</v>
      </c>
      <c r="G20" t="s">
        <v>245</v>
      </c>
      <c r="H20">
        <v>0.0011</v>
      </c>
      <c r="I20" t="s">
        <v>43</v>
      </c>
      <c r="J20" t="s">
        <v>43</v>
      </c>
      <c r="K20" t="s">
        <v>43</v>
      </c>
      <c r="L20">
        <v>0</v>
      </c>
      <c r="M20" t="s">
        <v>244</v>
      </c>
      <c r="N20">
        <v>0</v>
      </c>
      <c r="O20" t="s">
        <v>43</v>
      </c>
      <c r="P20" t="s">
        <v>43</v>
      </c>
      <c r="Q20" t="s">
        <v>43</v>
      </c>
      <c r="R20">
        <v>0</v>
      </c>
      <c r="S20" t="s">
        <v>244</v>
      </c>
      <c r="T20">
        <v>0</v>
      </c>
      <c r="U20">
        <f>H20+N20+T20</f>
        <v>0.0011</v>
      </c>
    </row>
    <row r="21">
      <c r="A21">
        <v>100.53</v>
      </c>
      <c r="B21" t="s">
        <f>IFERROR(INDEX('Junction Structure'!Q:Q,MATCH("",'Junction Structure'!A:A,0)),"")</f>
        <v>43</v>
      </c>
      <c r="C21">
        <v>28.358</v>
      </c>
      <c r="D21">
        <v>0.0048</v>
      </c>
      <c r="E21">
        <v>0.0179</v>
      </c>
      <c r="F21">
        <v>0.0121</v>
      </c>
      <c r="G21" t="s">
        <v>245</v>
      </c>
      <c r="H21">
        <v>0.0025</v>
      </c>
      <c r="I21" t="s">
        <v>43</v>
      </c>
      <c r="J21" t="s">
        <v>43</v>
      </c>
      <c r="K21" t="s">
        <v>43</v>
      </c>
      <c r="L21">
        <v>0</v>
      </c>
      <c r="M21" t="s">
        <v>244</v>
      </c>
      <c r="N21">
        <v>0</v>
      </c>
      <c r="O21" t="s">
        <v>43</v>
      </c>
      <c r="P21" t="s">
        <v>43</v>
      </c>
      <c r="Q21" t="s">
        <v>43</v>
      </c>
      <c r="R21">
        <v>0</v>
      </c>
      <c r="S21" t="s">
        <v>244</v>
      </c>
      <c r="T21">
        <v>0</v>
      </c>
      <c r="U21">
        <f>H21+N21+T21</f>
        <v>0.0025</v>
      </c>
    </row>
    <row r="22">
      <c r="A22">
        <v>100.54</v>
      </c>
      <c r="B22" t="s">
        <f>IFERROR(INDEX('Junction Structure'!Q:Q,MATCH("",'Junction Structure'!A:A,0)),"")</f>
        <v>43</v>
      </c>
      <c r="C22">
        <v>32.86</v>
      </c>
      <c r="D22">
        <v>0.0074</v>
      </c>
      <c r="E22">
        <v>0.0239</v>
      </c>
      <c r="F22">
        <v>0.0161</v>
      </c>
      <c r="G22" t="s">
        <v>245</v>
      </c>
      <c r="H22">
        <v>0.0045</v>
      </c>
      <c r="I22" t="s">
        <v>43</v>
      </c>
      <c r="J22" t="s">
        <v>43</v>
      </c>
      <c r="K22" t="s">
        <v>43</v>
      </c>
      <c r="L22">
        <v>0</v>
      </c>
      <c r="M22" t="s">
        <v>244</v>
      </c>
      <c r="N22">
        <v>0</v>
      </c>
      <c r="O22" t="s">
        <v>43</v>
      </c>
      <c r="P22" t="s">
        <v>43</v>
      </c>
      <c r="Q22" t="s">
        <v>43</v>
      </c>
      <c r="R22">
        <v>0</v>
      </c>
      <c r="S22" t="s">
        <v>244</v>
      </c>
      <c r="T22">
        <v>0</v>
      </c>
      <c r="U22">
        <f>H22+N22+T22</f>
        <v>0.0045</v>
      </c>
    </row>
    <row r="23">
      <c r="A23">
        <v>100.55</v>
      </c>
      <c r="B23" t="s">
        <f>IFERROR(INDEX('Junction Structure'!Q:Q,MATCH("",'Junction Structure'!A:A,0)),"")</f>
        <v>43</v>
      </c>
      <c r="C23">
        <v>36.87</v>
      </c>
      <c r="D23">
        <v>0.0102</v>
      </c>
      <c r="E23">
        <v>0.0298</v>
      </c>
      <c r="F23">
        <v>0.0202</v>
      </c>
      <c r="G23" t="s">
        <v>245</v>
      </c>
      <c r="H23">
        <v>0.007</v>
      </c>
      <c r="I23" t="s">
        <v>43</v>
      </c>
      <c r="J23" t="s">
        <v>43</v>
      </c>
      <c r="K23" t="s">
        <v>43</v>
      </c>
      <c r="L23">
        <v>0</v>
      </c>
      <c r="M23" t="s">
        <v>244</v>
      </c>
      <c r="N23">
        <v>0</v>
      </c>
      <c r="O23" t="s">
        <v>43</v>
      </c>
      <c r="P23" t="s">
        <v>43</v>
      </c>
      <c r="Q23" t="s">
        <v>43</v>
      </c>
      <c r="R23">
        <v>0</v>
      </c>
      <c r="S23" t="s">
        <v>244</v>
      </c>
      <c r="T23">
        <v>0</v>
      </c>
      <c r="U23">
        <f>H23+N23+T23</f>
        <v>0.007</v>
      </c>
    </row>
    <row r="24">
      <c r="A24">
        <v>100.56</v>
      </c>
      <c r="B24" t="s">
        <f>IFERROR(INDEX('Junction Structure'!Q:Q,MATCH("",'Junction Structure'!A:A,0)),"")</f>
        <v>43</v>
      </c>
      <c r="C24">
        <v>40.536</v>
      </c>
      <c r="D24">
        <v>0.0133</v>
      </c>
      <c r="E24">
        <v>0.0357</v>
      </c>
      <c r="F24">
        <v>0.0243</v>
      </c>
      <c r="G24" t="s">
        <v>245</v>
      </c>
      <c r="H24">
        <v>0.01</v>
      </c>
      <c r="I24" t="s">
        <v>43</v>
      </c>
      <c r="J24" t="s">
        <v>43</v>
      </c>
      <c r="K24" t="s">
        <v>43</v>
      </c>
      <c r="L24">
        <v>0</v>
      </c>
      <c r="M24" t="s">
        <v>244</v>
      </c>
      <c r="N24">
        <v>0</v>
      </c>
      <c r="O24" t="s">
        <v>43</v>
      </c>
      <c r="P24" t="s">
        <v>43</v>
      </c>
      <c r="Q24" t="s">
        <v>43</v>
      </c>
      <c r="R24">
        <v>0</v>
      </c>
      <c r="S24" t="s">
        <v>244</v>
      </c>
      <c r="T24">
        <v>0</v>
      </c>
      <c r="U24">
        <f>H24+N24+T24</f>
        <v>0.01</v>
      </c>
    </row>
    <row r="25">
      <c r="A25">
        <v>100.57</v>
      </c>
      <c r="B25" t="s">
        <f>IFERROR(INDEX('Junction Structure'!Q:Q,MATCH("",'Junction Structure'!A:A,0)),"")</f>
        <v>43</v>
      </c>
      <c r="C25">
        <v>43.946</v>
      </c>
      <c r="D25">
        <v>0.0167</v>
      </c>
      <c r="E25">
        <v>0.0416</v>
      </c>
      <c r="F25">
        <v>0.0284</v>
      </c>
      <c r="G25" t="s">
        <v>245</v>
      </c>
      <c r="H25">
        <v>0.0135</v>
      </c>
      <c r="I25" t="s">
        <v>43</v>
      </c>
      <c r="J25" t="s">
        <v>43</v>
      </c>
      <c r="K25" t="s">
        <v>43</v>
      </c>
      <c r="L25">
        <v>0</v>
      </c>
      <c r="M25" t="s">
        <v>244</v>
      </c>
      <c r="N25">
        <v>0</v>
      </c>
      <c r="O25" t="s">
        <v>43</v>
      </c>
      <c r="P25" t="s">
        <v>43</v>
      </c>
      <c r="Q25" t="s">
        <v>43</v>
      </c>
      <c r="R25">
        <v>0</v>
      </c>
      <c r="S25" t="s">
        <v>244</v>
      </c>
      <c r="T25">
        <v>0</v>
      </c>
      <c r="U25">
        <f>H25+N25+T25</f>
        <v>0.0135</v>
      </c>
    </row>
    <row r="26">
      <c r="A26">
        <v>100.58</v>
      </c>
      <c r="B26" t="s">
        <f>IFERROR(INDEX('Junction Structure'!Q:Q,MATCH("",'Junction Structure'!A:A,0)),"")</f>
        <v>43</v>
      </c>
      <c r="C26">
        <v>47.156</v>
      </c>
      <c r="D26">
        <v>0.0203</v>
      </c>
      <c r="E26">
        <v>0.0475</v>
      </c>
      <c r="F26">
        <v>0.0325</v>
      </c>
      <c r="G26" t="s">
        <v>245</v>
      </c>
      <c r="H26">
        <v>0.0176</v>
      </c>
      <c r="I26" t="s">
        <v>43</v>
      </c>
      <c r="J26" t="s">
        <v>43</v>
      </c>
      <c r="K26" t="s">
        <v>43</v>
      </c>
      <c r="L26">
        <v>0</v>
      </c>
      <c r="M26" t="s">
        <v>244</v>
      </c>
      <c r="N26">
        <v>0</v>
      </c>
      <c r="O26" t="s">
        <v>43</v>
      </c>
      <c r="P26" t="s">
        <v>43</v>
      </c>
      <c r="Q26" t="s">
        <v>43</v>
      </c>
      <c r="R26">
        <v>0</v>
      </c>
      <c r="S26" t="s">
        <v>244</v>
      </c>
      <c r="T26">
        <v>0</v>
      </c>
      <c r="U26">
        <f>H26+N26+T26</f>
        <v>0.0176</v>
      </c>
    </row>
    <row r="27">
      <c r="A27">
        <v>100.59</v>
      </c>
      <c r="B27" t="s">
        <f>IFERROR(INDEX('Junction Structure'!Q:Q,MATCH("",'Junction Structure'!A:A,0)),"")</f>
        <v>43</v>
      </c>
      <c r="C27">
        <v>50.208</v>
      </c>
      <c r="D27">
        <v>0.024</v>
      </c>
      <c r="E27">
        <v>0.0534</v>
      </c>
      <c r="F27">
        <v>0.0366</v>
      </c>
      <c r="G27" t="s">
        <v>245</v>
      </c>
      <c r="H27">
        <v>0.0221</v>
      </c>
      <c r="I27" t="s">
        <v>43</v>
      </c>
      <c r="J27" t="s">
        <v>43</v>
      </c>
      <c r="K27" t="s">
        <v>43</v>
      </c>
      <c r="L27">
        <v>0</v>
      </c>
      <c r="M27" t="s">
        <v>244</v>
      </c>
      <c r="N27">
        <v>0</v>
      </c>
      <c r="O27" t="s">
        <v>43</v>
      </c>
      <c r="P27" t="s">
        <v>43</v>
      </c>
      <c r="Q27" t="s">
        <v>43</v>
      </c>
      <c r="R27">
        <v>0</v>
      </c>
      <c r="S27" t="s">
        <v>244</v>
      </c>
      <c r="T27">
        <v>0</v>
      </c>
      <c r="U27">
        <f>H27+N27+T27</f>
        <v>0.0221</v>
      </c>
    </row>
    <row r="28">
      <c r="A28">
        <v>100.6</v>
      </c>
      <c r="B28" t="s">
        <f>IFERROR(INDEX('Junction Structure'!Q:Q,MATCH("",'Junction Structure'!A:A,0)),"")</f>
        <v>43</v>
      </c>
      <c r="C28">
        <v>53.13</v>
      </c>
      <c r="D28">
        <v>0.028</v>
      </c>
      <c r="E28">
        <v>0.0592</v>
      </c>
      <c r="F28">
        <v>0.0408</v>
      </c>
      <c r="G28" t="s">
        <v>245</v>
      </c>
      <c r="H28">
        <v>0.0272</v>
      </c>
      <c r="I28" t="s">
        <v>43</v>
      </c>
      <c r="J28" t="s">
        <v>43</v>
      </c>
      <c r="K28" t="s">
        <v>43</v>
      </c>
      <c r="L28">
        <v>0</v>
      </c>
      <c r="M28" t="s">
        <v>244</v>
      </c>
      <c r="N28">
        <v>0</v>
      </c>
      <c r="O28" t="s">
        <v>43</v>
      </c>
      <c r="P28" t="s">
        <v>43</v>
      </c>
      <c r="Q28" t="s">
        <v>43</v>
      </c>
      <c r="R28">
        <v>0</v>
      </c>
      <c r="S28" t="s">
        <v>244</v>
      </c>
      <c r="T28">
        <v>0</v>
      </c>
      <c r="U28">
        <f>H28+N28+T28</f>
        <v>0.0272</v>
      </c>
    </row>
    <row r="29">
      <c r="A29">
        <v>100.61</v>
      </c>
      <c r="B29" t="s">
        <f>IFERROR(INDEX('Junction Structure'!Q:Q,MATCH("",'Junction Structure'!A:A,0)),"")</f>
        <v>43</v>
      </c>
      <c r="C29">
        <v>55.944</v>
      </c>
      <c r="D29">
        <v>0.032</v>
      </c>
      <c r="E29">
        <v>0.065</v>
      </c>
      <c r="F29">
        <v>0.045</v>
      </c>
      <c r="G29" t="s">
        <v>245</v>
      </c>
      <c r="H29">
        <v>0.0327</v>
      </c>
      <c r="I29" t="s">
        <v>43</v>
      </c>
      <c r="J29" t="s">
        <v>43</v>
      </c>
      <c r="K29" t="s">
        <v>43</v>
      </c>
      <c r="L29">
        <v>0</v>
      </c>
      <c r="M29" t="s">
        <v>244</v>
      </c>
      <c r="N29">
        <v>0</v>
      </c>
      <c r="O29" t="s">
        <v>43</v>
      </c>
      <c r="P29" t="s">
        <v>43</v>
      </c>
      <c r="Q29" t="s">
        <v>43</v>
      </c>
      <c r="R29">
        <v>0</v>
      </c>
      <c r="S29" t="s">
        <v>244</v>
      </c>
      <c r="T29">
        <v>0</v>
      </c>
      <c r="U29">
        <f>H29+N29+T29</f>
        <v>0.0327</v>
      </c>
    </row>
    <row r="30">
      <c r="A30">
        <v>100.62</v>
      </c>
      <c r="B30" t="s">
        <f>IFERROR(INDEX('Junction Structure'!Q:Q,MATCH("",'Junction Structure'!A:A,0)),"")</f>
        <v>43</v>
      </c>
      <c r="C30">
        <v>58.668</v>
      </c>
      <c r="D30">
        <v>0.0362</v>
      </c>
      <c r="E30">
        <v>0.0709</v>
      </c>
      <c r="F30">
        <v>0.0491</v>
      </c>
      <c r="G30" t="s">
        <v>245</v>
      </c>
      <c r="H30">
        <v>0.0387</v>
      </c>
      <c r="I30" t="s">
        <v>43</v>
      </c>
      <c r="J30" t="s">
        <v>43</v>
      </c>
      <c r="K30" t="s">
        <v>43</v>
      </c>
      <c r="L30">
        <v>0</v>
      </c>
      <c r="M30" t="s">
        <v>244</v>
      </c>
      <c r="N30">
        <v>0</v>
      </c>
      <c r="O30" t="s">
        <v>43</v>
      </c>
      <c r="P30" t="s">
        <v>43</v>
      </c>
      <c r="Q30" t="s">
        <v>43</v>
      </c>
      <c r="R30">
        <v>0</v>
      </c>
      <c r="S30" t="s">
        <v>244</v>
      </c>
      <c r="T30">
        <v>0</v>
      </c>
      <c r="U30">
        <f>H30+N30+T30</f>
        <v>0.0387</v>
      </c>
    </row>
    <row r="31">
      <c r="A31">
        <v>100.63</v>
      </c>
      <c r="B31" t="s">
        <f>IFERROR(INDEX('Junction Structure'!Q:Q,MATCH("",'Junction Structure'!A:A,0)),"")</f>
        <v>43</v>
      </c>
      <c r="C31">
        <v>61.315</v>
      </c>
      <c r="D31">
        <v>0.0406</v>
      </c>
      <c r="E31">
        <v>0.0766</v>
      </c>
      <c r="F31">
        <v>0.0534</v>
      </c>
      <c r="G31" t="s">
        <v>245</v>
      </c>
      <c r="H31">
        <v>0.0451</v>
      </c>
      <c r="I31" t="s">
        <v>43</v>
      </c>
      <c r="J31" t="s">
        <v>43</v>
      </c>
      <c r="K31" t="s">
        <v>43</v>
      </c>
      <c r="L31">
        <v>0</v>
      </c>
      <c r="M31" t="s">
        <v>244</v>
      </c>
      <c r="N31">
        <v>0</v>
      </c>
      <c r="O31" t="s">
        <v>43</v>
      </c>
      <c r="P31" t="s">
        <v>43</v>
      </c>
      <c r="Q31" t="s">
        <v>43</v>
      </c>
      <c r="R31">
        <v>0</v>
      </c>
      <c r="S31" t="s">
        <v>244</v>
      </c>
      <c r="T31">
        <v>0</v>
      </c>
      <c r="U31">
        <f>H31+N31+T31</f>
        <v>0.0451</v>
      </c>
    </row>
    <row r="32">
      <c r="A32">
        <v>100.64</v>
      </c>
      <c r="B32" t="s">
        <f>IFERROR(INDEX('Junction Structure'!Q:Q,MATCH("",'Junction Structure'!A:A,0)),"")</f>
        <v>43</v>
      </c>
      <c r="C32">
        <v>63.896</v>
      </c>
      <c r="D32">
        <v>0.045</v>
      </c>
      <c r="E32">
        <v>0.0824</v>
      </c>
      <c r="F32">
        <v>0.0576</v>
      </c>
      <c r="G32" t="s">
        <v>245</v>
      </c>
      <c r="H32">
        <v>0.052</v>
      </c>
      <c r="I32" t="s">
        <v>43</v>
      </c>
      <c r="J32" t="s">
        <v>43</v>
      </c>
      <c r="K32" t="s">
        <v>43</v>
      </c>
      <c r="L32">
        <v>0</v>
      </c>
      <c r="M32" t="s">
        <v>244</v>
      </c>
      <c r="N32">
        <v>0</v>
      </c>
      <c r="O32" t="s">
        <v>43</v>
      </c>
      <c r="P32" t="s">
        <v>43</v>
      </c>
      <c r="Q32" t="s">
        <v>43</v>
      </c>
      <c r="R32">
        <v>0</v>
      </c>
      <c r="S32" t="s">
        <v>244</v>
      </c>
      <c r="T32">
        <v>0</v>
      </c>
      <c r="U32">
        <f>H32+N32+T32</f>
        <v>0.052</v>
      </c>
    </row>
    <row r="33">
      <c r="A33">
        <v>100.65</v>
      </c>
      <c r="B33" t="s">
        <f>IFERROR(INDEX('Junction Structure'!Q:Q,MATCH("",'Junction Structure'!A:A,0)),"")</f>
        <v>43</v>
      </c>
      <c r="C33">
        <v>66.422</v>
      </c>
      <c r="D33">
        <v>0.0495</v>
      </c>
      <c r="E33">
        <v>0.0881</v>
      </c>
      <c r="F33">
        <v>0.0619</v>
      </c>
      <c r="G33" t="s">
        <v>245</v>
      </c>
      <c r="H33">
        <v>0.0593</v>
      </c>
      <c r="I33" t="s">
        <v>43</v>
      </c>
      <c r="J33" t="s">
        <v>43</v>
      </c>
      <c r="K33" t="s">
        <v>43</v>
      </c>
      <c r="L33">
        <v>0</v>
      </c>
      <c r="M33" t="s">
        <v>244</v>
      </c>
      <c r="N33">
        <v>0</v>
      </c>
      <c r="O33" t="s">
        <v>43</v>
      </c>
      <c r="P33" t="s">
        <v>43</v>
      </c>
      <c r="Q33" t="s">
        <v>43</v>
      </c>
      <c r="R33">
        <v>0</v>
      </c>
      <c r="S33" t="s">
        <v>244</v>
      </c>
      <c r="T33">
        <v>0</v>
      </c>
      <c r="U33">
        <f>H33+N33+T33</f>
        <v>0.0593</v>
      </c>
    </row>
    <row r="34">
      <c r="A34">
        <v>100.85</v>
      </c>
      <c r="B34" t="s">
        <f>IFERROR(INDEX('Junction Structure'!Q:Q,MATCH("",'Junction Structure'!A:A,0)),"")</f>
        <v>43</v>
      </c>
      <c r="C34">
        <v>113.578</v>
      </c>
      <c r="D34">
        <v>0.1468</v>
      </c>
      <c r="E34">
        <v>0.1954</v>
      </c>
      <c r="F34">
        <v>0.1546</v>
      </c>
      <c r="G34" t="s">
        <v>245</v>
      </c>
      <c r="H34">
        <v>0.278</v>
      </c>
      <c r="I34" t="s">
        <v>43</v>
      </c>
      <c r="J34" t="s">
        <v>43</v>
      </c>
      <c r="K34" t="s">
        <v>43</v>
      </c>
      <c r="L34">
        <v>0</v>
      </c>
      <c r="M34" t="s">
        <v>244</v>
      </c>
      <c r="N34">
        <v>0</v>
      </c>
      <c r="O34" t="s">
        <v>43</v>
      </c>
      <c r="P34" t="s">
        <v>43</v>
      </c>
      <c r="Q34" t="s">
        <v>43</v>
      </c>
      <c r="R34">
        <v>0</v>
      </c>
      <c r="S34" t="s">
        <v>244</v>
      </c>
      <c r="T34">
        <v>0</v>
      </c>
      <c r="U34">
        <f>H34+N34+T34</f>
        <v>0.278</v>
      </c>
    </row>
    <row r="35">
      <c r="A35">
        <v>100.86</v>
      </c>
      <c r="B35" t="s">
        <f>IFERROR(INDEX('Junction Structure'!Q:Q,MATCH("",'Junction Structure'!A:A,0)),"")</f>
        <v>43</v>
      </c>
      <c r="C35">
        <v>116.104</v>
      </c>
      <c r="D35">
        <v>0.1513</v>
      </c>
      <c r="E35">
        <v>0.2002</v>
      </c>
      <c r="F35">
        <v>0.1598</v>
      </c>
      <c r="G35" t="s">
        <v>245</v>
      </c>
      <c r="H35">
        <v>0.2913</v>
      </c>
      <c r="I35" t="s">
        <v>43</v>
      </c>
      <c r="J35" t="s">
        <v>43</v>
      </c>
      <c r="K35" t="s">
        <v>43</v>
      </c>
      <c r="L35">
        <v>0</v>
      </c>
      <c r="M35" t="s">
        <v>244</v>
      </c>
      <c r="N35">
        <v>0</v>
      </c>
      <c r="O35" t="s">
        <v>43</v>
      </c>
      <c r="P35" t="s">
        <v>43</v>
      </c>
      <c r="Q35" t="s">
        <v>43</v>
      </c>
      <c r="R35">
        <v>0</v>
      </c>
      <c r="S35" t="s">
        <v>244</v>
      </c>
      <c r="T35">
        <v>0</v>
      </c>
      <c r="U35">
        <f>H35+N35+T35</f>
        <v>0.2913</v>
      </c>
    </row>
    <row r="36">
      <c r="A36">
        <v>100.87</v>
      </c>
      <c r="B36" t="s">
        <f>IFERROR(INDEX('Junction Structure'!Q:Q,MATCH("",'Junction Structure'!A:A,0)),"")</f>
        <v>43</v>
      </c>
      <c r="C36">
        <v>118.685</v>
      </c>
      <c r="D36">
        <v>0.1558</v>
      </c>
      <c r="E36">
        <v>0.2049</v>
      </c>
      <c r="F36">
        <v>0.1651</v>
      </c>
      <c r="G36" t="s">
        <v>245</v>
      </c>
      <c r="H36">
        <v>0.3048</v>
      </c>
      <c r="I36" t="s">
        <v>43</v>
      </c>
      <c r="J36" t="s">
        <v>43</v>
      </c>
      <c r="K36" t="s">
        <v>43</v>
      </c>
      <c r="L36">
        <v>0</v>
      </c>
      <c r="M36" t="s">
        <v>244</v>
      </c>
      <c r="N36">
        <v>0</v>
      </c>
      <c r="O36" t="s">
        <v>43</v>
      </c>
      <c r="P36" t="s">
        <v>43</v>
      </c>
      <c r="Q36" t="s">
        <v>43</v>
      </c>
      <c r="R36">
        <v>0</v>
      </c>
      <c r="S36" t="s">
        <v>244</v>
      </c>
      <c r="T36">
        <v>0</v>
      </c>
      <c r="U36">
        <f>H36+N36+T36</f>
        <v>0.3048</v>
      </c>
    </row>
    <row r="37">
      <c r="A37">
        <v>100.88</v>
      </c>
      <c r="B37" t="s">
        <f>IFERROR(INDEX('Junction Structure'!Q:Q,MATCH("",'Junction Structure'!A:A,0)),"")</f>
        <v>43</v>
      </c>
      <c r="C37">
        <v>121.332</v>
      </c>
      <c r="D37">
        <v>0.1601</v>
      </c>
      <c r="E37">
        <v>0.2095</v>
      </c>
      <c r="F37">
        <v>0.1705</v>
      </c>
      <c r="G37" t="s">
        <v>245</v>
      </c>
      <c r="H37">
        <v>0.3184</v>
      </c>
      <c r="I37" t="s">
        <v>43</v>
      </c>
      <c r="J37" t="s">
        <v>43</v>
      </c>
      <c r="K37" t="s">
        <v>43</v>
      </c>
      <c r="L37">
        <v>0</v>
      </c>
      <c r="M37" t="s">
        <v>244</v>
      </c>
      <c r="N37">
        <v>0</v>
      </c>
      <c r="O37" t="s">
        <v>43</v>
      </c>
      <c r="P37" t="s">
        <v>43</v>
      </c>
      <c r="Q37" t="s">
        <v>43</v>
      </c>
      <c r="R37">
        <v>0</v>
      </c>
      <c r="S37" t="s">
        <v>244</v>
      </c>
      <c r="T37">
        <v>0</v>
      </c>
      <c r="U37">
        <f>H37+N37+T37</f>
        <v>0.3184</v>
      </c>
    </row>
    <row r="38">
      <c r="A38">
        <v>100.89</v>
      </c>
      <c r="B38" t="s">
        <f>IFERROR(INDEX('Junction Structure'!Q:Q,MATCH("",'Junction Structure'!A:A,0)),"")</f>
        <v>43</v>
      </c>
      <c r="C38">
        <v>124.056</v>
      </c>
      <c r="D38">
        <v>0.1643</v>
      </c>
      <c r="E38">
        <v>0.214</v>
      </c>
      <c r="F38">
        <v>0.176</v>
      </c>
      <c r="G38" t="s">
        <v>245</v>
      </c>
      <c r="H38">
        <v>0.332</v>
      </c>
      <c r="I38" t="s">
        <v>43</v>
      </c>
      <c r="J38" t="s">
        <v>43</v>
      </c>
      <c r="K38" t="s">
        <v>43</v>
      </c>
      <c r="L38">
        <v>0</v>
      </c>
      <c r="M38" t="s">
        <v>244</v>
      </c>
      <c r="N38">
        <v>0</v>
      </c>
      <c r="O38" t="s">
        <v>43</v>
      </c>
      <c r="P38" t="s">
        <v>43</v>
      </c>
      <c r="Q38" t="s">
        <v>43</v>
      </c>
      <c r="R38">
        <v>0</v>
      </c>
      <c r="S38" t="s">
        <v>244</v>
      </c>
      <c r="T38">
        <v>0</v>
      </c>
      <c r="U38">
        <f>H38+N38+T38</f>
        <v>0.332</v>
      </c>
    </row>
    <row r="39">
      <c r="A39">
        <v>100.9</v>
      </c>
      <c r="B39" t="s">
        <f>IFERROR(INDEX('Junction Structure'!Q:Q,MATCH("",'Junction Structure'!A:A,0)),"")</f>
        <v>43</v>
      </c>
      <c r="C39">
        <v>126.87</v>
      </c>
      <c r="D39">
        <v>0.1684</v>
      </c>
      <c r="E39">
        <v>0.2183</v>
      </c>
      <c r="F39">
        <v>0.1817</v>
      </c>
      <c r="G39" t="s">
        <v>245</v>
      </c>
      <c r="H39">
        <v>0.3456</v>
      </c>
      <c r="I39" t="s">
        <v>43</v>
      </c>
      <c r="J39" t="s">
        <v>43</v>
      </c>
      <c r="K39" t="s">
        <v>43</v>
      </c>
      <c r="L39">
        <v>0</v>
      </c>
      <c r="M39" t="s">
        <v>244</v>
      </c>
      <c r="N39">
        <v>0</v>
      </c>
      <c r="O39" t="s">
        <v>43</v>
      </c>
      <c r="P39" t="s">
        <v>43</v>
      </c>
      <c r="Q39" t="s">
        <v>43</v>
      </c>
      <c r="R39">
        <v>0</v>
      </c>
      <c r="S39" t="s">
        <v>244</v>
      </c>
      <c r="T39">
        <v>0</v>
      </c>
      <c r="U39">
        <f>H39+N39+T39</f>
        <v>0.3456</v>
      </c>
    </row>
    <row r="40">
      <c r="A40">
        <v>100.91</v>
      </c>
      <c r="B40" t="s">
        <f>IFERROR(INDEX('Junction Structure'!Q:Q,MATCH("",'Junction Structure'!A:A,0)),"")</f>
        <v>43</v>
      </c>
      <c r="C40">
        <v>129.792</v>
      </c>
      <c r="D40">
        <v>0.1723</v>
      </c>
      <c r="E40">
        <v>0.2226</v>
      </c>
      <c r="F40">
        <v>0.1874</v>
      </c>
      <c r="G40" t="s">
        <v>245</v>
      </c>
      <c r="H40">
        <v>0.3592</v>
      </c>
      <c r="I40" t="s">
        <v>43</v>
      </c>
      <c r="J40" t="s">
        <v>43</v>
      </c>
      <c r="K40" t="s">
        <v>43</v>
      </c>
      <c r="L40">
        <v>0</v>
      </c>
      <c r="M40" t="s">
        <v>244</v>
      </c>
      <c r="N40">
        <v>0</v>
      </c>
      <c r="O40" t="s">
        <v>43</v>
      </c>
      <c r="P40" t="s">
        <v>43</v>
      </c>
      <c r="Q40" t="s">
        <v>43</v>
      </c>
      <c r="R40">
        <v>0</v>
      </c>
      <c r="S40" t="s">
        <v>244</v>
      </c>
      <c r="T40">
        <v>0</v>
      </c>
      <c r="U40">
        <f>H40+N40+T40</f>
        <v>0.3592</v>
      </c>
    </row>
    <row r="41">
      <c r="A41">
        <v>100.92</v>
      </c>
      <c r="B41" t="s">
        <f>IFERROR(INDEX('Junction Structure'!Q:Q,MATCH("",'Junction Structure'!A:A,0)),"")</f>
        <v>43</v>
      </c>
      <c r="C41">
        <v>132.844</v>
      </c>
      <c r="D41">
        <v>0.1761</v>
      </c>
      <c r="E41">
        <v>0.2267</v>
      </c>
      <c r="F41">
        <v>0.1933</v>
      </c>
      <c r="G41" t="s">
        <v>245</v>
      </c>
      <c r="H41">
        <v>0.3728</v>
      </c>
      <c r="I41" t="s">
        <v>43</v>
      </c>
      <c r="J41" t="s">
        <v>43</v>
      </c>
      <c r="K41" t="s">
        <v>43</v>
      </c>
      <c r="L41">
        <v>0</v>
      </c>
      <c r="M41" t="s">
        <v>244</v>
      </c>
      <c r="N41">
        <v>0</v>
      </c>
      <c r="O41" t="s">
        <v>43</v>
      </c>
      <c r="P41" t="s">
        <v>43</v>
      </c>
      <c r="Q41" t="s">
        <v>43</v>
      </c>
      <c r="R41">
        <v>0</v>
      </c>
      <c r="S41" t="s">
        <v>244</v>
      </c>
      <c r="T41">
        <v>0</v>
      </c>
      <c r="U41">
        <f>H41+N41+T41</f>
        <v>0.3728</v>
      </c>
    </row>
    <row r="42">
      <c r="A42">
        <v>100.93</v>
      </c>
      <c r="B42" t="s">
        <f>IFERROR(INDEX('Junction Structure'!Q:Q,MATCH("",'Junction Structure'!A:A,0)),"")</f>
        <v>43</v>
      </c>
      <c r="C42">
        <v>136.054</v>
      </c>
      <c r="D42">
        <v>0.1796</v>
      </c>
      <c r="E42">
        <v>0.2306</v>
      </c>
      <c r="F42">
        <v>0.1994</v>
      </c>
      <c r="G42" t="s">
        <v>245</v>
      </c>
      <c r="H42">
        <v>0.3862</v>
      </c>
      <c r="I42" t="s">
        <v>43</v>
      </c>
      <c r="J42" t="s">
        <v>43</v>
      </c>
      <c r="K42" t="s">
        <v>43</v>
      </c>
      <c r="L42">
        <v>0</v>
      </c>
      <c r="M42" t="s">
        <v>244</v>
      </c>
      <c r="N42">
        <v>0</v>
      </c>
      <c r="O42" t="s">
        <v>43</v>
      </c>
      <c r="P42" t="s">
        <v>43</v>
      </c>
      <c r="Q42" t="s">
        <v>43</v>
      </c>
      <c r="R42">
        <v>0</v>
      </c>
      <c r="S42" t="s">
        <v>244</v>
      </c>
      <c r="T42">
        <v>0</v>
      </c>
      <c r="U42">
        <f>H42+N42+T42</f>
        <v>0.3862</v>
      </c>
    </row>
    <row r="43">
      <c r="A43">
        <v>100.94</v>
      </c>
      <c r="B43" t="s">
        <f>IFERROR(INDEX('Junction Structure'!Q:Q,MATCH("",'Junction Structure'!A:A,0)),"")</f>
        <v>43</v>
      </c>
      <c r="C43">
        <v>139.464</v>
      </c>
      <c r="D43">
        <v>0.183</v>
      </c>
      <c r="E43">
        <v>0.2344</v>
      </c>
      <c r="F43">
        <v>0.2056</v>
      </c>
      <c r="G43" t="s">
        <v>245</v>
      </c>
      <c r="H43">
        <v>0.3996</v>
      </c>
      <c r="I43" t="s">
        <v>43</v>
      </c>
      <c r="J43" t="s">
        <v>43</v>
      </c>
      <c r="K43" t="s">
        <v>43</v>
      </c>
      <c r="L43">
        <v>0</v>
      </c>
      <c r="M43" t="s">
        <v>244</v>
      </c>
      <c r="N43">
        <v>0</v>
      </c>
      <c r="O43" t="s">
        <v>43</v>
      </c>
      <c r="P43" t="s">
        <v>43</v>
      </c>
      <c r="Q43" t="s">
        <v>43</v>
      </c>
      <c r="R43">
        <v>0</v>
      </c>
      <c r="S43" t="s">
        <v>244</v>
      </c>
      <c r="T43">
        <v>0</v>
      </c>
      <c r="U43">
        <f>H43+N43+T43</f>
        <v>0.3996</v>
      </c>
    </row>
    <row r="44">
      <c r="A44">
        <v>100.95</v>
      </c>
      <c r="B44" t="s">
        <f>IFERROR(INDEX('Junction Structure'!Q:Q,MATCH("",'Junction Structure'!A:A,0)),"")</f>
        <v>43</v>
      </c>
      <c r="C44">
        <v>143.13</v>
      </c>
      <c r="D44">
        <v>0.1861</v>
      </c>
      <c r="E44">
        <v>0.2379</v>
      </c>
      <c r="F44">
        <v>0.2121</v>
      </c>
      <c r="G44" t="s">
        <v>245</v>
      </c>
      <c r="H44">
        <v>0.4127</v>
      </c>
      <c r="I44" t="s">
        <v>43</v>
      </c>
      <c r="J44" t="s">
        <v>43</v>
      </c>
      <c r="K44" t="s">
        <v>43</v>
      </c>
      <c r="L44">
        <v>0</v>
      </c>
      <c r="M44" t="s">
        <v>244</v>
      </c>
      <c r="N44">
        <v>0</v>
      </c>
      <c r="O44" t="s">
        <v>43</v>
      </c>
      <c r="P44" t="s">
        <v>43</v>
      </c>
      <c r="Q44" t="s">
        <v>43</v>
      </c>
      <c r="R44">
        <v>0</v>
      </c>
      <c r="S44" t="s">
        <v>244</v>
      </c>
      <c r="T44">
        <v>0</v>
      </c>
      <c r="U44">
        <f>H44+N44+T44</f>
        <v>0.4127</v>
      </c>
    </row>
    <row r="45">
      <c r="A45">
        <v>100.96</v>
      </c>
      <c r="B45" t="s">
        <f>IFERROR(INDEX('Junction Structure'!Q:Q,MATCH("",'Junction Structure'!A:A,0)),"")</f>
        <v>43</v>
      </c>
      <c r="C45">
        <v>147.14</v>
      </c>
      <c r="D45">
        <v>0.189</v>
      </c>
      <c r="E45">
        <v>0.2412</v>
      </c>
      <c r="F45">
        <v>0.2188</v>
      </c>
      <c r="G45" t="s">
        <v>245</v>
      </c>
      <c r="H45">
        <v>0.4257</v>
      </c>
      <c r="I45" t="s">
        <v>43</v>
      </c>
      <c r="J45" t="s">
        <v>43</v>
      </c>
      <c r="K45" t="s">
        <v>43</v>
      </c>
      <c r="L45">
        <v>0</v>
      </c>
      <c r="M45" t="s">
        <v>244</v>
      </c>
      <c r="N45">
        <v>0</v>
      </c>
      <c r="O45" t="s">
        <v>43</v>
      </c>
      <c r="P45" t="s">
        <v>43</v>
      </c>
      <c r="Q45" t="s">
        <v>43</v>
      </c>
      <c r="R45">
        <v>0</v>
      </c>
      <c r="S45" t="s">
        <v>244</v>
      </c>
      <c r="T45">
        <v>0</v>
      </c>
      <c r="U45">
        <f>H45+N45+T45</f>
        <v>0.4257</v>
      </c>
    </row>
    <row r="46">
      <c r="A46">
        <v>100.97</v>
      </c>
      <c r="B46" t="s">
        <f>IFERROR(INDEX('Junction Structure'!Q:Q,MATCH("",'Junction Structure'!A:A,0)),"")</f>
        <v>43</v>
      </c>
      <c r="C46">
        <v>151.642</v>
      </c>
      <c r="D46">
        <v>0.1915</v>
      </c>
      <c r="E46">
        <v>0.2442</v>
      </c>
      <c r="F46">
        <v>0.2258</v>
      </c>
      <c r="G46" t="s">
        <v>245</v>
      </c>
      <c r="H46">
        <v>0.4383</v>
      </c>
      <c r="I46" t="s">
        <v>43</v>
      </c>
      <c r="J46" t="s">
        <v>43</v>
      </c>
      <c r="K46" t="s">
        <v>43</v>
      </c>
      <c r="L46">
        <v>0</v>
      </c>
      <c r="M46" t="s">
        <v>244</v>
      </c>
      <c r="N46">
        <v>0</v>
      </c>
      <c r="O46" t="s">
        <v>43</v>
      </c>
      <c r="P46" t="s">
        <v>43</v>
      </c>
      <c r="Q46" t="s">
        <v>43</v>
      </c>
      <c r="R46">
        <v>0</v>
      </c>
      <c r="S46" t="s">
        <v>244</v>
      </c>
      <c r="T46">
        <v>0</v>
      </c>
      <c r="U46">
        <f>H46+N46+T46</f>
        <v>0.4383</v>
      </c>
    </row>
    <row r="47">
      <c r="A47">
        <v>100.98</v>
      </c>
      <c r="B47" t="s">
        <f>IFERROR(INDEX('Junction Structure'!Q:Q,MATCH("",'Junction Structure'!A:A,0)),"")</f>
        <v>43</v>
      </c>
      <c r="C47">
        <v>156.926</v>
      </c>
      <c r="D47">
        <v>0.1937</v>
      </c>
      <c r="E47">
        <v>0.2468</v>
      </c>
      <c r="F47">
        <v>0.2332</v>
      </c>
      <c r="G47" t="s">
        <v>245</v>
      </c>
      <c r="H47">
        <v>0.4505</v>
      </c>
      <c r="I47" t="s">
        <v>43</v>
      </c>
      <c r="J47" t="s">
        <v>43</v>
      </c>
      <c r="K47" t="s">
        <v>43</v>
      </c>
      <c r="L47">
        <v>0</v>
      </c>
      <c r="M47" t="s">
        <v>244</v>
      </c>
      <c r="N47">
        <v>0</v>
      </c>
      <c r="O47" t="s">
        <v>43</v>
      </c>
      <c r="P47" t="s">
        <v>43</v>
      </c>
      <c r="Q47" t="s">
        <v>43</v>
      </c>
      <c r="R47">
        <v>0</v>
      </c>
      <c r="S47" t="s">
        <v>244</v>
      </c>
      <c r="T47">
        <v>0</v>
      </c>
      <c r="U47">
        <f>H47+N47+T47</f>
        <v>0.4505</v>
      </c>
    </row>
    <row r="48">
      <c r="A48">
        <v>100.99</v>
      </c>
      <c r="B48" t="s">
        <f>IFERROR(INDEX('Junction Structure'!Q:Q,MATCH("",'Junction Structure'!A:A,0)),"")</f>
        <v>43</v>
      </c>
      <c r="C48">
        <v>163.74</v>
      </c>
      <c r="D48">
        <v>0.1954</v>
      </c>
      <c r="E48">
        <v>0.2488</v>
      </c>
      <c r="F48">
        <v>0.2412</v>
      </c>
      <c r="G48" t="s">
        <v>245</v>
      </c>
      <c r="H48">
        <v>0.4621</v>
      </c>
      <c r="I48" t="s">
        <v>43</v>
      </c>
      <c r="J48" t="s">
        <v>43</v>
      </c>
      <c r="K48" t="s">
        <v>43</v>
      </c>
      <c r="L48">
        <v>0</v>
      </c>
      <c r="M48" t="s">
        <v>244</v>
      </c>
      <c r="N48">
        <v>0</v>
      </c>
      <c r="O48" t="s">
        <v>43</v>
      </c>
      <c r="P48" t="s">
        <v>43</v>
      </c>
      <c r="Q48" t="s">
        <v>43</v>
      </c>
      <c r="R48">
        <v>0</v>
      </c>
      <c r="S48" t="s">
        <v>244</v>
      </c>
      <c r="T48">
        <v>0</v>
      </c>
      <c r="U48">
        <f>H48+N48+T48</f>
        <v>0.4621</v>
      </c>
    </row>
    <row r="49">
      <c r="A49">
        <v>101</v>
      </c>
      <c r="B49" t="s">
        <f>IFERROR(INDEX('Junction Structure'!Q:Q,MATCH("",'Junction Structure'!A:A,0)),"")</f>
        <v>43</v>
      </c>
      <c r="C49" t="s">
        <v>43</v>
      </c>
      <c r="D49">
        <v>0.1963</v>
      </c>
      <c r="E49">
        <v>0.25</v>
      </c>
      <c r="F49">
        <v>0.25</v>
      </c>
      <c r="G49" t="s">
        <v>246</v>
      </c>
      <c r="H49">
        <v>0.4727</v>
      </c>
      <c r="I49" t="s">
        <v>43</v>
      </c>
      <c r="J49" t="s">
        <v>43</v>
      </c>
      <c r="K49" t="s">
        <v>43</v>
      </c>
      <c r="L49">
        <v>0</v>
      </c>
      <c r="M49" t="s">
        <v>244</v>
      </c>
      <c r="N49">
        <v>0</v>
      </c>
      <c r="O49" t="s">
        <v>43</v>
      </c>
      <c r="P49" t="s">
        <v>43</v>
      </c>
      <c r="Q49" t="s">
        <v>43</v>
      </c>
      <c r="R49">
        <v>0</v>
      </c>
      <c r="S49" t="s">
        <v>244</v>
      </c>
      <c r="T49">
        <v>0</v>
      </c>
      <c r="U49">
        <f>H49+N49+T49</f>
        <v>0.4727</v>
      </c>
    </row>
    <row r="50">
      <c r="A50">
        <v>101.01</v>
      </c>
      <c r="B50" t="s">
        <f>IFERROR(INDEX('Junction Structure'!Q:Q,MATCH("",'Junction Structure'!A:A,0)),"")</f>
        <v>43</v>
      </c>
      <c r="C50" t="s">
        <v>43</v>
      </c>
      <c r="D50">
        <v>0.1963</v>
      </c>
      <c r="E50">
        <v>0.25</v>
      </c>
      <c r="F50">
        <v>0.26</v>
      </c>
      <c r="G50" t="s">
        <v>246</v>
      </c>
      <c r="H50">
        <v>0.4821</v>
      </c>
      <c r="I50" t="s">
        <v>43</v>
      </c>
      <c r="J50" t="s">
        <v>43</v>
      </c>
      <c r="K50" t="s">
        <v>43</v>
      </c>
      <c r="L50">
        <v>0</v>
      </c>
      <c r="M50" t="s">
        <v>244</v>
      </c>
      <c r="N50">
        <v>0</v>
      </c>
      <c r="O50" t="s">
        <v>43</v>
      </c>
      <c r="P50" t="s">
        <v>43</v>
      </c>
      <c r="Q50" t="s">
        <v>43</v>
      </c>
      <c r="R50">
        <v>0</v>
      </c>
      <c r="S50" t="s">
        <v>244</v>
      </c>
      <c r="T50">
        <v>0</v>
      </c>
      <c r="U50">
        <f>H50+N50+T50</f>
        <v>0.4821</v>
      </c>
    </row>
    <row r="51">
      <c r="A51">
        <v>101.02</v>
      </c>
      <c r="B51" t="s">
        <f>IFERROR(INDEX('Junction Structure'!Q:Q,MATCH("",'Junction Structure'!A:A,0)),"")</f>
        <v>43</v>
      </c>
      <c r="C51" t="s">
        <v>43</v>
      </c>
      <c r="D51">
        <v>0.1963</v>
      </c>
      <c r="E51">
        <v>0.25</v>
      </c>
      <c r="F51">
        <v>0.27</v>
      </c>
      <c r="G51" t="s">
        <v>246</v>
      </c>
      <c r="H51">
        <v>0.4913</v>
      </c>
      <c r="I51" t="s">
        <v>43</v>
      </c>
      <c r="J51" t="s">
        <v>43</v>
      </c>
      <c r="K51" t="s">
        <v>43</v>
      </c>
      <c r="L51">
        <v>0</v>
      </c>
      <c r="M51" t="s">
        <v>244</v>
      </c>
      <c r="N51">
        <v>0</v>
      </c>
      <c r="O51" t="s">
        <v>43</v>
      </c>
      <c r="P51" t="s">
        <v>43</v>
      </c>
      <c r="Q51" t="s">
        <v>43</v>
      </c>
      <c r="R51">
        <v>0</v>
      </c>
      <c r="S51" t="s">
        <v>244</v>
      </c>
      <c r="T51">
        <v>0</v>
      </c>
      <c r="U51">
        <f>H51+N51+T51</f>
        <v>0.4913</v>
      </c>
    </row>
    <row r="52">
      <c r="A52">
        <v>101.03</v>
      </c>
      <c r="B52" t="s">
        <f>IFERROR(INDEX('Junction Structure'!Q:Q,MATCH("",'Junction Structure'!A:A,0)),"")</f>
        <v>43</v>
      </c>
      <c r="C52" t="s">
        <v>43</v>
      </c>
      <c r="D52">
        <v>0.1963</v>
      </c>
      <c r="E52">
        <v>0.25</v>
      </c>
      <c r="F52">
        <v>0.28</v>
      </c>
      <c r="G52" t="s">
        <v>246</v>
      </c>
      <c r="H52">
        <v>0.5003</v>
      </c>
      <c r="I52" t="s">
        <v>43</v>
      </c>
      <c r="J52" t="s">
        <v>43</v>
      </c>
      <c r="K52" t="s">
        <v>43</v>
      </c>
      <c r="L52">
        <v>0</v>
      </c>
      <c r="M52" t="s">
        <v>244</v>
      </c>
      <c r="N52">
        <v>0</v>
      </c>
      <c r="O52" t="s">
        <v>43</v>
      </c>
      <c r="P52" t="s">
        <v>43</v>
      </c>
      <c r="Q52" t="s">
        <v>43</v>
      </c>
      <c r="R52">
        <v>0</v>
      </c>
      <c r="S52" t="s">
        <v>244</v>
      </c>
      <c r="T52">
        <v>0</v>
      </c>
      <c r="U52">
        <f>H52+N52+T52</f>
        <v>0.5003</v>
      </c>
    </row>
    <row r="53">
      <c r="A53">
        <v>101.04</v>
      </c>
      <c r="B53" t="s">
        <f>IFERROR(INDEX('Junction Structure'!Q:Q,MATCH("",'Junction Structure'!A:A,0)),"")</f>
        <v>43</v>
      </c>
      <c r="C53" t="s">
        <v>43</v>
      </c>
      <c r="D53">
        <v>0.1963</v>
      </c>
      <c r="E53">
        <v>0.25</v>
      </c>
      <c r="F53">
        <v>0.29</v>
      </c>
      <c r="G53" t="s">
        <v>246</v>
      </c>
      <c r="H53">
        <v>0.5091</v>
      </c>
      <c r="I53" t="s">
        <v>43</v>
      </c>
      <c r="J53" t="s">
        <v>43</v>
      </c>
      <c r="K53" t="s">
        <v>43</v>
      </c>
      <c r="L53">
        <v>0</v>
      </c>
      <c r="M53" t="s">
        <v>244</v>
      </c>
      <c r="N53">
        <v>0</v>
      </c>
      <c r="O53" t="s">
        <v>43</v>
      </c>
      <c r="P53" t="s">
        <v>43</v>
      </c>
      <c r="Q53" t="s">
        <v>43</v>
      </c>
      <c r="R53">
        <v>0</v>
      </c>
      <c r="S53" t="s">
        <v>244</v>
      </c>
      <c r="T53">
        <v>0</v>
      </c>
      <c r="U53">
        <f>H53+N53+T53</f>
        <v>0.5091</v>
      </c>
    </row>
    <row r="54">
      <c r="A54">
        <v>101.05</v>
      </c>
      <c r="B54" t="s">
        <f>IFERROR(INDEX('Junction Structure'!Q:Q,MATCH("",'Junction Structure'!A:A,0)),"")</f>
        <v>43</v>
      </c>
      <c r="C54" t="s">
        <v>43</v>
      </c>
      <c r="D54">
        <v>0.1963</v>
      </c>
      <c r="E54">
        <v>0.25</v>
      </c>
      <c r="F54">
        <v>0.3</v>
      </c>
      <c r="G54" t="s">
        <v>246</v>
      </c>
      <c r="H54">
        <v>0.5178</v>
      </c>
      <c r="I54" t="s">
        <v>43</v>
      </c>
      <c r="J54" t="s">
        <v>43</v>
      </c>
      <c r="K54" t="s">
        <v>43</v>
      </c>
      <c r="L54">
        <v>0</v>
      </c>
      <c r="M54" t="s">
        <v>244</v>
      </c>
      <c r="N54">
        <v>0</v>
      </c>
      <c r="O54" t="s">
        <v>43</v>
      </c>
      <c r="P54" t="s">
        <v>43</v>
      </c>
      <c r="Q54" t="s">
        <v>43</v>
      </c>
      <c r="R54">
        <v>0</v>
      </c>
      <c r="S54" t="s">
        <v>244</v>
      </c>
      <c r="T54">
        <v>0</v>
      </c>
      <c r="U54">
        <f>H54+N54+T54</f>
        <v>0.5178</v>
      </c>
    </row>
    <row r="55">
      <c r="A55">
        <v>101.06</v>
      </c>
      <c r="B55" t="s">
        <f>IFERROR(INDEX('Junction Structure'!Q:Q,MATCH("",'Junction Structure'!A:A,0)),"")</f>
        <v>43</v>
      </c>
      <c r="C55" t="s">
        <v>43</v>
      </c>
      <c r="D55">
        <v>0.1963</v>
      </c>
      <c r="E55">
        <v>0.25</v>
      </c>
      <c r="F55">
        <v>0.31</v>
      </c>
      <c r="G55" t="s">
        <v>246</v>
      </c>
      <c r="H55">
        <v>0.5264</v>
      </c>
      <c r="I55" t="s">
        <v>43</v>
      </c>
      <c r="J55" t="s">
        <v>43</v>
      </c>
      <c r="K55" t="s">
        <v>43</v>
      </c>
      <c r="L55">
        <v>0</v>
      </c>
      <c r="M55" t="s">
        <v>244</v>
      </c>
      <c r="N55">
        <v>0</v>
      </c>
      <c r="O55" t="s">
        <v>43</v>
      </c>
      <c r="P55" t="s">
        <v>43</v>
      </c>
      <c r="Q55" t="s">
        <v>43</v>
      </c>
      <c r="R55">
        <v>0</v>
      </c>
      <c r="S55" t="s">
        <v>244</v>
      </c>
      <c r="T55">
        <v>0</v>
      </c>
      <c r="U55">
        <f>H55+N55+T55</f>
        <v>0.5264</v>
      </c>
    </row>
    <row r="56">
      <c r="A56">
        <v>101.07</v>
      </c>
      <c r="B56" t="s">
        <f>IFERROR(INDEX('Junction Structure'!Q:Q,MATCH("",'Junction Structure'!A:A,0)),"")</f>
        <v>43</v>
      </c>
      <c r="C56" t="s">
        <v>43</v>
      </c>
      <c r="D56">
        <v>0.1963</v>
      </c>
      <c r="E56">
        <v>0.25</v>
      </c>
      <c r="F56">
        <v>0.32</v>
      </c>
      <c r="G56" t="s">
        <v>246</v>
      </c>
      <c r="H56">
        <v>0.5348</v>
      </c>
      <c r="I56" t="s">
        <v>43</v>
      </c>
      <c r="J56" t="s">
        <v>43</v>
      </c>
      <c r="K56" t="s">
        <v>43</v>
      </c>
      <c r="L56">
        <v>0</v>
      </c>
      <c r="M56" t="s">
        <v>244</v>
      </c>
      <c r="N56">
        <v>0</v>
      </c>
      <c r="O56" t="s">
        <v>43</v>
      </c>
      <c r="P56" t="s">
        <v>43</v>
      </c>
      <c r="Q56" t="s">
        <v>43</v>
      </c>
      <c r="R56">
        <v>0</v>
      </c>
      <c r="S56" t="s">
        <v>244</v>
      </c>
      <c r="T56">
        <v>0</v>
      </c>
      <c r="U56">
        <f>H56+N56+T56</f>
        <v>0.5348</v>
      </c>
    </row>
    <row r="57">
      <c r="A57">
        <v>101.08</v>
      </c>
      <c r="B57" t="s">
        <f>IFERROR(INDEX('Junction Structure'!Q:Q,MATCH("",'Junction Structure'!A:A,0)),"")</f>
        <v>43</v>
      </c>
      <c r="C57" t="s">
        <v>43</v>
      </c>
      <c r="D57">
        <v>0.1963</v>
      </c>
      <c r="E57">
        <v>0.25</v>
      </c>
      <c r="F57">
        <v>0.33</v>
      </c>
      <c r="G57" t="s">
        <v>246</v>
      </c>
      <c r="H57">
        <v>0.5431</v>
      </c>
      <c r="I57" t="s">
        <v>43</v>
      </c>
      <c r="J57" t="s">
        <v>43</v>
      </c>
      <c r="K57" t="s">
        <v>43</v>
      </c>
      <c r="L57">
        <v>0</v>
      </c>
      <c r="M57" t="s">
        <v>244</v>
      </c>
      <c r="N57">
        <v>0</v>
      </c>
      <c r="O57" t="s">
        <v>43</v>
      </c>
      <c r="P57" t="s">
        <v>43</v>
      </c>
      <c r="Q57" t="s">
        <v>43</v>
      </c>
      <c r="R57">
        <v>0</v>
      </c>
      <c r="S57" t="s">
        <v>244</v>
      </c>
      <c r="T57">
        <v>0</v>
      </c>
      <c r="U57">
        <f>H57+N57+T57</f>
        <v>0.5431</v>
      </c>
    </row>
    <row r="58">
      <c r="A58">
        <v>101.09</v>
      </c>
      <c r="B58" t="s">
        <f>IFERROR(INDEX('Junction Structure'!Q:Q,MATCH("",'Junction Structure'!A:A,0)),"")</f>
        <v>43</v>
      </c>
      <c r="C58" t="s">
        <v>43</v>
      </c>
      <c r="D58">
        <v>0.1963</v>
      </c>
      <c r="E58">
        <v>0.25</v>
      </c>
      <c r="F58">
        <v>0.34</v>
      </c>
      <c r="G58" t="s">
        <v>246</v>
      </c>
      <c r="H58">
        <v>0.5513</v>
      </c>
      <c r="I58" t="s">
        <v>43</v>
      </c>
      <c r="J58" t="s">
        <v>43</v>
      </c>
      <c r="K58" t="s">
        <v>43</v>
      </c>
      <c r="L58">
        <v>0</v>
      </c>
      <c r="M58" t="s">
        <v>244</v>
      </c>
      <c r="N58">
        <v>0</v>
      </c>
      <c r="O58" t="s">
        <v>43</v>
      </c>
      <c r="P58" t="s">
        <v>43</v>
      </c>
      <c r="Q58" t="s">
        <v>43</v>
      </c>
      <c r="R58">
        <v>0</v>
      </c>
      <c r="S58" t="s">
        <v>244</v>
      </c>
      <c r="T58">
        <v>0</v>
      </c>
      <c r="U58">
        <f>H58+N58+T58</f>
        <v>0.5513</v>
      </c>
    </row>
    <row r="59">
      <c r="A59">
        <v>101.1</v>
      </c>
      <c r="B59" t="s">
        <f>IFERROR(INDEX('Junction Structure'!Q:Q,MATCH("",'Junction Structure'!A:A,0)),"")</f>
        <v>43</v>
      </c>
      <c r="C59" t="s">
        <v>43</v>
      </c>
      <c r="D59">
        <v>0.1963</v>
      </c>
      <c r="E59">
        <v>0.25</v>
      </c>
      <c r="F59">
        <v>0.35</v>
      </c>
      <c r="G59" t="s">
        <v>246</v>
      </c>
      <c r="H59">
        <v>0.5593</v>
      </c>
      <c r="I59" t="s">
        <v>43</v>
      </c>
      <c r="J59" t="s">
        <v>43</v>
      </c>
      <c r="K59" t="s">
        <v>43</v>
      </c>
      <c r="L59">
        <v>0</v>
      </c>
      <c r="M59" t="s">
        <v>244</v>
      </c>
      <c r="N59">
        <v>0</v>
      </c>
      <c r="O59" t="s">
        <v>43</v>
      </c>
      <c r="P59" t="s">
        <v>43</v>
      </c>
      <c r="Q59" t="s">
        <v>43</v>
      </c>
      <c r="R59">
        <v>0</v>
      </c>
      <c r="S59" t="s">
        <v>244</v>
      </c>
      <c r="T59">
        <v>0</v>
      </c>
      <c r="U59">
        <f>H59+N59+T59</f>
        <v>0.5593</v>
      </c>
    </row>
    <row r="60">
      <c r="A60">
        <v>101.11</v>
      </c>
      <c r="B60" t="s">
        <f>IFERROR(INDEX('Junction Structure'!Q:Q,MATCH("",'Junction Structure'!A:A,0)),"")</f>
        <v>43</v>
      </c>
      <c r="C60" t="s">
        <v>43</v>
      </c>
      <c r="D60">
        <v>0.1963</v>
      </c>
      <c r="E60">
        <v>0.25</v>
      </c>
      <c r="F60">
        <v>0.36</v>
      </c>
      <c r="G60" t="s">
        <v>246</v>
      </c>
      <c r="H60">
        <v>0.5673</v>
      </c>
      <c r="I60" t="s">
        <v>43</v>
      </c>
      <c r="J60" t="s">
        <v>43</v>
      </c>
      <c r="K60" t="s">
        <v>43</v>
      </c>
      <c r="L60">
        <v>0</v>
      </c>
      <c r="M60" t="s">
        <v>244</v>
      </c>
      <c r="N60">
        <v>0</v>
      </c>
      <c r="O60" t="s">
        <v>43</v>
      </c>
      <c r="P60" t="s">
        <v>43</v>
      </c>
      <c r="Q60" t="s">
        <v>43</v>
      </c>
      <c r="R60">
        <v>0</v>
      </c>
      <c r="S60" t="s">
        <v>244</v>
      </c>
      <c r="T60">
        <v>0</v>
      </c>
      <c r="U60">
        <f>H60+N60+T60</f>
        <v>0.5673</v>
      </c>
    </row>
    <row r="61">
      <c r="A61">
        <v>101.12</v>
      </c>
      <c r="B61" t="s">
        <f>IFERROR(INDEX('Junction Structure'!Q:Q,MATCH("",'Junction Structure'!A:A,0)),"")</f>
        <v>43</v>
      </c>
      <c r="C61" t="s">
        <v>43</v>
      </c>
      <c r="D61">
        <v>0.1963</v>
      </c>
      <c r="E61">
        <v>0.25</v>
      </c>
      <c r="F61">
        <v>0.37</v>
      </c>
      <c r="G61" t="s">
        <v>246</v>
      </c>
      <c r="H61">
        <v>0.5751</v>
      </c>
      <c r="I61" t="s">
        <v>43</v>
      </c>
      <c r="J61" t="s">
        <v>43</v>
      </c>
      <c r="K61" t="s">
        <v>43</v>
      </c>
      <c r="L61">
        <v>0</v>
      </c>
      <c r="M61" t="s">
        <v>244</v>
      </c>
      <c r="N61">
        <v>0</v>
      </c>
      <c r="O61" t="s">
        <v>43</v>
      </c>
      <c r="P61" t="s">
        <v>43</v>
      </c>
      <c r="Q61" t="s">
        <v>43</v>
      </c>
      <c r="R61">
        <v>0</v>
      </c>
      <c r="S61" t="s">
        <v>244</v>
      </c>
      <c r="T61">
        <v>0</v>
      </c>
      <c r="U61">
        <f>H61+N61+T61</f>
        <v>0.5751</v>
      </c>
    </row>
    <row r="62">
      <c r="A62">
        <v>101.13</v>
      </c>
      <c r="B62" t="s">
        <f>IFERROR(INDEX('Junction Structure'!Q:Q,MATCH("",'Junction Structure'!A:A,0)),"")</f>
        <v>43</v>
      </c>
      <c r="C62" t="s">
        <v>43</v>
      </c>
      <c r="D62">
        <v>0.1963</v>
      </c>
      <c r="E62">
        <v>0.25</v>
      </c>
      <c r="F62">
        <v>0.38</v>
      </c>
      <c r="G62" t="s">
        <v>246</v>
      </c>
      <c r="H62">
        <v>0.5828</v>
      </c>
      <c r="I62" t="s">
        <v>43</v>
      </c>
      <c r="J62" t="s">
        <v>43</v>
      </c>
      <c r="K62" t="s">
        <v>43</v>
      </c>
      <c r="L62">
        <v>0</v>
      </c>
      <c r="M62" t="s">
        <v>244</v>
      </c>
      <c r="N62">
        <v>0</v>
      </c>
      <c r="O62" t="s">
        <v>43</v>
      </c>
      <c r="P62" t="s">
        <v>43</v>
      </c>
      <c r="Q62" t="s">
        <v>43</v>
      </c>
      <c r="R62">
        <v>0</v>
      </c>
      <c r="S62" t="s">
        <v>244</v>
      </c>
      <c r="T62">
        <v>0</v>
      </c>
      <c r="U62">
        <f>H62+N62+T62</f>
        <v>0.5828</v>
      </c>
    </row>
    <row r="63">
      <c r="A63">
        <v>101.14</v>
      </c>
      <c r="B63" t="s">
        <f>IFERROR(INDEX('Junction Structure'!Q:Q,MATCH("",'Junction Structure'!A:A,0)),"")</f>
        <v>43</v>
      </c>
      <c r="C63" t="s">
        <v>43</v>
      </c>
      <c r="D63">
        <v>0.1963</v>
      </c>
      <c r="E63">
        <v>0.25</v>
      </c>
      <c r="F63">
        <v>0.39</v>
      </c>
      <c r="G63" t="s">
        <v>246</v>
      </c>
      <c r="H63">
        <v>0.5904</v>
      </c>
      <c r="I63" t="s">
        <v>43</v>
      </c>
      <c r="J63" t="s">
        <v>43</v>
      </c>
      <c r="K63" t="s">
        <v>43</v>
      </c>
      <c r="L63">
        <v>0</v>
      </c>
      <c r="M63" t="s">
        <v>244</v>
      </c>
      <c r="N63">
        <v>0</v>
      </c>
      <c r="O63" t="s">
        <v>43</v>
      </c>
      <c r="P63" t="s">
        <v>43</v>
      </c>
      <c r="Q63" t="s">
        <v>43</v>
      </c>
      <c r="R63">
        <v>0</v>
      </c>
      <c r="S63" t="s">
        <v>244</v>
      </c>
      <c r="T63">
        <v>0</v>
      </c>
      <c r="U63">
        <f>H63+N63+T63</f>
        <v>0.5904</v>
      </c>
    </row>
    <row r="64">
      <c r="A64">
        <v>101.15</v>
      </c>
      <c r="B64" t="s">
        <f>IFERROR(INDEX('Junction Structure'!Q:Q,MATCH("",'Junction Structure'!A:A,0)),"")</f>
        <v>43</v>
      </c>
      <c r="C64" t="s">
        <v>43</v>
      </c>
      <c r="D64">
        <v>0.1963</v>
      </c>
      <c r="E64">
        <v>0.25</v>
      </c>
      <c r="F64">
        <v>0.4</v>
      </c>
      <c r="G64" t="s">
        <v>246</v>
      </c>
      <c r="H64">
        <v>0.5979</v>
      </c>
      <c r="I64" t="s">
        <v>43</v>
      </c>
      <c r="J64" t="s">
        <v>43</v>
      </c>
      <c r="K64" t="s">
        <v>43</v>
      </c>
      <c r="L64">
        <v>0</v>
      </c>
      <c r="M64" t="s">
        <v>244</v>
      </c>
      <c r="N64">
        <v>0</v>
      </c>
      <c r="O64" t="s">
        <v>43</v>
      </c>
      <c r="P64" t="s">
        <v>43</v>
      </c>
      <c r="Q64" t="s">
        <v>43</v>
      </c>
      <c r="R64">
        <v>0</v>
      </c>
      <c r="S64" t="s">
        <v>244</v>
      </c>
      <c r="T64">
        <v>0</v>
      </c>
      <c r="U64">
        <f>H64+N64+T64</f>
        <v>0.5979</v>
      </c>
    </row>
    <row r="65">
      <c r="A65">
        <v>101.5</v>
      </c>
      <c r="B65" t="s">
        <f>IFERROR(INDEX('Junction Structure'!Q:Q,MATCH("",'Junction Structure'!A:A,0)),"")</f>
        <v>43</v>
      </c>
      <c r="C65" t="s">
        <v>43</v>
      </c>
      <c r="D65">
        <v>0.1963</v>
      </c>
      <c r="E65">
        <v>0.25</v>
      </c>
      <c r="F65">
        <v>0.75</v>
      </c>
      <c r="G65" t="s">
        <v>246</v>
      </c>
      <c r="H65">
        <v>0.8188</v>
      </c>
      <c r="I65" t="s">
        <v>43</v>
      </c>
      <c r="J65" t="s">
        <v>43</v>
      </c>
      <c r="K65" t="s">
        <v>43</v>
      </c>
      <c r="L65">
        <v>0</v>
      </c>
      <c r="M65" t="s">
        <v>244</v>
      </c>
      <c r="N65">
        <v>0</v>
      </c>
      <c r="O65" t="s">
        <v>43</v>
      </c>
      <c r="P65" t="s">
        <v>43</v>
      </c>
      <c r="Q65" t="s">
        <v>43</v>
      </c>
      <c r="R65">
        <v>0</v>
      </c>
      <c r="S65" t="s">
        <v>244</v>
      </c>
      <c r="T65">
        <v>0</v>
      </c>
      <c r="U65">
        <f>H65+N65+T65</f>
        <v>0.8188</v>
      </c>
    </row>
    <row r="66">
      <c r="A66">
        <v>102</v>
      </c>
      <c r="B66" t="s">
        <f>IFERROR(INDEX('Junction Structure'!Q:Q,MATCH("",'Junction Structure'!A:A,0)),"")</f>
        <v>43</v>
      </c>
      <c r="C66" t="s">
        <v>43</v>
      </c>
      <c r="D66">
        <v>0.1963</v>
      </c>
      <c r="E66">
        <v>0.25</v>
      </c>
      <c r="F66">
        <v>1.25</v>
      </c>
      <c r="G66" t="s">
        <v>246</v>
      </c>
      <c r="H66">
        <v>1.057</v>
      </c>
      <c r="I66" t="s">
        <v>43</v>
      </c>
      <c r="J66" t="s">
        <v>43</v>
      </c>
      <c r="K66" t="s">
        <v>43</v>
      </c>
      <c r="L66">
        <v>0</v>
      </c>
      <c r="M66" t="s">
        <v>244</v>
      </c>
      <c r="N66">
        <v>0</v>
      </c>
      <c r="O66" t="s">
        <v>43</v>
      </c>
      <c r="P66" t="s">
        <v>43</v>
      </c>
      <c r="Q66" t="s">
        <v>43</v>
      </c>
      <c r="R66">
        <v>0</v>
      </c>
      <c r="S66" t="s">
        <v>244</v>
      </c>
      <c r="T66">
        <v>0</v>
      </c>
      <c r="U66">
        <f>H66+N66+T66</f>
        <v>1.057</v>
      </c>
    </row>
    <row r="67">
      <c r="A67">
        <v>102.5</v>
      </c>
      <c r="B67" t="s">
        <f>IFERROR(INDEX('Junction Structure'!Q:Q,MATCH("",'Junction Structure'!A:A,0)),"")</f>
        <v>43</v>
      </c>
      <c r="C67" t="s">
        <v>43</v>
      </c>
      <c r="D67">
        <v>0.1963</v>
      </c>
      <c r="E67">
        <v>0.25</v>
      </c>
      <c r="F67">
        <v>1.75</v>
      </c>
      <c r="G67" t="s">
        <v>246</v>
      </c>
      <c r="H67">
        <v>1.2507</v>
      </c>
      <c r="I67" t="s">
        <v>43</v>
      </c>
      <c r="J67" t="s">
        <v>43</v>
      </c>
      <c r="K67" t="s">
        <v>43</v>
      </c>
      <c r="L67">
        <v>0</v>
      </c>
      <c r="M67" t="s">
        <v>244</v>
      </c>
      <c r="N67">
        <v>0</v>
      </c>
      <c r="O67" t="s">
        <v>43</v>
      </c>
      <c r="P67" t="s">
        <v>43</v>
      </c>
      <c r="Q67" t="s">
        <v>43</v>
      </c>
      <c r="R67">
        <v>0</v>
      </c>
      <c r="S67" t="s">
        <v>244</v>
      </c>
      <c r="T67">
        <v>0</v>
      </c>
      <c r="U67">
        <f>H67+N67+T67</f>
        <v>1.2507</v>
      </c>
    </row>
    <row r="68">
      <c r="A68">
        <v>102.7</v>
      </c>
      <c r="B68" t="s">
        <f>IFERROR(INDEX('Junction Structure'!Q:Q,MATCH("",'Junction Structure'!A:A,0)),"")</f>
        <v>43</v>
      </c>
      <c r="C68" t="s">
        <v>43</v>
      </c>
      <c r="D68">
        <v>0.1963</v>
      </c>
      <c r="E68">
        <v>0.25</v>
      </c>
      <c r="F68">
        <v>1.95</v>
      </c>
      <c r="G68" t="s">
        <v>246</v>
      </c>
      <c r="H68">
        <v>1.3202</v>
      </c>
      <c r="I68" t="s">
        <v>43</v>
      </c>
      <c r="J68" t="s">
        <v>43</v>
      </c>
      <c r="K68" t="s">
        <v>43</v>
      </c>
      <c r="L68">
        <v>0</v>
      </c>
      <c r="M68" t="s">
        <v>244</v>
      </c>
      <c r="N68">
        <v>0</v>
      </c>
      <c r="O68" t="s">
        <v>43</v>
      </c>
      <c r="P68" t="s">
        <v>43</v>
      </c>
      <c r="Q68" t="s">
        <v>43</v>
      </c>
      <c r="R68">
        <v>0</v>
      </c>
      <c r="S68" t="s">
        <v>244</v>
      </c>
      <c r="T68">
        <v>0</v>
      </c>
      <c r="U68">
        <f>H68+N68+T68</f>
        <v>1.3202</v>
      </c>
    </row>
    <row r="69">
      <c r="A69">
        <v>102.75</v>
      </c>
      <c r="B69" t="s">
        <f>IFERROR(INDEX('Junction Structure'!Q:Q,MATCH("",'Junction Structure'!A:A,0)),"")</f>
        <v>43</v>
      </c>
      <c r="C69" t="s">
        <v>43</v>
      </c>
      <c r="D69">
        <v>0.1963</v>
      </c>
      <c r="E69">
        <v>0.25</v>
      </c>
      <c r="F69">
        <v>2</v>
      </c>
      <c r="G69" t="s">
        <v>246</v>
      </c>
      <c r="H69">
        <v>1.337</v>
      </c>
      <c r="I69" t="s">
        <v>43</v>
      </c>
      <c r="J69" t="s">
        <v>43</v>
      </c>
      <c r="K69" t="s">
        <v>43</v>
      </c>
      <c r="L69">
        <v>0</v>
      </c>
      <c r="M69" t="s">
        <v>244</v>
      </c>
      <c r="N69">
        <v>0</v>
      </c>
      <c r="O69" t="s">
        <v>43</v>
      </c>
      <c r="P69" t="s">
        <v>43</v>
      </c>
      <c r="Q69" t="s">
        <v>43</v>
      </c>
      <c r="R69">
        <v>0</v>
      </c>
      <c r="S69" t="s">
        <v>244</v>
      </c>
      <c r="T69">
        <v>0</v>
      </c>
      <c r="U69">
        <f>H69+N69+T69</f>
        <v>1.337</v>
      </c>
    </row>
    <row r="70">
      <c r="A70">
        <v>102.8</v>
      </c>
      <c r="B70" t="s">
        <f>IFERROR(INDEX('Junction Structure'!Q:Q,MATCH("",'Junction Structure'!A:A,0)),"")</f>
        <v>43</v>
      </c>
      <c r="C70" t="s">
        <v>43</v>
      </c>
      <c r="D70">
        <v>0.1963</v>
      </c>
      <c r="E70">
        <v>0.25</v>
      </c>
      <c r="F70">
        <v>2.05</v>
      </c>
      <c r="G70" t="s">
        <v>246</v>
      </c>
      <c r="H70">
        <v>1.3536</v>
      </c>
      <c r="I70" t="s">
        <v>43</v>
      </c>
      <c r="J70" t="s">
        <v>43</v>
      </c>
      <c r="K70" t="s">
        <v>43</v>
      </c>
      <c r="L70">
        <v>0</v>
      </c>
      <c r="M70" t="s">
        <v>244</v>
      </c>
      <c r="N70">
        <v>0</v>
      </c>
      <c r="O70" t="s">
        <v>43</v>
      </c>
      <c r="P70" t="s">
        <v>43</v>
      </c>
      <c r="Q70" t="s">
        <v>43</v>
      </c>
      <c r="R70">
        <v>0</v>
      </c>
      <c r="S70" t="s">
        <v>244</v>
      </c>
      <c r="T70">
        <v>0</v>
      </c>
      <c r="U70">
        <f>H70+N70+T70</f>
        <v>1.3536</v>
      </c>
    </row>
    <row r="71">
      <c r="A71">
        <v>102.85</v>
      </c>
      <c r="B71" t="s">
        <f>IFERROR(INDEX('Junction Structure'!Q:Q,MATCH("",'Junction Structure'!A:A,0)),"")</f>
        <v>43</v>
      </c>
      <c r="C71" t="s">
        <v>43</v>
      </c>
      <c r="D71">
        <v>0.1963</v>
      </c>
      <c r="E71">
        <v>0.25</v>
      </c>
      <c r="F71">
        <v>2.1</v>
      </c>
      <c r="G71" t="s">
        <v>246</v>
      </c>
      <c r="H71">
        <v>1.37</v>
      </c>
      <c r="I71" t="s">
        <v>43</v>
      </c>
      <c r="J71" t="s">
        <v>43</v>
      </c>
      <c r="K71" t="s">
        <v>43</v>
      </c>
      <c r="L71">
        <v>0</v>
      </c>
      <c r="M71" t="s">
        <v>244</v>
      </c>
      <c r="N71">
        <v>0</v>
      </c>
      <c r="O71" t="s">
        <v>43</v>
      </c>
      <c r="P71" t="s">
        <v>43</v>
      </c>
      <c r="Q71" t="s">
        <v>43</v>
      </c>
      <c r="R71">
        <v>0</v>
      </c>
      <c r="S71" t="s">
        <v>244</v>
      </c>
      <c r="T71">
        <v>0</v>
      </c>
      <c r="U71">
        <f>H71+N71+T71</f>
        <v>1.37</v>
      </c>
    </row>
    <row r="72">
      <c r="A72">
        <v>102.9</v>
      </c>
      <c r="B72" t="s">
        <f>IFERROR(INDEX('Junction Structure'!Q:Q,MATCH("",'Junction Structure'!A:A,0)),"")</f>
        <v>43</v>
      </c>
      <c r="C72" t="s">
        <v>43</v>
      </c>
      <c r="D72">
        <v>0.1963</v>
      </c>
      <c r="E72">
        <v>0.25</v>
      </c>
      <c r="F72">
        <v>2.15</v>
      </c>
      <c r="G72" t="s">
        <v>246</v>
      </c>
      <c r="H72">
        <v>1.3863</v>
      </c>
      <c r="I72" t="s">
        <v>43</v>
      </c>
      <c r="J72" t="s">
        <v>43</v>
      </c>
      <c r="K72" t="s">
        <v>43</v>
      </c>
      <c r="L72">
        <v>0</v>
      </c>
      <c r="M72" t="s">
        <v>244</v>
      </c>
      <c r="N72">
        <v>0</v>
      </c>
      <c r="O72" t="s">
        <v>43</v>
      </c>
      <c r="P72" t="s">
        <v>43</v>
      </c>
      <c r="Q72" t="s">
        <v>43</v>
      </c>
      <c r="R72">
        <v>0</v>
      </c>
      <c r="S72" t="s">
        <v>244</v>
      </c>
      <c r="T72">
        <v>0</v>
      </c>
      <c r="U72">
        <f>H72+N72+T72</f>
        <v>1.3863</v>
      </c>
    </row>
    <row r="73">
      <c r="A73">
        <v>102.95</v>
      </c>
      <c r="B73" t="s">
        <f>IFERROR(INDEX('Junction Structure'!Q:Q,MATCH("",'Junction Structure'!A:A,0)),"")</f>
        <v>43</v>
      </c>
      <c r="C73" t="s">
        <v>43</v>
      </c>
      <c r="D73">
        <v>0.1963</v>
      </c>
      <c r="E73">
        <v>0.25</v>
      </c>
      <c r="F73">
        <v>2.2</v>
      </c>
      <c r="G73" t="s">
        <v>246</v>
      </c>
      <c r="H73">
        <v>1.4023</v>
      </c>
      <c r="I73" t="s">
        <v>43</v>
      </c>
      <c r="J73" t="s">
        <v>43</v>
      </c>
      <c r="K73" t="s">
        <v>43</v>
      </c>
      <c r="L73">
        <v>0</v>
      </c>
      <c r="M73" t="s">
        <v>244</v>
      </c>
      <c r="N73">
        <v>0</v>
      </c>
      <c r="O73" t="s">
        <v>43</v>
      </c>
      <c r="P73" t="s">
        <v>43</v>
      </c>
      <c r="Q73" t="s">
        <v>43</v>
      </c>
      <c r="R73">
        <v>0</v>
      </c>
      <c r="S73" t="s">
        <v>244</v>
      </c>
      <c r="T73">
        <v>0</v>
      </c>
      <c r="U73">
        <f>H73+N73+T73</f>
        <v>1.4023</v>
      </c>
    </row>
    <row r="74">
      <c r="A74">
        <v>103</v>
      </c>
      <c r="B74" t="s">
        <f>IFERROR(INDEX('Junction Structure'!Q:Q,MATCH("",'Junction Structure'!A:A,0)),"")</f>
        <v>43</v>
      </c>
      <c r="C74" t="s">
        <v>43</v>
      </c>
      <c r="D74">
        <v>0.1963</v>
      </c>
      <c r="E74">
        <v>0.25</v>
      </c>
      <c r="F74">
        <v>2.25</v>
      </c>
      <c r="G74" t="s">
        <v>246</v>
      </c>
      <c r="H74">
        <v>1.4181</v>
      </c>
      <c r="I74" t="s">
        <v>43</v>
      </c>
      <c r="J74" t="s">
        <v>43</v>
      </c>
      <c r="K74" t="s">
        <v>43</v>
      </c>
      <c r="L74">
        <v>0</v>
      </c>
      <c r="M74" t="s">
        <v>244</v>
      </c>
      <c r="N74">
        <v>0</v>
      </c>
      <c r="O74" t="s">
        <v>43</v>
      </c>
      <c r="P74" t="s">
        <v>43</v>
      </c>
      <c r="Q74" t="s">
        <v>43</v>
      </c>
      <c r="R74">
        <v>0</v>
      </c>
      <c r="S74" t="s">
        <v>244</v>
      </c>
      <c r="T74">
        <v>0</v>
      </c>
      <c r="U74">
        <f>H74+N74+T74</f>
        <v>1.4181</v>
      </c>
    </row>
    <row r="75">
      <c r="A75">
        <v>103.05</v>
      </c>
      <c r="B75" t="s">
        <f>IFERROR(INDEX('Junction Structure'!Q:Q,MATCH("",'Junction Structure'!A:A,0)),"")</f>
        <v>43</v>
      </c>
      <c r="C75" t="s">
        <v>43</v>
      </c>
      <c r="D75">
        <v>0.1963</v>
      </c>
      <c r="E75">
        <v>0.25</v>
      </c>
      <c r="F75">
        <v>2.3</v>
      </c>
      <c r="G75" t="s">
        <v>246</v>
      </c>
      <c r="H75">
        <v>1.4338</v>
      </c>
      <c r="I75" t="s">
        <v>43</v>
      </c>
      <c r="J75" t="s">
        <v>43</v>
      </c>
      <c r="K75" t="s">
        <v>43</v>
      </c>
      <c r="L75">
        <v>0.05</v>
      </c>
      <c r="M75" t="s">
        <v>247</v>
      </c>
      <c r="N75">
        <v>0.1386</v>
      </c>
      <c r="O75" t="s">
        <v>43</v>
      </c>
      <c r="P75" t="s">
        <v>43</v>
      </c>
      <c r="Q75" t="s">
        <v>43</v>
      </c>
      <c r="R75">
        <v>0</v>
      </c>
      <c r="S75" t="s">
        <v>244</v>
      </c>
      <c r="T75">
        <v>0</v>
      </c>
      <c r="U75">
        <f>H75+N75+T75</f>
        <v>1.5724</v>
      </c>
    </row>
    <row r="76">
      <c r="A76">
        <v>103.1</v>
      </c>
      <c r="B76" t="s">
        <f>IFERROR(INDEX('Junction Structure'!Q:Q,MATCH("",'Junction Structure'!A:A,0)),"")</f>
        <v>43</v>
      </c>
      <c r="C76" t="s">
        <v>43</v>
      </c>
      <c r="D76">
        <v>0.1963</v>
      </c>
      <c r="E76">
        <v>0.25</v>
      </c>
      <c r="F76">
        <v>2.35</v>
      </c>
      <c r="G76" t="s">
        <v>246</v>
      </c>
      <c r="H76">
        <v>1.4493</v>
      </c>
      <c r="I76" t="s">
        <v>43</v>
      </c>
      <c r="J76" t="s">
        <v>43</v>
      </c>
      <c r="K76" t="s">
        <v>43</v>
      </c>
      <c r="L76">
        <v>0.1</v>
      </c>
      <c r="M76" t="s">
        <v>247</v>
      </c>
      <c r="N76">
        <v>0.3921</v>
      </c>
      <c r="O76" t="s">
        <v>43</v>
      </c>
      <c r="P76" t="s">
        <v>43</v>
      </c>
      <c r="Q76" t="s">
        <v>43</v>
      </c>
      <c r="R76">
        <v>0</v>
      </c>
      <c r="S76" t="s">
        <v>244</v>
      </c>
      <c r="T76">
        <v>0</v>
      </c>
      <c r="U76">
        <f>H76+N76+T76</f>
        <v>1.8414</v>
      </c>
    </row>
    <row r="77">
      <c r="A77">
        <v>103.15</v>
      </c>
      <c r="B77" t="s">
        <f>IFERROR(INDEX('Junction Structure'!Q:Q,MATCH("",'Junction Structure'!A:A,0)),"")</f>
        <v>43</v>
      </c>
      <c r="C77" t="s">
        <v>43</v>
      </c>
      <c r="D77">
        <v>0.1963</v>
      </c>
      <c r="E77">
        <v>0.25</v>
      </c>
      <c r="F77">
        <v>2.4</v>
      </c>
      <c r="G77" t="s">
        <v>246</v>
      </c>
      <c r="H77">
        <v>1.4646</v>
      </c>
      <c r="I77" t="s">
        <v>43</v>
      </c>
      <c r="J77" t="s">
        <v>43</v>
      </c>
      <c r="K77" t="s">
        <v>43</v>
      </c>
      <c r="L77">
        <v>0.15</v>
      </c>
      <c r="M77" t="s">
        <v>247</v>
      </c>
      <c r="N77">
        <v>0.7204</v>
      </c>
      <c r="O77" t="s">
        <v>43</v>
      </c>
      <c r="P77" t="s">
        <v>43</v>
      </c>
      <c r="Q77" t="s">
        <v>43</v>
      </c>
      <c r="R77">
        <v>0</v>
      </c>
      <c r="S77" t="s">
        <v>244</v>
      </c>
      <c r="T77">
        <v>0</v>
      </c>
      <c r="U77">
        <f>H77+N77+T77</f>
        <v>2.185</v>
      </c>
    </row>
    <row r="78">
      <c r="A78">
        <v>103.2</v>
      </c>
      <c r="B78" t="s">
        <f>IFERROR(INDEX('Junction Structure'!Q:Q,MATCH("",'Junction Structure'!A:A,0)),"")</f>
        <v>43</v>
      </c>
      <c r="C78" t="s">
        <v>43</v>
      </c>
      <c r="D78">
        <v>0.1963</v>
      </c>
      <c r="E78">
        <v>0.25</v>
      </c>
      <c r="F78">
        <v>2.45</v>
      </c>
      <c r="G78" t="s">
        <v>246</v>
      </c>
      <c r="H78">
        <v>1.4798</v>
      </c>
      <c r="I78" t="s">
        <v>43</v>
      </c>
      <c r="J78" t="s">
        <v>43</v>
      </c>
      <c r="K78" t="s">
        <v>43</v>
      </c>
      <c r="L78">
        <v>0.2</v>
      </c>
      <c r="M78" t="s">
        <v>247</v>
      </c>
      <c r="N78">
        <v>1.1091</v>
      </c>
      <c r="O78" t="s">
        <v>43</v>
      </c>
      <c r="P78" t="s">
        <v>43</v>
      </c>
      <c r="Q78" t="s">
        <v>43</v>
      </c>
      <c r="R78">
        <v>0</v>
      </c>
      <c r="S78" t="s">
        <v>244</v>
      </c>
      <c r="T78">
        <v>0</v>
      </c>
      <c r="U78">
        <f>H78+N78+T78</f>
        <v>2.5889</v>
      </c>
    </row>
    <row r="79">
      <c r="A79">
        <v>103.25</v>
      </c>
      <c r="B79" t="s">
        <f>IFERROR(INDEX('Junction Structure'!Q:Q,MATCH("",'Junction Structure'!A:A,0)),"")</f>
        <v>43</v>
      </c>
      <c r="C79" t="s">
        <v>43</v>
      </c>
      <c r="D79">
        <v>0.1963</v>
      </c>
      <c r="E79">
        <v>0.25</v>
      </c>
      <c r="F79">
        <v>2.5</v>
      </c>
      <c r="G79" t="s">
        <v>246</v>
      </c>
      <c r="H79">
        <v>1.4948</v>
      </c>
      <c r="I79" t="s">
        <v>43</v>
      </c>
      <c r="J79" t="s">
        <v>43</v>
      </c>
      <c r="K79" t="s">
        <v>43</v>
      </c>
      <c r="L79">
        <v>0.25</v>
      </c>
      <c r="M79" t="s">
        <v>247</v>
      </c>
      <c r="N79">
        <v>1.55</v>
      </c>
      <c r="O79" t="s">
        <v>43</v>
      </c>
      <c r="P79" t="s">
        <v>43</v>
      </c>
      <c r="Q79" t="s">
        <v>43</v>
      </c>
      <c r="R79">
        <v>0</v>
      </c>
      <c r="S79" t="s">
        <v>244</v>
      </c>
      <c r="T79">
        <v>0</v>
      </c>
      <c r="U79">
        <f>H79+N79+T79</f>
        <v>3.0448</v>
      </c>
    </row>
    <row r="80">
      <c r="A80">
        <v>103.3</v>
      </c>
      <c r="B80" t="s">
        <f>IFERROR(INDEX('Junction Structure'!Q:Q,MATCH("",'Junction Structure'!A:A,0)),"")</f>
        <v>43</v>
      </c>
      <c r="C80" t="s">
        <v>43</v>
      </c>
      <c r="D80">
        <v>0.1963</v>
      </c>
      <c r="E80">
        <v>0.25</v>
      </c>
      <c r="F80">
        <v>2.55</v>
      </c>
      <c r="G80" t="s">
        <v>246</v>
      </c>
      <c r="H80">
        <v>1.5097</v>
      </c>
      <c r="I80" t="s">
        <v>43</v>
      </c>
      <c r="J80" t="s">
        <v>43</v>
      </c>
      <c r="K80" t="s">
        <v>43</v>
      </c>
      <c r="L80">
        <v>0.3</v>
      </c>
      <c r="M80" t="s">
        <v>247</v>
      </c>
      <c r="N80">
        <v>2.0375</v>
      </c>
      <c r="O80" t="s">
        <v>43</v>
      </c>
      <c r="P80" t="s">
        <v>43</v>
      </c>
      <c r="Q80" t="s">
        <v>43</v>
      </c>
      <c r="R80">
        <v>0</v>
      </c>
      <c r="S80" t="s">
        <v>244</v>
      </c>
      <c r="T80">
        <v>0</v>
      </c>
      <c r="U80">
        <f>H80+N80+T80</f>
        <v>3.5472</v>
      </c>
    </row>
    <row r="81">
      <c r="A81">
        <v>103.5</v>
      </c>
      <c r="B81" t="s">
        <f>IFERROR(INDEX('Junction Structure'!Q:Q,MATCH("",'Junction Structure'!A:A,0)),"")</f>
        <v>43</v>
      </c>
      <c r="C81" t="s">
        <v>43</v>
      </c>
      <c r="D81">
        <v>0.1963</v>
      </c>
      <c r="E81">
        <v>0.25</v>
      </c>
      <c r="F81">
        <v>2.75</v>
      </c>
      <c r="G81" t="s">
        <v>246</v>
      </c>
      <c r="H81">
        <v>1.5678</v>
      </c>
      <c r="I81" t="s">
        <v>43</v>
      </c>
      <c r="J81" t="s">
        <v>43</v>
      </c>
      <c r="K81" t="s">
        <v>43</v>
      </c>
      <c r="L81">
        <v>0.5</v>
      </c>
      <c r="M81" t="s">
        <v>247</v>
      </c>
      <c r="N81">
        <v>4.3841</v>
      </c>
      <c r="O81" t="s">
        <v>43</v>
      </c>
      <c r="P81" t="s">
        <v>43</v>
      </c>
      <c r="Q81" t="s">
        <v>43</v>
      </c>
      <c r="R81">
        <v>0</v>
      </c>
      <c r="S81" t="s">
        <v>244</v>
      </c>
      <c r="T81">
        <v>0</v>
      </c>
      <c r="U81">
        <f>H81+N81+T81</f>
        <v>5.9519</v>
      </c>
    </row>
    <row r="82">
      <c r="A82">
        <v>104</v>
      </c>
      <c r="B82" t="s">
        <f>IFERROR(INDEX('Junction Structure'!Q:Q,MATCH("",'Junction Structure'!A:A,0)),"")</f>
        <v>43</v>
      </c>
      <c r="C82" t="s">
        <v>43</v>
      </c>
      <c r="D82">
        <v>0.1963</v>
      </c>
      <c r="E82">
        <v>0.25</v>
      </c>
      <c r="F82">
        <v>3.25</v>
      </c>
      <c r="G82" t="s">
        <v>246</v>
      </c>
      <c r="H82">
        <v>1.7044</v>
      </c>
      <c r="I82" t="s">
        <v>43</v>
      </c>
      <c r="J82" t="s">
        <v>43</v>
      </c>
      <c r="K82" t="s">
        <v>43</v>
      </c>
      <c r="L82">
        <v>1</v>
      </c>
      <c r="M82" t="s">
        <v>247</v>
      </c>
      <c r="N82">
        <v>12.4</v>
      </c>
      <c r="O82" t="s">
        <v>43</v>
      </c>
      <c r="P82" t="s">
        <v>43</v>
      </c>
      <c r="Q82" t="s">
        <v>43</v>
      </c>
      <c r="R82">
        <v>0</v>
      </c>
      <c r="S82" t="s">
        <v>244</v>
      </c>
      <c r="T82">
        <v>0</v>
      </c>
      <c r="U82">
        <f>H82+N82+T82</f>
        <v>14.1044</v>
      </c>
    </row>
    <row r="83">
      <c r="A83">
        <v>104.5</v>
      </c>
      <c r="B83" t="s">
        <f>IFERROR(INDEX('Junction Structure'!Q:Q,MATCH("",'Junction Structure'!A:A,0)),"")</f>
        <v>43</v>
      </c>
      <c r="C83" t="s">
        <v>43</v>
      </c>
      <c r="D83">
        <v>0.1963</v>
      </c>
      <c r="E83">
        <v>0.25</v>
      </c>
      <c r="F83">
        <v>3.75</v>
      </c>
      <c r="G83" t="s">
        <v>246</v>
      </c>
      <c r="H83">
        <v>1.8308</v>
      </c>
      <c r="I83" t="s">
        <v>43</v>
      </c>
      <c r="J83" t="s">
        <v>43</v>
      </c>
      <c r="K83" t="s">
        <v>43</v>
      </c>
      <c r="L83">
        <v>1.5</v>
      </c>
      <c r="M83" t="s">
        <v>247</v>
      </c>
      <c r="N83">
        <v>22.7803</v>
      </c>
      <c r="O83" t="s">
        <v>43</v>
      </c>
      <c r="P83" t="s">
        <v>43</v>
      </c>
      <c r="Q83" t="s">
        <v>43</v>
      </c>
      <c r="R83">
        <v>0</v>
      </c>
      <c r="S83" t="s">
        <v>244</v>
      </c>
      <c r="T83">
        <v>0</v>
      </c>
      <c r="U83">
        <f>H83+N83+T83</f>
        <v>24.611</v>
      </c>
    </row>
    <row r="84">
      <c r="A84">
        <v>105</v>
      </c>
      <c r="B84" t="s">
        <f>IFERROR(INDEX('Junction Structure'!Q:Q,MATCH("",'Junction Structure'!A:A,0)),"")</f>
        <v>43</v>
      </c>
      <c r="C84" t="s">
        <v>43</v>
      </c>
      <c r="D84">
        <v>0.1963</v>
      </c>
      <c r="E84">
        <v>0.25</v>
      </c>
      <c r="F84">
        <v>4.25</v>
      </c>
      <c r="G84" t="s">
        <v>246</v>
      </c>
      <c r="H84">
        <v>1.949</v>
      </c>
      <c r="I84" t="s">
        <v>43</v>
      </c>
      <c r="J84" t="s">
        <v>43</v>
      </c>
      <c r="K84" t="s">
        <v>43</v>
      </c>
      <c r="L84">
        <v>2</v>
      </c>
      <c r="M84" t="s">
        <v>247</v>
      </c>
      <c r="N84">
        <v>35.0725</v>
      </c>
      <c r="O84" t="s">
        <v>43</v>
      </c>
      <c r="P84" t="s">
        <v>43</v>
      </c>
      <c r="Q84" t="s">
        <v>43</v>
      </c>
      <c r="R84">
        <v>0</v>
      </c>
      <c r="S84" t="s">
        <v>244</v>
      </c>
      <c r="T84">
        <v>0</v>
      </c>
      <c r="U84">
        <f>H84+N84+T84</f>
        <v>37.0215</v>
      </c>
    </row>
    <row r="85">
      <c r="A85">
        <v>105.5</v>
      </c>
      <c r="B85" t="s">
        <f>IFERROR(INDEX('Junction Structure'!Q:Q,MATCH("",'Junction Structure'!A:A,0)),"")</f>
        <v>43</v>
      </c>
      <c r="C85" t="s">
        <v>43</v>
      </c>
      <c r="D85">
        <v>0.1963</v>
      </c>
      <c r="E85">
        <v>0.25</v>
      </c>
      <c r="F85">
        <v>4.75</v>
      </c>
      <c r="G85" t="s">
        <v>246</v>
      </c>
      <c r="H85">
        <v>2.0605</v>
      </c>
      <c r="I85" t="s">
        <v>43</v>
      </c>
      <c r="J85" t="s">
        <v>43</v>
      </c>
      <c r="K85" t="s">
        <v>43</v>
      </c>
      <c r="L85">
        <v>2.5</v>
      </c>
      <c r="M85" t="s">
        <v>247</v>
      </c>
      <c r="N85">
        <v>49.0153</v>
      </c>
      <c r="O85" t="s">
        <v>43</v>
      </c>
      <c r="P85" t="s">
        <v>43</v>
      </c>
      <c r="Q85" t="s">
        <v>43</v>
      </c>
      <c r="R85">
        <v>0.5</v>
      </c>
      <c r="S85" t="s">
        <v>247</v>
      </c>
      <c r="T85">
        <v>10.9602</v>
      </c>
      <c r="U85">
        <f>H85+N85+T85</f>
        <v>62.036</v>
      </c>
    </row>
    <row r="86">
      <c r="A86">
        <v>106</v>
      </c>
      <c r="B86" t="s">
        <f>IFERROR(INDEX('Junction Structure'!Q:Q,MATCH("",'Junction Structure'!A:A,0)),"")</f>
        <v>43</v>
      </c>
      <c r="C86" t="s">
        <v>43</v>
      </c>
      <c r="D86">
        <v>0.1963</v>
      </c>
      <c r="E86">
        <v>0.25</v>
      </c>
      <c r="F86">
        <v>5.25</v>
      </c>
      <c r="G86" t="s">
        <v>246</v>
      </c>
      <c r="H86">
        <v>2.1662</v>
      </c>
      <c r="I86" t="s">
        <v>43</v>
      </c>
      <c r="J86" t="s">
        <v>43</v>
      </c>
      <c r="K86" t="s">
        <v>43</v>
      </c>
      <c r="L86">
        <v>3</v>
      </c>
      <c r="M86" t="s">
        <v>247</v>
      </c>
      <c r="N86">
        <v>64.4323</v>
      </c>
      <c r="O86" t="s">
        <v>43</v>
      </c>
      <c r="P86" t="s">
        <v>43</v>
      </c>
      <c r="Q86" t="s">
        <v>43</v>
      </c>
      <c r="R86">
        <v>1</v>
      </c>
      <c r="S86" t="s">
        <v>247</v>
      </c>
      <c r="T86">
        <v>31</v>
      </c>
      <c r="U86">
        <f>H86+N86+T86</f>
        <v>97.5985</v>
      </c>
    </row>
  </sheetData>
  <ignoredErrors>
    <ignoredError numberStoredAsText="1" sqref="A1:U8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cols>
    <col min="1" max="1" width="11.83203125" customWidth="1"/>
    <col min="2" max="2" width="11.83203125" customWidth="1"/>
    <col min="3" max="3" width="10.83203125" customWidth="1"/>
    <col min="4" max="4" width="10.83203125" customWidth="1"/>
    <col min="5" max="5" width="15.83203125" customWidth="1"/>
    <col min="6" max="6" width="13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5.83203125" customWidth="1"/>
    <col min="12" max="12" width="13.83203125" customWidth="1"/>
    <col min="13" max="13" width="12.83203125" customWidth="1"/>
    <col min="14" max="14" width="10.83203125" customWidth="1"/>
    <col min="15" max="15" width="12.83203125" customWidth="1"/>
  </cols>
  <sheetData>
    <row r="1">
      <c r="A1" t="s">
        <v>223</v>
      </c>
      <c r="B1" t="s">
        <v>224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243</v>
      </c>
    </row>
    <row r="2">
      <c r="A2">
        <v>104</v>
      </c>
      <c r="B2" t="s">
        <v>43</v>
      </c>
      <c r="C2" t="s">
        <v>43</v>
      </c>
      <c r="D2">
        <v>0</v>
      </c>
      <c r="E2" t="s">
        <v>43</v>
      </c>
      <c r="F2">
        <v>0</v>
      </c>
      <c r="G2" t="s">
        <v>244</v>
      </c>
      <c r="H2">
        <v>0</v>
      </c>
      <c r="I2" t="s">
        <v>43</v>
      </c>
      <c r="J2" t="s">
        <v>43</v>
      </c>
      <c r="K2" t="s">
        <v>43</v>
      </c>
      <c r="L2">
        <v>0</v>
      </c>
      <c r="M2" t="s">
        <v>244</v>
      </c>
      <c r="N2">
        <v>0</v>
      </c>
      <c r="O2">
        <f>H2+N2</f>
        <v>0</v>
      </c>
    </row>
    <row r="3">
      <c r="A3">
        <v>104.02</v>
      </c>
      <c r="B3" t="s">
        <v>43</v>
      </c>
      <c r="C3" t="s">
        <v>43</v>
      </c>
      <c r="D3">
        <v>0</v>
      </c>
      <c r="E3" t="s">
        <v>43</v>
      </c>
      <c r="F3">
        <v>0</v>
      </c>
      <c r="G3" t="s">
        <v>244</v>
      </c>
      <c r="H3">
        <v>0</v>
      </c>
      <c r="I3" t="s">
        <v>43</v>
      </c>
      <c r="J3" t="s">
        <v>43</v>
      </c>
      <c r="K3" t="s">
        <v>43</v>
      </c>
      <c r="L3">
        <v>0</v>
      </c>
      <c r="M3" t="s">
        <v>244</v>
      </c>
      <c r="N3">
        <v>0</v>
      </c>
      <c r="O3">
        <f>H3+N3</f>
        <v>0</v>
      </c>
    </row>
    <row r="4">
      <c r="A4">
        <v>104.04</v>
      </c>
      <c r="B4" t="s">
        <v>43</v>
      </c>
      <c r="C4" t="s">
        <v>43</v>
      </c>
      <c r="D4">
        <v>0</v>
      </c>
      <c r="E4" t="s">
        <v>43</v>
      </c>
      <c r="F4">
        <v>0</v>
      </c>
      <c r="G4" t="s">
        <v>244</v>
      </c>
      <c r="H4">
        <v>0</v>
      </c>
      <c r="I4" t="s">
        <v>43</v>
      </c>
      <c r="J4" t="s">
        <v>43</v>
      </c>
      <c r="K4" t="s">
        <v>43</v>
      </c>
      <c r="L4">
        <v>0</v>
      </c>
      <c r="M4" t="s">
        <v>244</v>
      </c>
      <c r="N4">
        <v>0</v>
      </c>
      <c r="O4">
        <f>H4+N4</f>
        <v>0</v>
      </c>
    </row>
    <row r="5">
      <c r="A5">
        <v>104.06</v>
      </c>
      <c r="B5" t="s">
        <v>43</v>
      </c>
      <c r="C5" t="s">
        <v>43</v>
      </c>
      <c r="D5">
        <v>0</v>
      </c>
      <c r="E5" t="s">
        <v>43</v>
      </c>
      <c r="F5">
        <v>0</v>
      </c>
      <c r="G5" t="s">
        <v>244</v>
      </c>
      <c r="H5">
        <v>0</v>
      </c>
      <c r="I5" t="s">
        <v>43</v>
      </c>
      <c r="J5" t="s">
        <v>43</v>
      </c>
      <c r="K5" t="s">
        <v>43</v>
      </c>
      <c r="L5">
        <v>0</v>
      </c>
      <c r="M5" t="s">
        <v>244</v>
      </c>
      <c r="N5">
        <v>0</v>
      </c>
      <c r="O5">
        <f>H5+N5</f>
        <v>0</v>
      </c>
    </row>
    <row r="6">
      <c r="A6">
        <v>104.08</v>
      </c>
      <c r="B6" t="s">
        <v>43</v>
      </c>
      <c r="C6" t="s">
        <v>43</v>
      </c>
      <c r="D6">
        <v>0</v>
      </c>
      <c r="E6" t="s">
        <v>43</v>
      </c>
      <c r="F6">
        <v>0</v>
      </c>
      <c r="G6" t="s">
        <v>244</v>
      </c>
      <c r="H6">
        <v>0</v>
      </c>
      <c r="I6" t="s">
        <v>43</v>
      </c>
      <c r="J6" t="s">
        <v>43</v>
      </c>
      <c r="K6" t="s">
        <v>43</v>
      </c>
      <c r="L6">
        <v>0</v>
      </c>
      <c r="M6" t="s">
        <v>244</v>
      </c>
      <c r="N6">
        <v>0</v>
      </c>
      <c r="O6">
        <f>H6+N6</f>
        <v>0</v>
      </c>
    </row>
    <row r="7">
      <c r="A7">
        <v>104.1</v>
      </c>
      <c r="B7" t="s">
        <v>43</v>
      </c>
      <c r="C7" t="s">
        <v>43</v>
      </c>
      <c r="D7">
        <v>0</v>
      </c>
      <c r="E7" t="s">
        <v>43</v>
      </c>
      <c r="F7">
        <v>0</v>
      </c>
      <c r="G7" t="s">
        <v>244</v>
      </c>
      <c r="H7">
        <v>0</v>
      </c>
      <c r="I7" t="s">
        <v>43</v>
      </c>
      <c r="J7" t="s">
        <v>43</v>
      </c>
      <c r="K7" t="s">
        <v>43</v>
      </c>
      <c r="L7">
        <v>0</v>
      </c>
      <c r="M7" t="s">
        <v>244</v>
      </c>
      <c r="N7">
        <v>0</v>
      </c>
      <c r="O7">
        <f>H7+N7</f>
        <v>0</v>
      </c>
    </row>
    <row r="8">
      <c r="A8">
        <v>104.12</v>
      </c>
      <c r="B8" t="s">
        <v>43</v>
      </c>
      <c r="C8" t="s">
        <v>43</v>
      </c>
      <c r="D8">
        <v>0</v>
      </c>
      <c r="E8" t="s">
        <v>43</v>
      </c>
      <c r="F8">
        <v>0</v>
      </c>
      <c r="G8" t="s">
        <v>244</v>
      </c>
      <c r="H8">
        <v>0</v>
      </c>
      <c r="I8" t="s">
        <v>43</v>
      </c>
      <c r="J8" t="s">
        <v>43</v>
      </c>
      <c r="K8" t="s">
        <v>43</v>
      </c>
      <c r="L8">
        <v>0</v>
      </c>
      <c r="M8" t="s">
        <v>244</v>
      </c>
      <c r="N8">
        <v>0</v>
      </c>
      <c r="O8">
        <f>H8+N8</f>
        <v>0</v>
      </c>
    </row>
    <row r="9">
      <c r="A9">
        <v>104.14</v>
      </c>
      <c r="B9" t="s">
        <v>43</v>
      </c>
      <c r="C9" t="s">
        <v>43</v>
      </c>
      <c r="D9">
        <v>0</v>
      </c>
      <c r="E9" t="s">
        <v>43</v>
      </c>
      <c r="F9">
        <v>0</v>
      </c>
      <c r="G9" t="s">
        <v>244</v>
      </c>
      <c r="H9">
        <v>0</v>
      </c>
      <c r="I9" t="s">
        <v>43</v>
      </c>
      <c r="J9" t="s">
        <v>43</v>
      </c>
      <c r="K9" t="s">
        <v>43</v>
      </c>
      <c r="L9">
        <v>0</v>
      </c>
      <c r="M9" t="s">
        <v>244</v>
      </c>
      <c r="N9">
        <v>0</v>
      </c>
      <c r="O9">
        <f>H9+N9</f>
        <v>0</v>
      </c>
    </row>
    <row r="10">
      <c r="A10">
        <v>104.16</v>
      </c>
      <c r="B10" t="s">
        <v>43</v>
      </c>
      <c r="C10" t="s">
        <v>43</v>
      </c>
      <c r="D10">
        <v>0</v>
      </c>
      <c r="E10" t="s">
        <v>43</v>
      </c>
      <c r="F10">
        <v>0</v>
      </c>
      <c r="G10" t="s">
        <v>244</v>
      </c>
      <c r="H10">
        <v>0</v>
      </c>
      <c r="I10" t="s">
        <v>43</v>
      </c>
      <c r="J10" t="s">
        <v>43</v>
      </c>
      <c r="K10" t="s">
        <v>43</v>
      </c>
      <c r="L10">
        <v>0</v>
      </c>
      <c r="M10" t="s">
        <v>244</v>
      </c>
      <c r="N10">
        <v>0</v>
      </c>
      <c r="O10">
        <f>H10+N10</f>
        <v>0</v>
      </c>
    </row>
    <row r="11">
      <c r="A11">
        <v>104.18</v>
      </c>
      <c r="B11" t="s">
        <v>43</v>
      </c>
      <c r="C11" t="s">
        <v>43</v>
      </c>
      <c r="D11">
        <v>0</v>
      </c>
      <c r="E11" t="s">
        <v>43</v>
      </c>
      <c r="F11">
        <v>0</v>
      </c>
      <c r="G11" t="s">
        <v>244</v>
      </c>
      <c r="H11">
        <v>0</v>
      </c>
      <c r="I11" t="s">
        <v>43</v>
      </c>
      <c r="J11" t="s">
        <v>43</v>
      </c>
      <c r="K11" t="s">
        <v>43</v>
      </c>
      <c r="L11">
        <v>0</v>
      </c>
      <c r="M11" t="s">
        <v>244</v>
      </c>
      <c r="N11">
        <v>0</v>
      </c>
      <c r="O11">
        <f>H11+N11</f>
        <v>0</v>
      </c>
    </row>
    <row r="12">
      <c r="A12">
        <v>104.2</v>
      </c>
      <c r="B12" t="s">
        <v>43</v>
      </c>
      <c r="C12" t="s">
        <v>43</v>
      </c>
      <c r="D12">
        <v>0</v>
      </c>
      <c r="E12" t="s">
        <v>43</v>
      </c>
      <c r="F12">
        <v>0</v>
      </c>
      <c r="G12" t="s">
        <v>244</v>
      </c>
      <c r="H12">
        <v>0</v>
      </c>
      <c r="I12" t="s">
        <v>43</v>
      </c>
      <c r="J12" t="s">
        <v>43</v>
      </c>
      <c r="K12" t="s">
        <v>43</v>
      </c>
      <c r="L12">
        <v>0</v>
      </c>
      <c r="M12" t="s">
        <v>244</v>
      </c>
      <c r="N12">
        <v>0</v>
      </c>
      <c r="O12">
        <f>H12+N12</f>
        <v>0</v>
      </c>
    </row>
    <row r="13">
      <c r="A13">
        <v>104.22</v>
      </c>
      <c r="B13" t="s">
        <v>43</v>
      </c>
      <c r="C13">
        <v>28.358</v>
      </c>
      <c r="D13">
        <v>0.0021</v>
      </c>
      <c r="E13">
        <v>0.012</v>
      </c>
      <c r="F13">
        <v>0.008</v>
      </c>
      <c r="G13" t="s">
        <v>245</v>
      </c>
      <c r="H13">
        <v>0.0009</v>
      </c>
      <c r="I13" t="s">
        <v>43</v>
      </c>
      <c r="J13" t="s">
        <v>43</v>
      </c>
      <c r="K13" t="s">
        <v>43</v>
      </c>
      <c r="L13">
        <v>0</v>
      </c>
      <c r="M13" t="s">
        <v>244</v>
      </c>
      <c r="N13">
        <v>0</v>
      </c>
      <c r="O13">
        <f>H13+N13</f>
        <v>0.0009</v>
      </c>
    </row>
    <row r="14">
      <c r="A14">
        <v>104.24</v>
      </c>
      <c r="B14" t="s">
        <v>43</v>
      </c>
      <c r="C14">
        <v>40.536</v>
      </c>
      <c r="D14">
        <v>0.0059</v>
      </c>
      <c r="E14">
        <v>0.0238</v>
      </c>
      <c r="F14">
        <v>0.0162</v>
      </c>
      <c r="G14" t="s">
        <v>245</v>
      </c>
      <c r="H14">
        <v>0.0036</v>
      </c>
      <c r="I14" t="s">
        <v>43</v>
      </c>
      <c r="J14" t="s">
        <v>43</v>
      </c>
      <c r="K14" t="s">
        <v>43</v>
      </c>
      <c r="L14">
        <v>0</v>
      </c>
      <c r="M14" t="s">
        <v>244</v>
      </c>
      <c r="N14">
        <v>0</v>
      </c>
      <c r="O14">
        <f>H14+N14</f>
        <v>0.0036</v>
      </c>
    </row>
    <row r="15">
      <c r="A15">
        <v>104.25</v>
      </c>
      <c r="B15" t="s">
        <v>43</v>
      </c>
      <c r="C15">
        <v>45.573</v>
      </c>
      <c r="D15">
        <v>0.0082</v>
      </c>
      <c r="E15">
        <v>0.0297</v>
      </c>
      <c r="F15">
        <v>0.0203</v>
      </c>
      <c r="G15" t="s">
        <v>245</v>
      </c>
      <c r="H15">
        <v>0.0056</v>
      </c>
      <c r="I15" t="s">
        <v>43</v>
      </c>
      <c r="J15" t="s">
        <v>43</v>
      </c>
      <c r="K15" t="s">
        <v>43</v>
      </c>
      <c r="L15">
        <v>0</v>
      </c>
      <c r="M15" t="s">
        <v>244</v>
      </c>
      <c r="N15">
        <v>0</v>
      </c>
      <c r="O15">
        <f>H15+N15</f>
        <v>0.0056</v>
      </c>
    </row>
    <row r="16">
      <c r="A16">
        <v>104.26</v>
      </c>
      <c r="B16" t="s">
        <v>43</v>
      </c>
      <c r="C16">
        <v>50.208</v>
      </c>
      <c r="D16">
        <v>0.0107</v>
      </c>
      <c r="E16">
        <v>0.0356</v>
      </c>
      <c r="F16">
        <v>0.0244</v>
      </c>
      <c r="G16" t="s">
        <v>245</v>
      </c>
      <c r="H16">
        <v>0.008</v>
      </c>
      <c r="I16" t="s">
        <v>43</v>
      </c>
      <c r="J16" t="s">
        <v>43</v>
      </c>
      <c r="K16" t="s">
        <v>43</v>
      </c>
      <c r="L16">
        <v>0</v>
      </c>
      <c r="M16" t="s">
        <v>244</v>
      </c>
      <c r="N16">
        <v>0</v>
      </c>
      <c r="O16">
        <f>H16+N16</f>
        <v>0.008</v>
      </c>
    </row>
    <row r="17">
      <c r="A17">
        <v>104.28</v>
      </c>
      <c r="B17" t="s">
        <v>43</v>
      </c>
      <c r="C17">
        <v>58.668</v>
      </c>
      <c r="D17">
        <v>0.0161</v>
      </c>
      <c r="E17">
        <v>0.0472</v>
      </c>
      <c r="F17">
        <v>0.0328</v>
      </c>
      <c r="G17" t="s">
        <v>245</v>
      </c>
      <c r="H17">
        <v>0.014</v>
      </c>
      <c r="I17" t="s">
        <v>43</v>
      </c>
      <c r="J17" t="s">
        <v>43</v>
      </c>
      <c r="K17" t="s">
        <v>43</v>
      </c>
      <c r="L17">
        <v>0</v>
      </c>
      <c r="M17" t="s">
        <v>244</v>
      </c>
      <c r="N17">
        <v>0</v>
      </c>
      <c r="O17">
        <f>H17+N17</f>
        <v>0.014</v>
      </c>
    </row>
    <row r="18">
      <c r="A18">
        <v>104.3</v>
      </c>
      <c r="B18" t="s">
        <v>43</v>
      </c>
      <c r="C18">
        <v>66.422</v>
      </c>
      <c r="D18">
        <v>0.022</v>
      </c>
      <c r="E18">
        <v>0.0588</v>
      </c>
      <c r="F18">
        <v>0.0412</v>
      </c>
      <c r="G18" t="s">
        <v>245</v>
      </c>
      <c r="H18">
        <v>0.0215</v>
      </c>
      <c r="I18" t="s">
        <v>43</v>
      </c>
      <c r="J18" t="s">
        <v>43</v>
      </c>
      <c r="K18" t="s">
        <v>43</v>
      </c>
      <c r="L18">
        <v>0</v>
      </c>
      <c r="M18" t="s">
        <v>244</v>
      </c>
      <c r="N18">
        <v>0</v>
      </c>
      <c r="O18">
        <f>H18+N18</f>
        <v>0.0215</v>
      </c>
    </row>
    <row r="19">
      <c r="A19">
        <v>104.32</v>
      </c>
      <c r="B19" t="s">
        <v>43</v>
      </c>
      <c r="C19">
        <v>73.74</v>
      </c>
      <c r="D19">
        <v>0.0283</v>
      </c>
      <c r="E19">
        <v>0.0701</v>
      </c>
      <c r="F19">
        <v>0.0499</v>
      </c>
      <c r="G19" t="s">
        <v>245</v>
      </c>
      <c r="H19">
        <v>0.0304</v>
      </c>
      <c r="I19" t="s">
        <v>43</v>
      </c>
      <c r="J19" t="s">
        <v>43</v>
      </c>
      <c r="K19" t="s">
        <v>43</v>
      </c>
      <c r="L19">
        <v>0</v>
      </c>
      <c r="M19" t="s">
        <v>244</v>
      </c>
      <c r="N19">
        <v>0</v>
      </c>
      <c r="O19">
        <f>H19+N19</f>
        <v>0.0304</v>
      </c>
    </row>
    <row r="20">
      <c r="A20">
        <v>104.333333</v>
      </c>
      <c r="B20" t="s">
        <v>43</v>
      </c>
      <c r="C20">
        <v>78.463</v>
      </c>
      <c r="D20">
        <v>0.0326</v>
      </c>
      <c r="E20">
        <v>0.0776</v>
      </c>
      <c r="F20">
        <v>0.0557</v>
      </c>
      <c r="G20" t="s">
        <v>245</v>
      </c>
      <c r="H20">
        <v>0.0371</v>
      </c>
      <c r="I20" t="s">
        <v>43</v>
      </c>
      <c r="J20" t="s">
        <v>43</v>
      </c>
      <c r="K20" t="s">
        <v>43</v>
      </c>
      <c r="L20">
        <v>0</v>
      </c>
      <c r="M20" t="s">
        <v>244</v>
      </c>
      <c r="N20">
        <v>0</v>
      </c>
      <c r="O20">
        <f>H20+N20</f>
        <v>0.0371</v>
      </c>
    </row>
    <row r="21">
      <c r="A21">
        <v>104.34</v>
      </c>
      <c r="B21" t="s">
        <v>43</v>
      </c>
      <c r="C21">
        <v>80.793</v>
      </c>
      <c r="D21">
        <v>0.0348</v>
      </c>
      <c r="E21">
        <v>0.0813</v>
      </c>
      <c r="F21">
        <v>0.0587</v>
      </c>
      <c r="G21" t="s">
        <v>245</v>
      </c>
      <c r="H21">
        <v>0.0406</v>
      </c>
      <c r="I21" t="s">
        <v>43</v>
      </c>
      <c r="J21" t="s">
        <v>43</v>
      </c>
      <c r="K21" t="s">
        <v>43</v>
      </c>
      <c r="L21">
        <v>0</v>
      </c>
      <c r="M21" t="s">
        <v>244</v>
      </c>
      <c r="N21">
        <v>0</v>
      </c>
      <c r="O21">
        <f>H21+N21</f>
        <v>0.0406</v>
      </c>
    </row>
    <row r="22">
      <c r="A22">
        <v>104.353333</v>
      </c>
      <c r="B22" t="s">
        <v>43</v>
      </c>
      <c r="C22">
        <v>85.411</v>
      </c>
      <c r="D22">
        <v>0.0392</v>
      </c>
      <c r="E22">
        <v>0.0887</v>
      </c>
      <c r="F22">
        <v>0.0647</v>
      </c>
      <c r="G22" t="s">
        <v>245</v>
      </c>
      <c r="H22">
        <v>0.048</v>
      </c>
      <c r="I22" t="s">
        <v>43</v>
      </c>
      <c r="J22" t="s">
        <v>43</v>
      </c>
      <c r="K22" t="s">
        <v>43</v>
      </c>
      <c r="L22">
        <v>0</v>
      </c>
      <c r="M22" t="s">
        <v>244</v>
      </c>
      <c r="N22">
        <v>0</v>
      </c>
      <c r="O22">
        <f>H22+N22</f>
        <v>0.048</v>
      </c>
    </row>
    <row r="23">
      <c r="A23">
        <v>104.36</v>
      </c>
      <c r="B23" t="s">
        <v>43</v>
      </c>
      <c r="C23">
        <v>87.708</v>
      </c>
      <c r="D23">
        <v>0.0414</v>
      </c>
      <c r="E23">
        <v>0.0923</v>
      </c>
      <c r="F23">
        <v>0.0677</v>
      </c>
      <c r="G23" t="s">
        <v>245</v>
      </c>
      <c r="H23">
        <v>0.0519</v>
      </c>
      <c r="I23" t="s">
        <v>43</v>
      </c>
      <c r="J23" t="s">
        <v>43</v>
      </c>
      <c r="K23" t="s">
        <v>43</v>
      </c>
      <c r="L23">
        <v>0</v>
      </c>
      <c r="M23" t="s">
        <v>244</v>
      </c>
      <c r="N23">
        <v>0</v>
      </c>
      <c r="O23">
        <f>H23+N23</f>
        <v>0.0519</v>
      </c>
    </row>
    <row r="24">
      <c r="A24">
        <v>104.373333</v>
      </c>
      <c r="B24" t="s">
        <v>43</v>
      </c>
      <c r="C24">
        <v>92.292</v>
      </c>
      <c r="D24">
        <v>0.0459</v>
      </c>
      <c r="E24">
        <v>0.0995</v>
      </c>
      <c r="F24">
        <v>0.0738</v>
      </c>
      <c r="G24" t="s">
        <v>245</v>
      </c>
      <c r="H24">
        <v>0.06</v>
      </c>
      <c r="I24" t="s">
        <v>43</v>
      </c>
      <c r="J24" t="s">
        <v>43</v>
      </c>
      <c r="K24" t="s">
        <v>43</v>
      </c>
      <c r="L24">
        <v>0</v>
      </c>
      <c r="M24" t="s">
        <v>244</v>
      </c>
      <c r="N24">
        <v>0</v>
      </c>
      <c r="O24">
        <f>H24+N24</f>
        <v>0.06</v>
      </c>
    </row>
    <row r="25">
      <c r="A25">
        <v>104.38</v>
      </c>
      <c r="B25" t="s">
        <v>43</v>
      </c>
      <c r="C25">
        <v>94.589</v>
      </c>
      <c r="D25">
        <v>0.0481</v>
      </c>
      <c r="E25">
        <v>0.1031</v>
      </c>
      <c r="F25">
        <v>0.0769</v>
      </c>
      <c r="G25" t="s">
        <v>245</v>
      </c>
      <c r="H25">
        <v>0.0642</v>
      </c>
      <c r="I25" t="s">
        <v>43</v>
      </c>
      <c r="J25" t="s">
        <v>43</v>
      </c>
      <c r="K25" t="s">
        <v>43</v>
      </c>
      <c r="L25">
        <v>0</v>
      </c>
      <c r="M25" t="s">
        <v>244</v>
      </c>
      <c r="N25">
        <v>0</v>
      </c>
      <c r="O25">
        <f>H25+N25</f>
        <v>0.0642</v>
      </c>
    </row>
    <row r="26">
      <c r="A26">
        <v>104.393333</v>
      </c>
      <c r="B26" t="s">
        <v>43</v>
      </c>
      <c r="C26">
        <v>99.207</v>
      </c>
      <c r="D26">
        <v>0.0525</v>
      </c>
      <c r="E26">
        <v>0.1101</v>
      </c>
      <c r="F26">
        <v>0.0832</v>
      </c>
      <c r="G26" t="s">
        <v>245</v>
      </c>
      <c r="H26">
        <v>0.0729</v>
      </c>
      <c r="I26" t="s">
        <v>43</v>
      </c>
      <c r="J26" t="s">
        <v>43</v>
      </c>
      <c r="K26" t="s">
        <v>43</v>
      </c>
      <c r="L26">
        <v>0</v>
      </c>
      <c r="M26" t="s">
        <v>244</v>
      </c>
      <c r="N26">
        <v>0</v>
      </c>
      <c r="O26">
        <f>H26+N26</f>
        <v>0.0729</v>
      </c>
    </row>
    <row r="27">
      <c r="A27">
        <v>104.4</v>
      </c>
      <c r="B27" t="s">
        <v>43</v>
      </c>
      <c r="C27">
        <v>101.537</v>
      </c>
      <c r="D27">
        <v>0.0547</v>
      </c>
      <c r="E27">
        <v>0.1136</v>
      </c>
      <c r="F27">
        <v>0.0864</v>
      </c>
      <c r="G27" t="s">
        <v>245</v>
      </c>
      <c r="H27">
        <v>0.0774</v>
      </c>
      <c r="I27" t="s">
        <v>43</v>
      </c>
      <c r="J27" t="s">
        <v>43</v>
      </c>
      <c r="K27" t="s">
        <v>43</v>
      </c>
      <c r="L27">
        <v>0</v>
      </c>
      <c r="M27" t="s">
        <v>244</v>
      </c>
      <c r="N27">
        <v>0</v>
      </c>
      <c r="O27">
        <f>H27+N27</f>
        <v>0.0774</v>
      </c>
    </row>
    <row r="28">
      <c r="A28">
        <v>104.413333</v>
      </c>
      <c r="B28" t="s">
        <v>43</v>
      </c>
      <c r="C28">
        <v>106.26</v>
      </c>
      <c r="D28">
        <v>0.059</v>
      </c>
      <c r="E28">
        <v>0.1204</v>
      </c>
      <c r="F28">
        <v>0.093</v>
      </c>
      <c r="G28" t="s">
        <v>245</v>
      </c>
      <c r="H28">
        <v>0.0866</v>
      </c>
      <c r="I28" t="s">
        <v>43</v>
      </c>
      <c r="J28" t="s">
        <v>43</v>
      </c>
      <c r="K28" t="s">
        <v>43</v>
      </c>
      <c r="L28">
        <v>0</v>
      </c>
      <c r="M28" t="s">
        <v>244</v>
      </c>
      <c r="N28">
        <v>0</v>
      </c>
      <c r="O28">
        <f>H28+N28</f>
        <v>0.0866</v>
      </c>
    </row>
    <row r="29">
      <c r="A29">
        <v>104.433333</v>
      </c>
      <c r="B29" t="s">
        <v>43</v>
      </c>
      <c r="C29">
        <v>113.578</v>
      </c>
      <c r="D29">
        <v>0.0652</v>
      </c>
      <c r="E29">
        <v>0.1302</v>
      </c>
      <c r="F29">
        <v>0.1031</v>
      </c>
      <c r="G29" t="s">
        <v>245</v>
      </c>
      <c r="H29">
        <v>0.1009</v>
      </c>
      <c r="I29" t="s">
        <v>43</v>
      </c>
      <c r="J29" t="s">
        <v>43</v>
      </c>
      <c r="K29" t="s">
        <v>43</v>
      </c>
      <c r="L29">
        <v>0</v>
      </c>
      <c r="M29" t="s">
        <v>244</v>
      </c>
      <c r="N29">
        <v>0</v>
      </c>
      <c r="O29">
        <f>H29+N29</f>
        <v>0.1009</v>
      </c>
    </row>
    <row r="30">
      <c r="A30">
        <v>104.453333</v>
      </c>
      <c r="B30" t="s">
        <v>43</v>
      </c>
      <c r="C30">
        <v>121.332</v>
      </c>
      <c r="D30">
        <v>0.0712</v>
      </c>
      <c r="E30">
        <v>0.1396</v>
      </c>
      <c r="F30">
        <v>0.1137</v>
      </c>
      <c r="G30" t="s">
        <v>245</v>
      </c>
      <c r="H30">
        <v>0.1155</v>
      </c>
      <c r="I30" t="s">
        <v>43</v>
      </c>
      <c r="J30" t="s">
        <v>43</v>
      </c>
      <c r="K30" t="s">
        <v>43</v>
      </c>
      <c r="L30">
        <v>0</v>
      </c>
      <c r="M30" t="s">
        <v>244</v>
      </c>
      <c r="N30">
        <v>0</v>
      </c>
      <c r="O30">
        <f>H30+N30</f>
        <v>0.1155</v>
      </c>
    </row>
    <row r="31">
      <c r="A31">
        <v>104.473333</v>
      </c>
      <c r="B31" t="s">
        <v>43</v>
      </c>
      <c r="C31">
        <v>129.792</v>
      </c>
      <c r="D31">
        <v>0.0766</v>
      </c>
      <c r="E31">
        <v>0.1484</v>
      </c>
      <c r="F31">
        <v>0.1249</v>
      </c>
      <c r="G31" t="s">
        <v>245</v>
      </c>
      <c r="H31">
        <v>0.1303</v>
      </c>
      <c r="I31" t="s">
        <v>43</v>
      </c>
      <c r="J31" t="s">
        <v>43</v>
      </c>
      <c r="K31" t="s">
        <v>43</v>
      </c>
      <c r="L31">
        <v>0</v>
      </c>
      <c r="M31" t="s">
        <v>244</v>
      </c>
      <c r="N31">
        <v>0</v>
      </c>
      <c r="O31">
        <f>H31+N31</f>
        <v>0.1303</v>
      </c>
    </row>
    <row r="32">
      <c r="A32">
        <v>104.493333</v>
      </c>
      <c r="B32" t="s">
        <v>43</v>
      </c>
      <c r="C32">
        <v>139.464</v>
      </c>
      <c r="D32">
        <v>0.0813</v>
      </c>
      <c r="E32">
        <v>0.1562</v>
      </c>
      <c r="F32">
        <v>0.1371</v>
      </c>
      <c r="G32" t="s">
        <v>245</v>
      </c>
      <c r="H32">
        <v>0.145</v>
      </c>
      <c r="I32" t="s">
        <v>43</v>
      </c>
      <c r="J32" t="s">
        <v>43</v>
      </c>
      <c r="K32" t="s">
        <v>43</v>
      </c>
      <c r="L32">
        <v>0</v>
      </c>
      <c r="M32" t="s">
        <v>244</v>
      </c>
      <c r="N32">
        <v>0</v>
      </c>
      <c r="O32">
        <f>H32+N32</f>
        <v>0.145</v>
      </c>
    </row>
    <row r="33">
      <c r="A33">
        <v>104.5</v>
      </c>
      <c r="B33" t="s">
        <v>43</v>
      </c>
      <c r="C33">
        <v>143.13</v>
      </c>
      <c r="D33">
        <v>0.0827</v>
      </c>
      <c r="E33">
        <v>0.1586</v>
      </c>
      <c r="F33">
        <v>0.1414</v>
      </c>
      <c r="G33" t="s">
        <v>245</v>
      </c>
      <c r="H33">
        <v>0.1498</v>
      </c>
      <c r="I33" t="s">
        <v>43</v>
      </c>
      <c r="J33" t="s">
        <v>43</v>
      </c>
      <c r="K33" t="s">
        <v>43</v>
      </c>
      <c r="L33">
        <v>0</v>
      </c>
      <c r="M33" t="s">
        <v>244</v>
      </c>
      <c r="N33">
        <v>0</v>
      </c>
      <c r="O33">
        <f>H33+N33</f>
        <v>0.1498</v>
      </c>
    </row>
    <row r="34">
      <c r="A34">
        <v>104.513333</v>
      </c>
      <c r="B34" t="s">
        <v>43</v>
      </c>
      <c r="C34">
        <v>151.642</v>
      </c>
      <c r="D34">
        <v>0.0851</v>
      </c>
      <c r="E34">
        <v>0.1628</v>
      </c>
      <c r="F34">
        <v>0.1506</v>
      </c>
      <c r="G34" t="s">
        <v>245</v>
      </c>
      <c r="H34">
        <v>0.159</v>
      </c>
      <c r="I34" t="s">
        <v>43</v>
      </c>
      <c r="J34" t="s">
        <v>43</v>
      </c>
      <c r="K34" t="s">
        <v>43</v>
      </c>
      <c r="L34">
        <v>0</v>
      </c>
      <c r="M34" t="s">
        <v>244</v>
      </c>
      <c r="N34">
        <v>0</v>
      </c>
      <c r="O34">
        <f>H34+N34</f>
        <v>0.159</v>
      </c>
    </row>
    <row r="35">
      <c r="A35">
        <v>104.533333</v>
      </c>
      <c r="B35" t="s">
        <v>43</v>
      </c>
      <c r="C35">
        <v>179.885</v>
      </c>
      <c r="D35">
        <v>0.0873</v>
      </c>
      <c r="E35">
        <v>0.1667</v>
      </c>
      <c r="F35">
        <v>0.1667</v>
      </c>
      <c r="G35" t="s">
        <v>245</v>
      </c>
      <c r="H35">
        <v>0.1715</v>
      </c>
      <c r="I35" t="s">
        <v>43</v>
      </c>
      <c r="J35" t="s">
        <v>43</v>
      </c>
      <c r="K35" t="s">
        <v>43</v>
      </c>
      <c r="L35">
        <v>0</v>
      </c>
      <c r="M35" t="s">
        <v>244</v>
      </c>
      <c r="N35">
        <v>0</v>
      </c>
      <c r="O35">
        <f>H35+N35</f>
        <v>0.1715</v>
      </c>
    </row>
    <row r="36">
      <c r="A36">
        <v>104.553333</v>
      </c>
      <c r="B36" t="s">
        <v>43</v>
      </c>
      <c r="C36" t="s">
        <v>43</v>
      </c>
      <c r="D36">
        <v>0.0873</v>
      </c>
      <c r="E36">
        <v>0.1667</v>
      </c>
      <c r="F36">
        <v>0.1867</v>
      </c>
      <c r="G36" t="s">
        <v>246</v>
      </c>
      <c r="H36">
        <v>0.1815</v>
      </c>
      <c r="I36" t="s">
        <v>43</v>
      </c>
      <c r="J36" t="s">
        <v>43</v>
      </c>
      <c r="K36" t="s">
        <v>43</v>
      </c>
      <c r="L36">
        <v>0</v>
      </c>
      <c r="M36" t="s">
        <v>244</v>
      </c>
      <c r="N36">
        <v>0</v>
      </c>
      <c r="O36">
        <f>H36+N36</f>
        <v>0.1815</v>
      </c>
    </row>
    <row r="37">
      <c r="A37">
        <v>104.573333</v>
      </c>
      <c r="B37" t="s">
        <v>43</v>
      </c>
      <c r="C37" t="s">
        <v>43</v>
      </c>
      <c r="D37">
        <v>0.0873</v>
      </c>
      <c r="E37">
        <v>0.1667</v>
      </c>
      <c r="F37">
        <v>0.2067</v>
      </c>
      <c r="G37" t="s">
        <v>246</v>
      </c>
      <c r="H37">
        <v>0.191</v>
      </c>
      <c r="I37" t="s">
        <v>43</v>
      </c>
      <c r="J37" t="s">
        <v>43</v>
      </c>
      <c r="K37" t="s">
        <v>43</v>
      </c>
      <c r="L37">
        <v>0</v>
      </c>
      <c r="M37" t="s">
        <v>244</v>
      </c>
      <c r="N37">
        <v>0</v>
      </c>
      <c r="O37">
        <f>H37+N37</f>
        <v>0.191</v>
      </c>
    </row>
    <row r="38">
      <c r="A38">
        <v>104.593333</v>
      </c>
      <c r="B38" t="s">
        <v>43</v>
      </c>
      <c r="C38" t="s">
        <v>43</v>
      </c>
      <c r="D38">
        <v>0.0873</v>
      </c>
      <c r="E38">
        <v>0.1667</v>
      </c>
      <c r="F38">
        <v>0.2267</v>
      </c>
      <c r="G38" t="s">
        <v>246</v>
      </c>
      <c r="H38">
        <v>0.2</v>
      </c>
      <c r="I38" t="s">
        <v>43</v>
      </c>
      <c r="J38" t="s">
        <v>43</v>
      </c>
      <c r="K38" t="s">
        <v>43</v>
      </c>
      <c r="L38">
        <v>0</v>
      </c>
      <c r="M38" t="s">
        <v>244</v>
      </c>
      <c r="N38">
        <v>0</v>
      </c>
      <c r="O38">
        <f>H38+N38</f>
        <v>0.2</v>
      </c>
    </row>
    <row r="39">
      <c r="A39">
        <v>104.613333</v>
      </c>
      <c r="B39" t="s">
        <v>43</v>
      </c>
      <c r="C39" t="s">
        <v>43</v>
      </c>
      <c r="D39">
        <v>0.0873</v>
      </c>
      <c r="E39">
        <v>0.1667</v>
      </c>
      <c r="F39">
        <v>0.2467</v>
      </c>
      <c r="G39" t="s">
        <v>246</v>
      </c>
      <c r="H39">
        <v>0.2087</v>
      </c>
      <c r="I39" t="s">
        <v>43</v>
      </c>
      <c r="J39" t="s">
        <v>43</v>
      </c>
      <c r="K39" t="s">
        <v>43</v>
      </c>
      <c r="L39">
        <v>0</v>
      </c>
      <c r="M39" t="s">
        <v>244</v>
      </c>
      <c r="N39">
        <v>0</v>
      </c>
      <c r="O39">
        <f>H39+N39</f>
        <v>0.2087</v>
      </c>
    </row>
    <row r="40">
      <c r="A40">
        <v>104.633333</v>
      </c>
      <c r="B40" t="s">
        <v>43</v>
      </c>
      <c r="C40" t="s">
        <v>43</v>
      </c>
      <c r="D40">
        <v>0.0873</v>
      </c>
      <c r="E40">
        <v>0.1667</v>
      </c>
      <c r="F40">
        <v>0.2667</v>
      </c>
      <c r="G40" t="s">
        <v>246</v>
      </c>
      <c r="H40">
        <v>0.217</v>
      </c>
      <c r="I40" t="s">
        <v>43</v>
      </c>
      <c r="J40" t="s">
        <v>43</v>
      </c>
      <c r="K40" t="s">
        <v>43</v>
      </c>
      <c r="L40">
        <v>0</v>
      </c>
      <c r="M40" t="s">
        <v>244</v>
      </c>
      <c r="N40">
        <v>0</v>
      </c>
      <c r="O40">
        <f>H40+N40</f>
        <v>0.217</v>
      </c>
    </row>
    <row r="41">
      <c r="A41">
        <v>104.653333</v>
      </c>
      <c r="B41" t="s">
        <v>43</v>
      </c>
      <c r="C41" t="s">
        <v>43</v>
      </c>
      <c r="D41">
        <v>0.0873</v>
      </c>
      <c r="E41">
        <v>0.1667</v>
      </c>
      <c r="F41">
        <v>0.2867</v>
      </c>
      <c r="G41" t="s">
        <v>246</v>
      </c>
      <c r="H41">
        <v>0.225</v>
      </c>
      <c r="I41" t="s">
        <v>43</v>
      </c>
      <c r="J41" t="s">
        <v>43</v>
      </c>
      <c r="K41" t="s">
        <v>43</v>
      </c>
      <c r="L41">
        <v>0</v>
      </c>
      <c r="M41" t="s">
        <v>244</v>
      </c>
      <c r="N41">
        <v>0</v>
      </c>
      <c r="O41">
        <f>H41+N41</f>
        <v>0.225</v>
      </c>
    </row>
    <row r="42">
      <c r="A42">
        <v>104.673333</v>
      </c>
      <c r="B42" t="s">
        <v>43</v>
      </c>
      <c r="C42" t="s">
        <v>43</v>
      </c>
      <c r="D42">
        <v>0.0873</v>
      </c>
      <c r="E42">
        <v>0.1667</v>
      </c>
      <c r="F42">
        <v>0.3067</v>
      </c>
      <c r="G42" t="s">
        <v>246</v>
      </c>
      <c r="H42">
        <v>0.2327</v>
      </c>
      <c r="I42" t="s">
        <v>43</v>
      </c>
      <c r="J42" t="s">
        <v>43</v>
      </c>
      <c r="K42" t="s">
        <v>43</v>
      </c>
      <c r="L42">
        <v>0</v>
      </c>
      <c r="M42" t="s">
        <v>244</v>
      </c>
      <c r="N42">
        <v>0</v>
      </c>
      <c r="O42">
        <f>H42+N42</f>
        <v>0.2327</v>
      </c>
    </row>
    <row r="43">
      <c r="A43">
        <v>104.693333</v>
      </c>
      <c r="B43" t="s">
        <v>43</v>
      </c>
      <c r="C43" t="s">
        <v>43</v>
      </c>
      <c r="D43">
        <v>0.0873</v>
      </c>
      <c r="E43">
        <v>0.1667</v>
      </c>
      <c r="F43">
        <v>0.3267</v>
      </c>
      <c r="G43" t="s">
        <v>246</v>
      </c>
      <c r="H43">
        <v>0.2402</v>
      </c>
      <c r="I43" t="s">
        <v>43</v>
      </c>
      <c r="J43" t="s">
        <v>43</v>
      </c>
      <c r="K43" t="s">
        <v>43</v>
      </c>
      <c r="L43">
        <v>0</v>
      </c>
      <c r="M43" t="s">
        <v>244</v>
      </c>
      <c r="N43">
        <v>0</v>
      </c>
      <c r="O43">
        <f>H43+N43</f>
        <v>0.2402</v>
      </c>
    </row>
    <row r="44">
      <c r="A44">
        <v>104.713333</v>
      </c>
      <c r="B44" t="s">
        <v>43</v>
      </c>
      <c r="C44" t="s">
        <v>43</v>
      </c>
      <c r="D44">
        <v>0.0873</v>
      </c>
      <c r="E44">
        <v>0.1667</v>
      </c>
      <c r="F44">
        <v>0.3467</v>
      </c>
      <c r="G44" t="s">
        <v>246</v>
      </c>
      <c r="H44">
        <v>0.2474</v>
      </c>
      <c r="I44" t="s">
        <v>43</v>
      </c>
      <c r="J44" t="s">
        <v>43</v>
      </c>
      <c r="K44" t="s">
        <v>43</v>
      </c>
      <c r="L44">
        <v>0</v>
      </c>
      <c r="M44" t="s">
        <v>244</v>
      </c>
      <c r="N44">
        <v>0</v>
      </c>
      <c r="O44">
        <f>H44+N44</f>
        <v>0.2474</v>
      </c>
    </row>
    <row r="45">
      <c r="A45">
        <v>104.733333</v>
      </c>
      <c r="B45" t="s">
        <v>43</v>
      </c>
      <c r="C45" t="s">
        <v>43</v>
      </c>
      <c r="D45">
        <v>0.0873</v>
      </c>
      <c r="E45">
        <v>0.1667</v>
      </c>
      <c r="F45">
        <v>0.3667</v>
      </c>
      <c r="G45" t="s">
        <v>246</v>
      </c>
      <c r="H45">
        <v>0.2544</v>
      </c>
      <c r="I45" t="s">
        <v>43</v>
      </c>
      <c r="J45" t="s">
        <v>43</v>
      </c>
      <c r="K45" t="s">
        <v>43</v>
      </c>
      <c r="L45">
        <v>0</v>
      </c>
      <c r="M45" t="s">
        <v>244</v>
      </c>
      <c r="N45">
        <v>0</v>
      </c>
      <c r="O45">
        <f>H45+N45</f>
        <v>0.2544</v>
      </c>
    </row>
    <row r="46">
      <c r="A46">
        <v>104.75</v>
      </c>
      <c r="B46" t="s">
        <v>43</v>
      </c>
      <c r="C46" t="s">
        <v>43</v>
      </c>
      <c r="D46">
        <v>0.0873</v>
      </c>
      <c r="E46">
        <v>0.1667</v>
      </c>
      <c r="F46">
        <v>0.3833</v>
      </c>
      <c r="G46" t="s">
        <v>246</v>
      </c>
      <c r="H46">
        <v>0.2602</v>
      </c>
      <c r="I46" t="s">
        <v>43</v>
      </c>
      <c r="J46" t="s">
        <v>43</v>
      </c>
      <c r="K46" t="s">
        <v>43</v>
      </c>
      <c r="L46">
        <v>0</v>
      </c>
      <c r="M46" t="s">
        <v>244</v>
      </c>
      <c r="N46">
        <v>0</v>
      </c>
      <c r="O46">
        <f>H46+N46</f>
        <v>0.2602</v>
      </c>
    </row>
    <row r="47">
      <c r="A47">
        <v>105</v>
      </c>
      <c r="B47" t="s">
        <v>43</v>
      </c>
      <c r="C47" t="s">
        <v>43</v>
      </c>
      <c r="D47">
        <v>0.0873</v>
      </c>
      <c r="E47">
        <v>0.1667</v>
      </c>
      <c r="F47">
        <v>0.6333</v>
      </c>
      <c r="G47" t="s">
        <v>246</v>
      </c>
      <c r="H47">
        <v>0.3344</v>
      </c>
      <c r="I47" t="s">
        <v>43</v>
      </c>
      <c r="J47" t="s">
        <v>43</v>
      </c>
      <c r="K47" t="s">
        <v>43</v>
      </c>
      <c r="L47">
        <v>0</v>
      </c>
      <c r="M47" t="s">
        <v>244</v>
      </c>
      <c r="N47">
        <v>0</v>
      </c>
      <c r="O47">
        <f>H47+N47</f>
        <v>0.3344</v>
      </c>
    </row>
    <row r="48">
      <c r="A48">
        <v>105.25</v>
      </c>
      <c r="B48" t="s">
        <v>43</v>
      </c>
      <c r="C48" t="s">
        <v>43</v>
      </c>
      <c r="D48">
        <v>0.0873</v>
      </c>
      <c r="E48">
        <v>0.1667</v>
      </c>
      <c r="F48">
        <v>0.8833</v>
      </c>
      <c r="G48" t="s">
        <v>246</v>
      </c>
      <c r="H48">
        <v>0.3949</v>
      </c>
      <c r="I48" t="s">
        <v>43</v>
      </c>
      <c r="J48" t="s">
        <v>43</v>
      </c>
      <c r="K48" t="s">
        <v>43</v>
      </c>
      <c r="L48">
        <v>0</v>
      </c>
      <c r="M48" t="s">
        <v>244</v>
      </c>
      <c r="N48">
        <v>0</v>
      </c>
      <c r="O48">
        <f>H48+N48</f>
        <v>0.3949</v>
      </c>
    </row>
    <row r="49">
      <c r="A49">
        <v>105.5</v>
      </c>
      <c r="B49" t="s">
        <v>43</v>
      </c>
      <c r="C49" t="s">
        <v>43</v>
      </c>
      <c r="D49">
        <v>0.0873</v>
      </c>
      <c r="E49">
        <v>0.1667</v>
      </c>
      <c r="F49">
        <v>1.1333</v>
      </c>
      <c r="G49" t="s">
        <v>246</v>
      </c>
      <c r="H49">
        <v>0.4473</v>
      </c>
      <c r="I49" t="s">
        <v>43</v>
      </c>
      <c r="J49" t="s">
        <v>43</v>
      </c>
      <c r="K49" t="s">
        <v>43</v>
      </c>
      <c r="L49">
        <v>0</v>
      </c>
      <c r="M49" t="s">
        <v>244</v>
      </c>
      <c r="N49">
        <v>0</v>
      </c>
      <c r="O49">
        <f>H49+N49</f>
        <v>0.4473</v>
      </c>
    </row>
    <row r="50">
      <c r="A50">
        <v>105.6</v>
      </c>
      <c r="B50" t="s">
        <v>43</v>
      </c>
      <c r="C50" t="s">
        <v>43</v>
      </c>
      <c r="D50">
        <v>0.0873</v>
      </c>
      <c r="E50">
        <v>0.1667</v>
      </c>
      <c r="F50">
        <v>1.2333</v>
      </c>
      <c r="G50" t="s">
        <v>246</v>
      </c>
      <c r="H50">
        <v>0.4666</v>
      </c>
      <c r="I50" t="s">
        <v>43</v>
      </c>
      <c r="J50" t="s">
        <v>43</v>
      </c>
      <c r="K50" t="s">
        <v>43</v>
      </c>
      <c r="L50">
        <v>0</v>
      </c>
      <c r="M50" t="s">
        <v>244</v>
      </c>
      <c r="N50">
        <v>0</v>
      </c>
      <c r="O50">
        <f>H50+N50</f>
        <v>0.4666</v>
      </c>
    </row>
    <row r="51">
      <c r="A51">
        <v>105.62</v>
      </c>
      <c r="B51" t="s">
        <v>43</v>
      </c>
      <c r="C51" t="s">
        <v>43</v>
      </c>
      <c r="D51">
        <v>0.0873</v>
      </c>
      <c r="E51">
        <v>0.1667</v>
      </c>
      <c r="F51">
        <v>1.2533</v>
      </c>
      <c r="G51" t="s">
        <v>246</v>
      </c>
      <c r="H51">
        <v>0.4704</v>
      </c>
      <c r="I51" t="s">
        <v>43</v>
      </c>
      <c r="J51" t="s">
        <v>43</v>
      </c>
      <c r="K51" t="s">
        <v>43</v>
      </c>
      <c r="L51">
        <v>0</v>
      </c>
      <c r="M51" t="s">
        <v>244</v>
      </c>
      <c r="N51">
        <v>0</v>
      </c>
      <c r="O51">
        <f>H51+N51</f>
        <v>0.4704</v>
      </c>
    </row>
    <row r="52">
      <c r="A52">
        <v>105.64</v>
      </c>
      <c r="B52" t="s">
        <v>43</v>
      </c>
      <c r="C52" t="s">
        <v>43</v>
      </c>
      <c r="D52">
        <v>0.0873</v>
      </c>
      <c r="E52">
        <v>0.1667</v>
      </c>
      <c r="F52">
        <v>1.2733</v>
      </c>
      <c r="G52" t="s">
        <v>246</v>
      </c>
      <c r="H52">
        <v>0.4741</v>
      </c>
      <c r="I52" t="s">
        <v>43</v>
      </c>
      <c r="J52" t="s">
        <v>43</v>
      </c>
      <c r="K52" t="s">
        <v>43</v>
      </c>
      <c r="L52">
        <v>0</v>
      </c>
      <c r="M52" t="s">
        <v>244</v>
      </c>
      <c r="N52">
        <v>0</v>
      </c>
      <c r="O52">
        <f>H52+N52</f>
        <v>0.4741</v>
      </c>
    </row>
    <row r="53">
      <c r="A53">
        <v>105.66</v>
      </c>
      <c r="B53" t="s">
        <v>43</v>
      </c>
      <c r="C53" t="s">
        <v>43</v>
      </c>
      <c r="D53">
        <v>0.0873</v>
      </c>
      <c r="E53">
        <v>0.1667</v>
      </c>
      <c r="F53">
        <v>1.2933</v>
      </c>
      <c r="G53" t="s">
        <v>246</v>
      </c>
      <c r="H53">
        <v>0.4779</v>
      </c>
      <c r="I53" t="s">
        <v>43</v>
      </c>
      <c r="J53" t="s">
        <v>43</v>
      </c>
      <c r="K53" t="s">
        <v>43</v>
      </c>
      <c r="L53">
        <v>0</v>
      </c>
      <c r="M53" t="s">
        <v>244</v>
      </c>
      <c r="N53">
        <v>0</v>
      </c>
      <c r="O53">
        <f>H53+N53</f>
        <v>0.4779</v>
      </c>
    </row>
    <row r="54">
      <c r="A54">
        <v>105.68</v>
      </c>
      <c r="B54" t="s">
        <v>43</v>
      </c>
      <c r="C54" t="s">
        <v>43</v>
      </c>
      <c r="D54">
        <v>0.0873</v>
      </c>
      <c r="E54">
        <v>0.1667</v>
      </c>
      <c r="F54">
        <v>1.3133</v>
      </c>
      <c r="G54" t="s">
        <v>246</v>
      </c>
      <c r="H54">
        <v>0.4815</v>
      </c>
      <c r="I54" t="s">
        <v>43</v>
      </c>
      <c r="J54" t="s">
        <v>43</v>
      </c>
      <c r="K54" t="s">
        <v>43</v>
      </c>
      <c r="L54">
        <v>0</v>
      </c>
      <c r="M54" t="s">
        <v>244</v>
      </c>
      <c r="N54">
        <v>0</v>
      </c>
      <c r="O54">
        <f>H54+N54</f>
        <v>0.4815</v>
      </c>
    </row>
    <row r="55">
      <c r="A55">
        <v>105.7</v>
      </c>
      <c r="B55" t="s">
        <v>43</v>
      </c>
      <c r="C55" t="s">
        <v>43</v>
      </c>
      <c r="D55">
        <v>0.0873</v>
      </c>
      <c r="E55">
        <v>0.1667</v>
      </c>
      <c r="F55">
        <v>1.3333</v>
      </c>
      <c r="G55" t="s">
        <v>246</v>
      </c>
      <c r="H55">
        <v>0.4852</v>
      </c>
      <c r="I55" t="s">
        <v>43</v>
      </c>
      <c r="J55" t="s">
        <v>43</v>
      </c>
      <c r="K55" t="s">
        <v>43</v>
      </c>
      <c r="L55">
        <v>0</v>
      </c>
      <c r="M55" t="s">
        <v>244</v>
      </c>
      <c r="N55">
        <v>0</v>
      </c>
      <c r="O55">
        <f>H55+N55</f>
        <v>0.4852</v>
      </c>
    </row>
    <row r="56">
      <c r="A56">
        <v>105.72</v>
      </c>
      <c r="B56" t="s">
        <v>43</v>
      </c>
      <c r="C56" t="s">
        <v>43</v>
      </c>
      <c r="D56">
        <v>0.0873</v>
      </c>
      <c r="E56">
        <v>0.1667</v>
      </c>
      <c r="F56">
        <v>1.3533</v>
      </c>
      <c r="G56" t="s">
        <v>246</v>
      </c>
      <c r="H56">
        <v>0.4888</v>
      </c>
      <c r="I56" t="s">
        <v>43</v>
      </c>
      <c r="J56" t="s">
        <v>43</v>
      </c>
      <c r="K56" t="s">
        <v>43</v>
      </c>
      <c r="L56">
        <v>0</v>
      </c>
      <c r="M56" t="s">
        <v>244</v>
      </c>
      <c r="N56">
        <v>0</v>
      </c>
      <c r="O56">
        <f>H56+N56</f>
        <v>0.4888</v>
      </c>
    </row>
    <row r="57">
      <c r="A57">
        <v>105.74</v>
      </c>
      <c r="B57" t="s">
        <v>43</v>
      </c>
      <c r="C57" t="s">
        <v>43</v>
      </c>
      <c r="D57">
        <v>0.0873</v>
      </c>
      <c r="E57">
        <v>0.1667</v>
      </c>
      <c r="F57">
        <v>1.3733</v>
      </c>
      <c r="G57" t="s">
        <v>246</v>
      </c>
      <c r="H57">
        <v>0.4924</v>
      </c>
      <c r="I57" t="s">
        <v>43</v>
      </c>
      <c r="J57" t="s">
        <v>43</v>
      </c>
      <c r="K57" t="s">
        <v>43</v>
      </c>
      <c r="L57">
        <v>0</v>
      </c>
      <c r="M57" t="s">
        <v>244</v>
      </c>
      <c r="N57">
        <v>0</v>
      </c>
      <c r="O57">
        <f>H57+N57</f>
        <v>0.4924</v>
      </c>
    </row>
    <row r="58">
      <c r="A58">
        <v>105.75</v>
      </c>
      <c r="B58" t="s">
        <v>43</v>
      </c>
      <c r="C58" t="s">
        <v>43</v>
      </c>
      <c r="D58">
        <v>0.0873</v>
      </c>
      <c r="E58">
        <v>0.1667</v>
      </c>
      <c r="F58">
        <v>1.3833</v>
      </c>
      <c r="G58" t="s">
        <v>246</v>
      </c>
      <c r="H58">
        <v>0.4942</v>
      </c>
      <c r="I58" t="s">
        <v>43</v>
      </c>
      <c r="J58" t="s">
        <v>43</v>
      </c>
      <c r="K58" t="s">
        <v>43</v>
      </c>
      <c r="L58">
        <v>0</v>
      </c>
      <c r="M58" t="s">
        <v>244</v>
      </c>
      <c r="N58">
        <v>0</v>
      </c>
      <c r="O58">
        <f>H58+N58</f>
        <v>0.4942</v>
      </c>
    </row>
    <row r="59">
      <c r="A59">
        <v>105.76</v>
      </c>
      <c r="B59" t="s">
        <v>43</v>
      </c>
      <c r="C59" t="s">
        <v>43</v>
      </c>
      <c r="D59">
        <v>0.0873</v>
      </c>
      <c r="E59">
        <v>0.1667</v>
      </c>
      <c r="F59">
        <v>1.3933</v>
      </c>
      <c r="G59" t="s">
        <v>246</v>
      </c>
      <c r="H59">
        <v>0.496</v>
      </c>
      <c r="I59" t="s">
        <v>43</v>
      </c>
      <c r="J59" t="s">
        <v>43</v>
      </c>
      <c r="K59" t="s">
        <v>43</v>
      </c>
      <c r="L59">
        <v>0</v>
      </c>
      <c r="M59" t="s">
        <v>244</v>
      </c>
      <c r="N59">
        <v>0</v>
      </c>
      <c r="O59">
        <f>H59+N59</f>
        <v>0.496</v>
      </c>
    </row>
    <row r="60">
      <c r="A60">
        <v>105.78</v>
      </c>
      <c r="B60" t="s">
        <v>43</v>
      </c>
      <c r="C60" t="s">
        <v>43</v>
      </c>
      <c r="D60">
        <v>0.0873</v>
      </c>
      <c r="E60">
        <v>0.1667</v>
      </c>
      <c r="F60">
        <v>1.4133</v>
      </c>
      <c r="G60" t="s">
        <v>246</v>
      </c>
      <c r="H60">
        <v>0.4995</v>
      </c>
      <c r="I60" t="s">
        <v>43</v>
      </c>
      <c r="J60" t="s">
        <v>43</v>
      </c>
      <c r="K60" t="s">
        <v>43</v>
      </c>
      <c r="L60">
        <v>0</v>
      </c>
      <c r="M60" t="s">
        <v>244</v>
      </c>
      <c r="N60">
        <v>0</v>
      </c>
      <c r="O60">
        <f>H60+N60</f>
        <v>0.4995</v>
      </c>
    </row>
    <row r="61">
      <c r="A61">
        <v>105.8</v>
      </c>
      <c r="B61" t="s">
        <v>43</v>
      </c>
      <c r="C61" t="s">
        <v>43</v>
      </c>
      <c r="D61">
        <v>0.0873</v>
      </c>
      <c r="E61">
        <v>0.1667</v>
      </c>
      <c r="F61">
        <v>1.4333</v>
      </c>
      <c r="G61" t="s">
        <v>246</v>
      </c>
      <c r="H61">
        <v>0.5031</v>
      </c>
      <c r="I61" t="s">
        <v>43</v>
      </c>
      <c r="J61" t="s">
        <v>43</v>
      </c>
      <c r="K61" t="s">
        <v>43</v>
      </c>
      <c r="L61">
        <v>0</v>
      </c>
      <c r="M61" t="s">
        <v>244</v>
      </c>
      <c r="N61">
        <v>0</v>
      </c>
      <c r="O61">
        <f>H61+N61</f>
        <v>0.5031</v>
      </c>
    </row>
    <row r="62">
      <c r="A62">
        <v>105.82</v>
      </c>
      <c r="B62" t="s">
        <v>43</v>
      </c>
      <c r="C62" t="s">
        <v>43</v>
      </c>
      <c r="D62">
        <v>0.0873</v>
      </c>
      <c r="E62">
        <v>0.1667</v>
      </c>
      <c r="F62">
        <v>1.4533</v>
      </c>
      <c r="G62" t="s">
        <v>246</v>
      </c>
      <c r="H62">
        <v>0.5066</v>
      </c>
      <c r="I62" t="s">
        <v>43</v>
      </c>
      <c r="J62" t="s">
        <v>43</v>
      </c>
      <c r="K62" t="s">
        <v>43</v>
      </c>
      <c r="L62">
        <v>0.02</v>
      </c>
      <c r="M62" t="s">
        <v>247</v>
      </c>
      <c r="N62">
        <v>0.0263</v>
      </c>
      <c r="O62">
        <f>H62+N62</f>
        <v>0.5329</v>
      </c>
    </row>
    <row r="63">
      <c r="A63">
        <v>105.84</v>
      </c>
      <c r="B63" t="s">
        <v>43</v>
      </c>
      <c r="C63" t="s">
        <v>43</v>
      </c>
      <c r="D63">
        <v>0.0873</v>
      </c>
      <c r="E63">
        <v>0.1667</v>
      </c>
      <c r="F63">
        <v>1.4733</v>
      </c>
      <c r="G63" t="s">
        <v>246</v>
      </c>
      <c r="H63">
        <v>0.51</v>
      </c>
      <c r="I63" t="s">
        <v>43</v>
      </c>
      <c r="J63" t="s">
        <v>43</v>
      </c>
      <c r="K63" t="s">
        <v>43</v>
      </c>
      <c r="L63">
        <v>0.04</v>
      </c>
      <c r="M63" t="s">
        <v>247</v>
      </c>
      <c r="N63">
        <v>0.0744</v>
      </c>
      <c r="O63">
        <f>H63+N63</f>
        <v>0.5844</v>
      </c>
    </row>
    <row r="64">
      <c r="A64">
        <v>105.86</v>
      </c>
      <c r="B64" t="s">
        <v>43</v>
      </c>
      <c r="C64" t="s">
        <v>43</v>
      </c>
      <c r="D64">
        <v>0.0873</v>
      </c>
      <c r="E64">
        <v>0.1667</v>
      </c>
      <c r="F64">
        <v>1.4933</v>
      </c>
      <c r="G64" t="s">
        <v>246</v>
      </c>
      <c r="H64">
        <v>0.5135</v>
      </c>
      <c r="I64" t="s">
        <v>43</v>
      </c>
      <c r="J64" t="s">
        <v>43</v>
      </c>
      <c r="K64" t="s">
        <v>43</v>
      </c>
      <c r="L64">
        <v>0.06</v>
      </c>
      <c r="M64" t="s">
        <v>247</v>
      </c>
      <c r="N64">
        <v>0.1367</v>
      </c>
      <c r="O64">
        <f>H64+N64</f>
        <v>0.6502</v>
      </c>
    </row>
    <row r="65">
      <c r="A65">
        <v>105.88</v>
      </c>
      <c r="B65" t="s">
        <v>43</v>
      </c>
      <c r="C65" t="s">
        <v>43</v>
      </c>
      <c r="D65">
        <v>0.0873</v>
      </c>
      <c r="E65">
        <v>0.1667</v>
      </c>
      <c r="F65">
        <v>1.5133</v>
      </c>
      <c r="G65" t="s">
        <v>246</v>
      </c>
      <c r="H65">
        <v>0.5169</v>
      </c>
      <c r="I65" t="s">
        <v>43</v>
      </c>
      <c r="J65" t="s">
        <v>43</v>
      </c>
      <c r="K65" t="s">
        <v>43</v>
      </c>
      <c r="L65">
        <v>0.08</v>
      </c>
      <c r="M65" t="s">
        <v>247</v>
      </c>
      <c r="N65">
        <v>0.2104</v>
      </c>
      <c r="O65">
        <f>H65+N65</f>
        <v>0.7273</v>
      </c>
    </row>
    <row r="66">
      <c r="A66">
        <v>105.9</v>
      </c>
      <c r="B66" t="s">
        <v>43</v>
      </c>
      <c r="C66" t="s">
        <v>43</v>
      </c>
      <c r="D66">
        <v>0.0873</v>
      </c>
      <c r="E66">
        <v>0.1667</v>
      </c>
      <c r="F66">
        <v>1.5333</v>
      </c>
      <c r="G66" t="s">
        <v>246</v>
      </c>
      <c r="H66">
        <v>0.5203</v>
      </c>
      <c r="I66" t="s">
        <v>43</v>
      </c>
      <c r="J66" t="s">
        <v>43</v>
      </c>
      <c r="K66" t="s">
        <v>43</v>
      </c>
      <c r="L66">
        <v>0.1</v>
      </c>
      <c r="M66" t="s">
        <v>247</v>
      </c>
      <c r="N66">
        <v>0.2941</v>
      </c>
      <c r="O66">
        <f>H66+N66</f>
        <v>0.8144</v>
      </c>
    </row>
    <row r="67">
      <c r="A67">
        <v>105.92</v>
      </c>
      <c r="B67" t="s">
        <v>43</v>
      </c>
      <c r="C67" t="s">
        <v>43</v>
      </c>
      <c r="D67">
        <v>0.0873</v>
      </c>
      <c r="E67">
        <v>0.1667</v>
      </c>
      <c r="F67">
        <v>1.5533</v>
      </c>
      <c r="G67" t="s">
        <v>246</v>
      </c>
      <c r="H67">
        <v>0.5237</v>
      </c>
      <c r="I67" t="s">
        <v>43</v>
      </c>
      <c r="J67" t="s">
        <v>43</v>
      </c>
      <c r="K67" t="s">
        <v>43</v>
      </c>
      <c r="L67">
        <v>0.12</v>
      </c>
      <c r="M67" t="s">
        <v>247</v>
      </c>
      <c r="N67">
        <v>0.3866</v>
      </c>
      <c r="O67">
        <f>H67+N67</f>
        <v>0.9103</v>
      </c>
    </row>
    <row r="68">
      <c r="A68">
        <v>105.94</v>
      </c>
      <c r="B68" t="s">
        <v>43</v>
      </c>
      <c r="C68" t="s">
        <v>43</v>
      </c>
      <c r="D68">
        <v>0.0873</v>
      </c>
      <c r="E68">
        <v>0.1667</v>
      </c>
      <c r="F68">
        <v>1.5733</v>
      </c>
      <c r="G68" t="s">
        <v>246</v>
      </c>
      <c r="H68">
        <v>0.5271</v>
      </c>
      <c r="I68" t="s">
        <v>43</v>
      </c>
      <c r="J68" t="s">
        <v>43</v>
      </c>
      <c r="K68" t="s">
        <v>43</v>
      </c>
      <c r="L68">
        <v>0.14</v>
      </c>
      <c r="M68" t="s">
        <v>247</v>
      </c>
      <c r="N68">
        <v>0.4872</v>
      </c>
      <c r="O68">
        <f>H68+N68</f>
        <v>1.0142</v>
      </c>
    </row>
    <row r="69">
      <c r="A69">
        <v>105.96</v>
      </c>
      <c r="B69" t="s">
        <v>43</v>
      </c>
      <c r="C69" t="s">
        <v>43</v>
      </c>
      <c r="D69">
        <v>0.0873</v>
      </c>
      <c r="E69">
        <v>0.1667</v>
      </c>
      <c r="F69">
        <v>1.5933</v>
      </c>
      <c r="G69" t="s">
        <v>246</v>
      </c>
      <c r="H69">
        <v>0.5304</v>
      </c>
      <c r="I69" t="s">
        <v>43</v>
      </c>
      <c r="J69" t="s">
        <v>43</v>
      </c>
      <c r="K69" t="s">
        <v>43</v>
      </c>
      <c r="L69">
        <v>0.16</v>
      </c>
      <c r="M69" t="s">
        <v>247</v>
      </c>
      <c r="N69">
        <v>0.5952</v>
      </c>
      <c r="O69">
        <f>H69+N69</f>
        <v>1.1256</v>
      </c>
    </row>
    <row r="70">
      <c r="A70">
        <v>105.98</v>
      </c>
      <c r="B70" t="s">
        <v>43</v>
      </c>
      <c r="C70" t="s">
        <v>43</v>
      </c>
      <c r="D70">
        <v>0.0873</v>
      </c>
      <c r="E70">
        <v>0.1667</v>
      </c>
      <c r="F70">
        <v>1.6133</v>
      </c>
      <c r="G70" t="s">
        <v>246</v>
      </c>
      <c r="H70">
        <v>0.5337</v>
      </c>
      <c r="I70" t="s">
        <v>43</v>
      </c>
      <c r="J70" t="s">
        <v>43</v>
      </c>
      <c r="K70" t="s">
        <v>43</v>
      </c>
      <c r="L70">
        <v>0.18</v>
      </c>
      <c r="M70" t="s">
        <v>247</v>
      </c>
      <c r="N70">
        <v>0.7102</v>
      </c>
      <c r="O70">
        <f>H70+N70</f>
        <v>1.2439</v>
      </c>
    </row>
    <row r="71">
      <c r="A71">
        <v>106</v>
      </c>
      <c r="B71" t="s">
        <v>43</v>
      </c>
      <c r="C71" t="s">
        <v>43</v>
      </c>
      <c r="D71">
        <v>0.0873</v>
      </c>
      <c r="E71">
        <v>0.1667</v>
      </c>
      <c r="F71">
        <v>1.6333</v>
      </c>
      <c r="G71" t="s">
        <v>246</v>
      </c>
      <c r="H71">
        <v>0.537</v>
      </c>
      <c r="I71" t="s">
        <v>43</v>
      </c>
      <c r="J71" t="s">
        <v>43</v>
      </c>
      <c r="K71" t="s">
        <v>43</v>
      </c>
      <c r="L71">
        <v>0.2</v>
      </c>
      <c r="M71" t="s">
        <v>247</v>
      </c>
      <c r="N71">
        <v>0.8318</v>
      </c>
      <c r="O71">
        <f>H71+N71</f>
        <v>1.3688</v>
      </c>
    </row>
    <row r="72">
      <c r="A72">
        <v>106.25</v>
      </c>
      <c r="B72" t="s">
        <v>43</v>
      </c>
      <c r="C72" t="s">
        <v>43</v>
      </c>
      <c r="D72">
        <v>0.0873</v>
      </c>
      <c r="E72">
        <v>0.1667</v>
      </c>
      <c r="F72">
        <v>1.8833</v>
      </c>
      <c r="G72" t="s">
        <v>246</v>
      </c>
      <c r="H72">
        <v>0.5766</v>
      </c>
      <c r="I72" t="s">
        <v>43</v>
      </c>
      <c r="J72" t="s">
        <v>43</v>
      </c>
      <c r="K72" t="s">
        <v>43</v>
      </c>
      <c r="L72">
        <v>0.45</v>
      </c>
      <c r="M72" t="s">
        <v>247</v>
      </c>
      <c r="N72">
        <v>2.8074</v>
      </c>
      <c r="O72">
        <f>H72+N72</f>
        <v>3.384</v>
      </c>
    </row>
    <row r="73">
      <c r="A73">
        <v>106.5</v>
      </c>
      <c r="B73" t="s">
        <v>43</v>
      </c>
      <c r="C73" t="s">
        <v>43</v>
      </c>
      <c r="D73">
        <v>0.0873</v>
      </c>
      <c r="E73">
        <v>0.1667</v>
      </c>
      <c r="F73">
        <v>2.1333</v>
      </c>
      <c r="G73" t="s">
        <v>246</v>
      </c>
      <c r="H73">
        <v>0.6137</v>
      </c>
      <c r="I73" t="s">
        <v>43</v>
      </c>
      <c r="J73" t="s">
        <v>43</v>
      </c>
      <c r="K73" t="s">
        <v>43</v>
      </c>
      <c r="L73">
        <v>0.7</v>
      </c>
      <c r="M73" t="s">
        <v>247</v>
      </c>
      <c r="N73">
        <v>5.4467</v>
      </c>
      <c r="O73">
        <f>H73+N73</f>
        <v>6.0604</v>
      </c>
    </row>
  </sheetData>
  <ignoredErrors>
    <ignoredError numberStoredAsText="1" sqref="A1:O7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8.83203125" customWidth="1"/>
    <col min="2" max="2" width="16.83203125" customWidth="1"/>
    <col min="3" max="3" width="22.83203125" customWidth="1"/>
    <col min="4" max="4" width="16.83203125" customWidth="1"/>
  </cols>
  <sheetData>
    <row r="1">
      <c r="A1" t="s">
        <v>254</v>
      </c>
      <c r="B1" t="s">
        <v>255</v>
      </c>
      <c r="C1" t="s">
        <v>256</v>
      </c>
      <c r="D1" t="s">
        <v>257</v>
      </c>
    </row>
    <row r="2">
      <c r="A2">
        <v>15</v>
      </c>
      <c r="B2">
        <v>1.23</v>
      </c>
      <c r="C2" t="s">
        <v>43</v>
      </c>
      <c r="D2" t="s">
        <v>43</v>
      </c>
    </row>
    <row r="3">
      <c r="A3">
        <v>18</v>
      </c>
      <c r="B3">
        <v>1.77</v>
      </c>
      <c r="C3" t="s">
        <v>258</v>
      </c>
      <c r="D3">
        <v>1.8</v>
      </c>
    </row>
    <row r="4">
      <c r="A4">
        <v>21</v>
      </c>
      <c r="B4">
        <v>2.41</v>
      </c>
      <c r="C4" t="s">
        <v>43</v>
      </c>
      <c r="D4" t="s">
        <v>43</v>
      </c>
    </row>
    <row r="5">
      <c r="A5">
        <v>24</v>
      </c>
      <c r="B5">
        <v>3.14</v>
      </c>
      <c r="C5" t="s">
        <v>259</v>
      </c>
      <c r="D5">
        <v>4.1</v>
      </c>
    </row>
    <row r="6">
      <c r="A6">
        <v>27</v>
      </c>
      <c r="B6">
        <v>3.98</v>
      </c>
      <c r="C6" t="s">
        <v>260</v>
      </c>
      <c r="D6">
        <v>5.1</v>
      </c>
    </row>
    <row r="7">
      <c r="A7">
        <v>30</v>
      </c>
      <c r="B7">
        <v>4.91</v>
      </c>
      <c r="C7" t="s">
        <v>261</v>
      </c>
      <c r="D7">
        <v>6.3</v>
      </c>
    </row>
    <row r="8">
      <c r="A8">
        <v>33</v>
      </c>
      <c r="B8">
        <v>5.94</v>
      </c>
      <c r="C8" t="s">
        <v>262</v>
      </c>
      <c r="D8">
        <v>7.4</v>
      </c>
    </row>
    <row r="9">
      <c r="A9">
        <v>36</v>
      </c>
      <c r="B9">
        <v>7.07</v>
      </c>
      <c r="C9" t="s">
        <v>263</v>
      </c>
      <c r="D9">
        <v>8.8</v>
      </c>
    </row>
    <row r="10">
      <c r="A10">
        <v>42</v>
      </c>
      <c r="B10">
        <v>9.62</v>
      </c>
      <c r="C10" t="s">
        <v>264</v>
      </c>
      <c r="D10">
        <v>10.2</v>
      </c>
    </row>
    <row r="11">
      <c r="A11">
        <v>48</v>
      </c>
      <c r="B11">
        <v>12.57</v>
      </c>
      <c r="C11" t="s">
        <v>265</v>
      </c>
      <c r="D11">
        <v>12.9</v>
      </c>
    </row>
    <row r="12">
      <c r="A12">
        <v>54</v>
      </c>
      <c r="B12">
        <v>15.9</v>
      </c>
      <c r="C12" t="s">
        <v>266</v>
      </c>
      <c r="D12">
        <v>16.6</v>
      </c>
    </row>
    <row r="13">
      <c r="A13">
        <v>60</v>
      </c>
      <c r="B13">
        <v>19.63</v>
      </c>
      <c r="C13" t="s">
        <v>267</v>
      </c>
      <c r="D13">
        <v>20.5</v>
      </c>
    </row>
    <row r="14">
      <c r="A14">
        <v>66</v>
      </c>
      <c r="B14">
        <v>23.76</v>
      </c>
      <c r="C14" t="s">
        <v>268</v>
      </c>
      <c r="D14">
        <v>24.8</v>
      </c>
    </row>
    <row r="15">
      <c r="A15">
        <v>72</v>
      </c>
      <c r="B15">
        <v>28.27</v>
      </c>
      <c r="C15" t="s">
        <v>269</v>
      </c>
      <c r="D15">
        <v>29.5</v>
      </c>
    </row>
    <row r="16">
      <c r="A16">
        <v>78</v>
      </c>
      <c r="B16">
        <v>33.18</v>
      </c>
      <c r="C16" t="s">
        <v>270</v>
      </c>
      <c r="D16">
        <v>34.6</v>
      </c>
    </row>
    <row r="17">
      <c r="A17">
        <v>84</v>
      </c>
      <c r="B17">
        <v>38.48</v>
      </c>
      <c r="C17" t="s">
        <v>271</v>
      </c>
      <c r="D17">
        <v>40.1</v>
      </c>
    </row>
    <row r="18">
      <c r="A18">
        <v>90</v>
      </c>
      <c r="B18">
        <v>44.18</v>
      </c>
      <c r="C18" t="s">
        <v>272</v>
      </c>
      <c r="D18">
        <v>46.1</v>
      </c>
    </row>
    <row r="19">
      <c r="A19">
        <v>96</v>
      </c>
      <c r="B19">
        <v>50.27</v>
      </c>
      <c r="C19" t="s">
        <v>273</v>
      </c>
      <c r="D19">
        <v>52.4</v>
      </c>
    </row>
    <row r="20">
      <c r="A20">
        <v>102</v>
      </c>
      <c r="B20">
        <v>56.75</v>
      </c>
      <c r="C20" t="s">
        <v>274</v>
      </c>
      <c r="D20">
        <v>59.2</v>
      </c>
    </row>
    <row r="21">
      <c r="A21">
        <v>108</v>
      </c>
      <c r="B21">
        <v>63.62</v>
      </c>
      <c r="C21" t="s">
        <v>275</v>
      </c>
      <c r="D21">
        <v>66.4</v>
      </c>
    </row>
    <row r="22">
      <c r="A22">
        <v>114</v>
      </c>
      <c r="B22">
        <v>70.88</v>
      </c>
      <c r="C22" t="s">
        <v>276</v>
      </c>
      <c r="D22">
        <v>74</v>
      </c>
    </row>
    <row r="23">
      <c r="A23">
        <v>120</v>
      </c>
      <c r="B23">
        <v>78.54</v>
      </c>
      <c r="C23" t="s">
        <v>277</v>
      </c>
      <c r="D23">
        <v>82</v>
      </c>
    </row>
    <row r="24">
      <c r="A24">
        <v>132</v>
      </c>
      <c r="B24">
        <v>95.03</v>
      </c>
      <c r="C24" t="s">
        <v>278</v>
      </c>
      <c r="D24">
        <v>99.2</v>
      </c>
    </row>
    <row r="25">
      <c r="A25">
        <v>144</v>
      </c>
      <c r="B25">
        <v>113.1</v>
      </c>
      <c r="C25" t="s">
        <v>279</v>
      </c>
      <c r="D25">
        <v>118.6</v>
      </c>
    </row>
  </sheetData>
  <ignoredErrors>
    <ignoredError numberStoredAsText="1" sqref="A1:D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</cols>
  <sheetData>
    <row r="1">
      <c r="A1" t="s">
        <v>139</v>
      </c>
      <c r="B1" t="s">
        <v>280</v>
      </c>
      <c r="C1" t="s">
        <v>281</v>
      </c>
      <c r="D1" t="s">
        <v>282</v>
      </c>
    </row>
    <row r="2">
      <c r="A2">
        <v>5</v>
      </c>
      <c r="B2">
        <v>0.06</v>
      </c>
      <c r="C2">
        <v>0.06</v>
      </c>
      <c r="D2">
        <v>0.06</v>
      </c>
    </row>
    <row r="3">
      <c r="A3">
        <v>10</v>
      </c>
      <c r="B3">
        <v>0.13</v>
      </c>
      <c r="C3">
        <v>0.13</v>
      </c>
      <c r="D3">
        <v>0.13</v>
      </c>
    </row>
    <row r="4">
      <c r="A4">
        <v>15</v>
      </c>
      <c r="B4">
        <v>0.19</v>
      </c>
      <c r="C4">
        <v>0.19</v>
      </c>
      <c r="D4">
        <v>0.19</v>
      </c>
    </row>
    <row r="5">
      <c r="A5">
        <v>20</v>
      </c>
      <c r="B5">
        <v>0.25</v>
      </c>
      <c r="C5">
        <v>0.25</v>
      </c>
      <c r="D5">
        <v>0.25</v>
      </c>
    </row>
    <row r="6">
      <c r="A6">
        <v>25</v>
      </c>
      <c r="B6">
        <v>0.3</v>
      </c>
      <c r="C6">
        <v>0.3</v>
      </c>
      <c r="D6">
        <v>0.3</v>
      </c>
    </row>
    <row r="7">
      <c r="A7">
        <v>30</v>
      </c>
      <c r="B7">
        <v>0.35</v>
      </c>
      <c r="C7">
        <v>0.35</v>
      </c>
      <c r="D7">
        <v>0.35</v>
      </c>
    </row>
    <row r="8">
      <c r="A8">
        <v>40</v>
      </c>
      <c r="B8">
        <v>0.43</v>
      </c>
      <c r="C8">
        <v>0.43</v>
      </c>
      <c r="D8">
        <v>0.43</v>
      </c>
    </row>
    <row r="9">
      <c r="A9">
        <v>50</v>
      </c>
      <c r="B9">
        <v>0.5</v>
      </c>
      <c r="C9">
        <v>0.5</v>
      </c>
      <c r="D9">
        <v>0.5</v>
      </c>
    </row>
    <row r="10">
      <c r="A10">
        <v>60</v>
      </c>
      <c r="B10">
        <v>0.56</v>
      </c>
      <c r="C10">
        <v>0.56</v>
      </c>
      <c r="D10">
        <v>0.56</v>
      </c>
    </row>
    <row r="11">
      <c r="A11">
        <v>70</v>
      </c>
      <c r="B11">
        <v>0.61</v>
      </c>
      <c r="C11">
        <v>0.61</v>
      </c>
      <c r="D11">
        <v>0.61</v>
      </c>
    </row>
    <row r="12">
      <c r="A12">
        <v>80</v>
      </c>
      <c r="B12">
        <v>0.66</v>
      </c>
      <c r="C12">
        <v>0.66</v>
      </c>
      <c r="D12">
        <v>0.66</v>
      </c>
    </row>
    <row r="13">
      <c r="A13">
        <v>90</v>
      </c>
      <c r="B13">
        <v>0.7</v>
      </c>
      <c r="C13">
        <v>0.7</v>
      </c>
      <c r="D13">
        <v>0.7</v>
      </c>
    </row>
  </sheetData>
  <ignoredErrors>
    <ignoredError numberStoredAsText="1" sqref="A1:D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8.83203125" customWidth="1"/>
    <col min="5" max="5" width="10.83203125" customWidth="1"/>
    <col min="6" max="6" width="7.83203125" customWidth="1"/>
    <col min="7" max="7" width="9.83203125" customWidth="1"/>
    <col min="8" max="8" width="16.83203125" customWidth="1"/>
    <col min="9" max="9" width="9.83203125" customWidth="1"/>
    <col min="10" max="10" width="8.83203125" customWidth="1"/>
    <col min="11" max="11" width="8.83203125" customWidth="1"/>
    <col min="12" max="12" width="8.83203125" customWidth="1"/>
    <col min="13" max="13" width="7.83203125" customWidth="1"/>
    <col min="14" max="14" width="16.83203125" customWidth="1"/>
    <col min="15" max="15" width="12.83203125" customWidth="1"/>
    <col min="16" max="16" width="10.83203125" customWidth="1"/>
    <col min="17" max="17" width="12.83203125" customWidth="1"/>
    <col min="18" max="18" width="11.83203125" customWidth="1"/>
    <col min="19" max="19" width="14.83203125" customWidth="1"/>
  </cols>
  <sheetData>
    <row r="1">
      <c r="A1" t="s">
        <v>283</v>
      </c>
      <c r="B1" t="s">
        <v>284</v>
      </c>
    </row>
    <row r="2">
      <c r="A2" t="s">
        <v>285</v>
      </c>
      <c r="B2" t="s">
        <v>286</v>
      </c>
    </row>
    <row r="4">
      <c r="A4" t="s">
        <v>287</v>
      </c>
      <c r="B4" t="s">
        <v>171</v>
      </c>
      <c r="C4" t="s">
        <v>288</v>
      </c>
      <c r="D4" t="s">
        <v>84</v>
      </c>
      <c r="E4" t="s">
        <v>289</v>
      </c>
      <c r="F4" t="s">
        <v>51</v>
      </c>
      <c r="G4" t="s">
        <v>54</v>
      </c>
      <c r="H4" t="s">
        <v>53</v>
      </c>
      <c r="I4" t="s">
        <v>290</v>
      </c>
      <c r="J4" t="s">
        <v>291</v>
      </c>
      <c r="K4" t="s">
        <v>292</v>
      </c>
      <c r="L4" t="s">
        <v>293</v>
      </c>
      <c r="M4" t="s">
        <v>83</v>
      </c>
      <c r="N4" t="s">
        <v>294</v>
      </c>
      <c r="O4" t="s">
        <v>295</v>
      </c>
      <c r="P4" t="s">
        <v>296</v>
      </c>
      <c r="Q4" t="s">
        <v>297</v>
      </c>
      <c r="R4" t="s">
        <v>298</v>
      </c>
      <c r="S4" t="s">
        <v>299</v>
      </c>
    </row>
    <row r="5">
      <c r="A5" t="s">
        <v>43</v>
      </c>
      <c r="B5" t="s">
        <v>61</v>
      </c>
      <c r="C5" t="s">
        <v>300</v>
      </c>
      <c r="D5">
        <v>11.1</v>
      </c>
      <c r="E5">
        <v>0.055</v>
      </c>
      <c r="F5">
        <v>0.8491</v>
      </c>
      <c r="G5">
        <v>5</v>
      </c>
      <c r="H5" t="s">
        <v>43</v>
      </c>
      <c r="I5" t="s">
        <v>301</v>
      </c>
      <c r="J5">
        <v>0.001</v>
      </c>
      <c r="K5">
        <v>1.33</v>
      </c>
      <c r="L5">
        <v>0.0833</v>
      </c>
      <c r="M5">
        <v>0.013</v>
      </c>
      <c r="N5" t="s">
        <v>286</v>
      </c>
      <c r="O5" t="s">
        <v>43</v>
      </c>
      <c r="P5">
        <v>7.5361</v>
      </c>
      <c r="Q5">
        <v>35.46</v>
      </c>
      <c r="R5">
        <v>7.5</v>
      </c>
      <c r="S5">
        <v>0.985973</v>
      </c>
    </row>
    <row r="6">
      <c r="A6" t="s">
        <v>43</v>
      </c>
      <c r="B6" t="s">
        <v>64</v>
      </c>
      <c r="C6" t="s">
        <v>300</v>
      </c>
      <c r="D6">
        <v>15</v>
      </c>
      <c r="E6">
        <v>2.0137</v>
      </c>
      <c r="F6">
        <v>0.5821</v>
      </c>
      <c r="G6">
        <v>10</v>
      </c>
      <c r="H6" t="s">
        <v>43</v>
      </c>
      <c r="I6" t="s">
        <v>302</v>
      </c>
      <c r="J6">
        <v>0.001</v>
      </c>
      <c r="K6">
        <v>1.33</v>
      </c>
      <c r="L6">
        <v>0.0833</v>
      </c>
      <c r="M6">
        <v>0.013</v>
      </c>
      <c r="N6" t="s">
        <v>286</v>
      </c>
      <c r="O6" t="s">
        <v>43</v>
      </c>
      <c r="P6">
        <v>6.8572</v>
      </c>
      <c r="Q6">
        <v>37.278</v>
      </c>
      <c r="R6">
        <v>12.03</v>
      </c>
      <c r="S6">
        <v>1.031194</v>
      </c>
    </row>
    <row r="7">
      <c r="A7" t="s">
        <v>43</v>
      </c>
      <c r="B7" t="s">
        <v>66</v>
      </c>
      <c r="C7" t="s">
        <v>43</v>
      </c>
      <c r="D7">
        <v>5</v>
      </c>
      <c r="E7">
        <v>0.1859</v>
      </c>
      <c r="F7">
        <v>0.7686</v>
      </c>
      <c r="G7">
        <v>7</v>
      </c>
      <c r="H7" t="s">
        <v>43</v>
      </c>
      <c r="I7" t="s">
        <v>303</v>
      </c>
      <c r="J7">
        <v>0.01</v>
      </c>
      <c r="K7">
        <v>1.33</v>
      </c>
      <c r="L7">
        <v>0.0833</v>
      </c>
      <c r="M7">
        <v>0.013</v>
      </c>
      <c r="N7" t="s">
        <v>286</v>
      </c>
      <c r="O7" t="s">
        <v>61</v>
      </c>
      <c r="P7">
        <v>0.9405</v>
      </c>
      <c r="Q7">
        <v>4.413</v>
      </c>
      <c r="R7">
        <v>29.73</v>
      </c>
      <c r="S7">
        <v>0.100399</v>
      </c>
    </row>
    <row r="8">
      <c r="A8" t="s">
        <v>43</v>
      </c>
      <c r="B8" t="s">
        <v>68</v>
      </c>
      <c r="C8" t="s">
        <v>43</v>
      </c>
      <c r="D8">
        <v>15</v>
      </c>
      <c r="E8">
        <v>0.2143</v>
      </c>
      <c r="F8">
        <v>0.8404</v>
      </c>
      <c r="G8">
        <v>5</v>
      </c>
      <c r="H8" t="s">
        <v>43</v>
      </c>
      <c r="I8" t="s">
        <v>304</v>
      </c>
      <c r="J8">
        <v>0.0212</v>
      </c>
      <c r="K8">
        <v>1.33</v>
      </c>
      <c r="L8">
        <v>0.0833</v>
      </c>
      <c r="M8">
        <v>0.013</v>
      </c>
      <c r="N8" t="s">
        <v>286</v>
      </c>
      <c r="O8" t="s">
        <v>43</v>
      </c>
      <c r="P8">
        <v>1.2733</v>
      </c>
      <c r="Q8">
        <v>4.982</v>
      </c>
      <c r="R8">
        <v>88.59</v>
      </c>
      <c r="S8">
        <v>0.020549</v>
      </c>
    </row>
    <row r="9">
      <c r="A9" t="s">
        <v>43</v>
      </c>
      <c r="B9" t="s">
        <v>70</v>
      </c>
      <c r="C9" t="s">
        <v>43</v>
      </c>
      <c r="D9">
        <v>10</v>
      </c>
      <c r="E9">
        <v>0.3315</v>
      </c>
      <c r="F9">
        <v>0.5588</v>
      </c>
      <c r="G9">
        <v>10</v>
      </c>
      <c r="H9" t="s">
        <v>43</v>
      </c>
      <c r="I9" t="s">
        <v>305</v>
      </c>
      <c r="J9">
        <v>0.08</v>
      </c>
      <c r="K9">
        <v>1.33</v>
      </c>
      <c r="L9">
        <v>0.0833</v>
      </c>
      <c r="M9">
        <v>0.013</v>
      </c>
      <c r="N9" t="s">
        <v>286</v>
      </c>
      <c r="O9" t="s">
        <v>43</v>
      </c>
      <c r="P9">
        <v>1.0837</v>
      </c>
      <c r="Q9">
        <v>2.343</v>
      </c>
      <c r="R9">
        <v>99.81</v>
      </c>
      <c r="S9">
        <v>0.00035</v>
      </c>
    </row>
    <row r="10">
      <c r="A10" t="s">
        <v>43</v>
      </c>
      <c r="B10" t="s">
        <v>72</v>
      </c>
      <c r="C10" t="s">
        <v>300</v>
      </c>
      <c r="D10">
        <v>5</v>
      </c>
      <c r="E10">
        <v>0.0771</v>
      </c>
      <c r="F10">
        <v>0.8698</v>
      </c>
      <c r="G10">
        <v>5</v>
      </c>
      <c r="H10" t="s">
        <v>43</v>
      </c>
      <c r="I10" t="s">
        <v>306</v>
      </c>
      <c r="J10">
        <v>0.001</v>
      </c>
      <c r="K10">
        <v>1.33</v>
      </c>
      <c r="L10">
        <v>0.0833</v>
      </c>
      <c r="M10">
        <v>0.013</v>
      </c>
      <c r="N10" t="s">
        <v>286</v>
      </c>
      <c r="O10" t="s">
        <v>43</v>
      </c>
      <c r="P10">
        <v>0.4741</v>
      </c>
      <c r="Q10">
        <v>4.076</v>
      </c>
      <c r="R10">
        <v>40.87</v>
      </c>
      <c r="S10">
        <v>0.039656</v>
      </c>
    </row>
    <row r="11">
      <c r="A11" t="s">
        <v>43</v>
      </c>
      <c r="B11" t="s">
        <v>74</v>
      </c>
      <c r="C11" t="s">
        <v>300</v>
      </c>
      <c r="D11">
        <v>5</v>
      </c>
      <c r="E11">
        <v>0.6656</v>
      </c>
      <c r="F11">
        <v>0.6542</v>
      </c>
      <c r="G11">
        <v>7</v>
      </c>
      <c r="H11" t="s">
        <v>43</v>
      </c>
      <c r="I11" t="s">
        <v>307</v>
      </c>
      <c r="J11">
        <v>0.001</v>
      </c>
      <c r="K11">
        <v>1.33</v>
      </c>
      <c r="L11">
        <v>0.0833</v>
      </c>
      <c r="M11">
        <v>0.013</v>
      </c>
      <c r="N11" t="s">
        <v>286</v>
      </c>
      <c r="O11" t="s">
        <v>43</v>
      </c>
      <c r="P11">
        <v>3.5942</v>
      </c>
      <c r="Q11">
        <v>19.411</v>
      </c>
      <c r="R11">
        <v>6.37</v>
      </c>
      <c r="S11">
        <v>0.511274</v>
      </c>
    </row>
    <row r="12">
      <c r="A12" t="s">
        <v>43</v>
      </c>
      <c r="B12" t="s">
        <v>76</v>
      </c>
      <c r="C12" t="s">
        <v>43</v>
      </c>
      <c r="D12">
        <v>5</v>
      </c>
      <c r="E12">
        <v>0.2576</v>
      </c>
      <c r="F12">
        <v>0.6082</v>
      </c>
      <c r="G12">
        <v>10</v>
      </c>
      <c r="H12" t="s">
        <v>43</v>
      </c>
      <c r="I12" t="s">
        <v>308</v>
      </c>
      <c r="J12">
        <v>0.007</v>
      </c>
      <c r="K12">
        <v>1.33</v>
      </c>
      <c r="L12">
        <v>0.0833</v>
      </c>
      <c r="M12">
        <v>0.013</v>
      </c>
      <c r="N12" t="s">
        <v>286</v>
      </c>
      <c r="O12" t="s">
        <v>74</v>
      </c>
      <c r="P12">
        <v>0.9165</v>
      </c>
      <c r="Q12">
        <v>5.828</v>
      </c>
      <c r="R12">
        <v>29.38</v>
      </c>
      <c r="S12">
        <v>0.110635</v>
      </c>
    </row>
    <row r="13">
      <c r="A13" t="s">
        <v>43</v>
      </c>
      <c r="B13" t="s">
        <v>78</v>
      </c>
      <c r="C13" t="s">
        <v>43</v>
      </c>
      <c r="D13">
        <v>15</v>
      </c>
      <c r="E13">
        <v>2.4604</v>
      </c>
      <c r="F13">
        <v>0.5779</v>
      </c>
      <c r="G13">
        <v>10</v>
      </c>
      <c r="H13" t="s">
        <v>43</v>
      </c>
      <c r="I13" t="s">
        <v>309</v>
      </c>
      <c r="J13">
        <v>0.0162</v>
      </c>
      <c r="K13">
        <v>1.33</v>
      </c>
      <c r="L13">
        <v>0.0833</v>
      </c>
      <c r="M13">
        <v>0.013</v>
      </c>
      <c r="N13" t="s">
        <v>286</v>
      </c>
      <c r="O13" t="s">
        <v>61</v>
      </c>
      <c r="P13">
        <v>8.3179</v>
      </c>
      <c r="Q13">
        <v>13.123</v>
      </c>
      <c r="R13">
        <v>35.38</v>
      </c>
      <c r="S13">
        <v>0.918822</v>
      </c>
    </row>
  </sheetData>
  <ignoredErrors>
    <ignoredError numberStoredAsText="1" sqref="A1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Rainfall Settings</vt:lpstr>
      <vt:lpstr>Drainage Area</vt:lpstr>
      <vt:lpstr>TR-55 Segments</vt:lpstr>
      <vt:lpstr>Junction Structure</vt:lpstr>
      <vt:lpstr>Pipe Sizing</vt:lpstr>
      <vt:lpstr>Outlet Structures</vt:lpstr>
      <vt:lpstr>Outlet Devices</vt:lpstr>
      <vt:lpstr>Rating - Pond 1 Outlet</vt:lpstr>
      <vt:lpstr>Rating - Bioretention Outlet</vt:lpstr>
      <vt:lpstr>Table 4-6 Reference</vt:lpstr>
      <vt:lpstr>Kb Coefficients</vt:lpstr>
      <vt:lpstr>Inlet Spacing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