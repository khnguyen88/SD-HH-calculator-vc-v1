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_AAA\WS_HH\SD-HH-calculator-vc-v1\docs\"/>
    </mc:Choice>
  </mc:AlternateContent>
  <xr:revisionPtr revIDLastSave="0" documentId="13_ncr:1_{D86349B8-1514-4050-8CA7-9BE264A8D81D}" xr6:coauthVersionLast="47" xr6:coauthVersionMax="47" xr10:uidLastSave="{00000000-0000-0000-0000-000000000000}"/>
  <bookViews>
    <workbookView xWindow="-98" yWindow="-98" windowWidth="26116" windowHeight="15675" tabRatio="805" firstSheet="1" activeTab="4" xr2:uid="{500594E2-C3C4-428B-AC1B-6CA321267A79}"/>
  </bookViews>
  <sheets>
    <sheet name="MD 410 Inlet Drainage Calcs" sheetId="12" state="hidden" r:id="rId1"/>
    <sheet name="Rationals-MCDOT" sheetId="24" r:id="rId2"/>
    <sheet name="Inlet Spacing_10-yr" sheetId="30" r:id="rId3"/>
    <sheet name="10 Yr Pipe Capacity" sheetId="25" r:id="rId4"/>
    <sheet name="25 Yr SHA Pipe Capacity" sheetId="31" r:id="rId5"/>
    <sheet name=" 10 Yr MoCo HGL" sheetId="16" r:id="rId6"/>
    <sheet name="25 Yr SHA HGL" sheetId="35" r:id="rId7"/>
    <sheet name="SHA Intensity" sheetId="32" r:id="rId8"/>
    <sheet name="MoCoIntensity" sheetId="21" r:id="rId9"/>
    <sheet name="Kb Values MoCo" sheetId="27" r:id="rId10"/>
    <sheet name="Pipe Properties" sheetId="14" r:id="rId11"/>
    <sheet name="HGL 25-yr" sheetId="28" r:id="rId12"/>
    <sheet name="TABLES" sheetId="26" r:id="rId13"/>
    <sheet name="Intensity" sheetId="23" r:id="rId14"/>
    <sheet name="Inlet Spacing_2-yr" sheetId="29" r:id="rId15"/>
  </sheets>
  <externalReferences>
    <externalReference r:id="rId16"/>
    <externalReference r:id="rId17"/>
    <externalReference r:id="rId18"/>
  </externalReferences>
  <definedNames>
    <definedName name="\0" localSheetId="11">#REF!</definedName>
    <definedName name="\0" localSheetId="2">'Inlet Spacing_10-yr'!$D$46</definedName>
    <definedName name="\0" localSheetId="14">'Inlet Spacing_2-yr'!$D$46</definedName>
    <definedName name="\0" localSheetId="0">'MD 410 Inlet Drainage Calcs'!$C$38</definedName>
    <definedName name="\0">#REF!</definedName>
    <definedName name="\c" localSheetId="11">#REF!</definedName>
    <definedName name="\c" localSheetId="2">'Inlet Spacing_10-yr'!$H$53</definedName>
    <definedName name="\c" localSheetId="14">'Inlet Spacing_2-yr'!$H$53</definedName>
    <definedName name="\c" localSheetId="0">'MD 410 Inlet Drainage Calcs'!$G$45</definedName>
    <definedName name="\c">#REF!</definedName>
    <definedName name="\e" localSheetId="11">#REF!</definedName>
    <definedName name="\e" localSheetId="2">'Inlet Spacing_10-yr'!$H$48</definedName>
    <definedName name="\e" localSheetId="14">'Inlet Spacing_2-yr'!$H$48</definedName>
    <definedName name="\e" localSheetId="0">'MD 410 Inlet Drainage Calcs'!$G$40</definedName>
    <definedName name="\e">#REF!</definedName>
    <definedName name="\p" localSheetId="11">#REF!</definedName>
    <definedName name="\p" localSheetId="2">'Inlet Spacing_10-yr'!$H$67</definedName>
    <definedName name="\p" localSheetId="14">'Inlet Spacing_2-yr'!$H$67</definedName>
    <definedName name="\p" localSheetId="0">'MD 410 Inlet Drainage Calcs'!$G$59</definedName>
    <definedName name="\p">#REF!</definedName>
    <definedName name="\r" localSheetId="11">#REF!</definedName>
    <definedName name="\r" localSheetId="2">'Inlet Spacing_10-yr'!$C$56</definedName>
    <definedName name="\r" localSheetId="14">'Inlet Spacing_2-yr'!$C$56</definedName>
    <definedName name="\r" localSheetId="0">'MD 410 Inlet Drainage Calcs'!$B$48</definedName>
    <definedName name="\r">#REF!</definedName>
    <definedName name="_DUR1" localSheetId="11">'[1]Q peak i1-4'!$C$10</definedName>
    <definedName name="_DUR1">'[2]Q peak i1-4'!$C$10</definedName>
    <definedName name="_DUR10" localSheetId="11">'[1]Q peak i9-12'!$C$17</definedName>
    <definedName name="_DUR10">'[2]Q peak i9-12'!$C$17</definedName>
    <definedName name="_DUR11" localSheetId="11">'[1]Q peak i9-12'!$C$24</definedName>
    <definedName name="_DUR11">'[2]Q peak i9-12'!$C$24</definedName>
    <definedName name="_DUR12">'[1]Q peak i9-12'!$C$31</definedName>
    <definedName name="_DUR13" localSheetId="11">'[1]Q peak i13-16'!$C$10</definedName>
    <definedName name="_DUR13">'[2]Q peak i13-16'!$C$10</definedName>
    <definedName name="_DUR14" localSheetId="11">'[1]Q peak i13-16'!$C$17</definedName>
    <definedName name="_DUR14">'[2]Q peak i13-16'!$C$17</definedName>
    <definedName name="_DUR15" localSheetId="11">'[1]Q peak i13-16'!$C$24</definedName>
    <definedName name="_DUR15">'[2]Q peak i13-16'!$C$24</definedName>
    <definedName name="_DUR16" localSheetId="11">'[1]Q peak i13-16'!$C$31</definedName>
    <definedName name="_DUR16">'[2]Q peak i13-16'!$C$31</definedName>
    <definedName name="_DUR17" localSheetId="11">#REF!</definedName>
    <definedName name="_DUR17">#REF!</definedName>
    <definedName name="_DUR18" localSheetId="11">#REF!</definedName>
    <definedName name="_DUR18">#REF!</definedName>
    <definedName name="_DUR2" localSheetId="11">'[1]Q peak i1-4'!$C$17</definedName>
    <definedName name="_DUR2">'[2]Q peak i1-4'!$C$17</definedName>
    <definedName name="_DUR3" localSheetId="11">'[1]Q peak i1-4'!$C$24</definedName>
    <definedName name="_DUR3">'[2]Q peak i1-4'!$C$24</definedName>
    <definedName name="_DUR4" localSheetId="11">'[1]Q peak i1-4'!$C$31</definedName>
    <definedName name="_DUR4">'[2]Q peak i1-4'!$C$31</definedName>
    <definedName name="_DUR5" localSheetId="11">'[1]Q peak i5-8'!$C$10</definedName>
    <definedName name="_DUR5">'[2]Q peak i5-8'!$C$10</definedName>
    <definedName name="_DUR6" localSheetId="11">'[1]Q peak i5-8'!$C$17</definedName>
    <definedName name="_DUR6">'[2]Q peak i5-8'!$C$17</definedName>
    <definedName name="_DUR7" localSheetId="11">'[1]Q peak i5-8'!$C$24</definedName>
    <definedName name="_DUR7">'[2]Q peak i5-8'!$C$24</definedName>
    <definedName name="_DUR8" localSheetId="11">'[1]Q peak i5-8'!$C$31</definedName>
    <definedName name="_DUR8">'[2]Q peak i5-8'!$C$31</definedName>
    <definedName name="_DUR9" localSheetId="11">'[1]Q peak i9-12'!$C$10</definedName>
    <definedName name="_DUR9">'[2]Q peak i9-12'!$C$10</definedName>
    <definedName name="_INT1" localSheetId="11">'[1]Q peak i1-4'!$C$10</definedName>
    <definedName name="_INT1">'[2]Q peak i1-4'!$C$10</definedName>
    <definedName name="_INT2" localSheetId="11">'[1]Q peak i1-4'!$C$17</definedName>
    <definedName name="_INT2">'[2]Q peak i1-4'!$C$17</definedName>
    <definedName name="_Regression_Int" localSheetId="2" hidden="1">1</definedName>
    <definedName name="_Regression_Int" localSheetId="14" hidden="1">1</definedName>
    <definedName name="_Regression_Int" localSheetId="0" hidden="1">1</definedName>
    <definedName name="f" localSheetId="12">'[2]Q peak i9-12'!$C$31</definedName>
    <definedName name="_xlnm.Print_Area" localSheetId="5">' 10 Yr MoCo HGL'!$B$1:$AP$73</definedName>
    <definedName name="_xlnm.Print_Area" localSheetId="3">'10 Yr Pipe Capacity'!$A$8:$Z$28</definedName>
    <definedName name="_xlnm.Print_Area" localSheetId="6">'25 Yr SHA HGL'!$B$1:$AI$73</definedName>
    <definedName name="_xlnm.Print_Area" localSheetId="4">'25 Yr SHA Pipe Capacity'!$A$8:$Z$65</definedName>
    <definedName name="_xlnm.Print_Area" localSheetId="11">'HGL 25-yr'!$A$3:$GP$95</definedName>
    <definedName name="_xlnm.Print_Area" localSheetId="2">'Inlet Spacing_10-yr'!$A$1:$S$31</definedName>
    <definedName name="_xlnm.Print_Area" localSheetId="14">'Inlet Spacing_2-yr'!$A$1:$S$33</definedName>
    <definedName name="_xlnm.Print_Area" localSheetId="0">'MD 410 Inlet Drainage Calcs'!$A$1:$P$30</definedName>
    <definedName name="_xlnm.Print_Area" localSheetId="1">'Rationals-MCDOT'!$A$1:$Z$90</definedName>
    <definedName name="Print_Area_MI" localSheetId="2">'Inlet Spacing_10-yr'!$A$1:$S$15</definedName>
    <definedName name="Print_Area_MI" localSheetId="14">'Inlet Spacing_2-yr'!$A$1:$S$15</definedName>
    <definedName name="Print_Area_MI" localSheetId="0">'MD 410 Inlet Drainage Calcs'!$A$1:$P$14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5" i="25" l="1"/>
  <c r="L17" i="25"/>
  <c r="L19" i="25"/>
  <c r="L20" i="25"/>
  <c r="L21" i="25"/>
  <c r="L23" i="25"/>
  <c r="L25" i="25"/>
  <c r="L26" i="25"/>
  <c r="L27" i="25"/>
  <c r="L14" i="25"/>
  <c r="M32" i="25"/>
  <c r="M33" i="25"/>
  <c r="M34" i="25"/>
  <c r="M35" i="25"/>
  <c r="M36" i="25"/>
  <c r="M37" i="25"/>
  <c r="M38" i="25"/>
  <c r="M40" i="25"/>
  <c r="M42" i="25"/>
  <c r="M43" i="25"/>
  <c r="M44" i="25"/>
  <c r="M31" i="25"/>
  <c r="P32" i="25"/>
  <c r="Q32" i="25"/>
  <c r="P33" i="25"/>
  <c r="Q33" i="25"/>
  <c r="P34" i="25"/>
  <c r="Q34" i="25"/>
  <c r="P35" i="25"/>
  <c r="Q35" i="25"/>
  <c r="P36" i="25"/>
  <c r="Q36" i="25"/>
  <c r="P37" i="25"/>
  <c r="Q37" i="25"/>
  <c r="P38" i="25"/>
  <c r="Q38" i="25"/>
  <c r="P40" i="25"/>
  <c r="Q40" i="25"/>
  <c r="P42" i="25"/>
  <c r="Q42" i="25"/>
  <c r="P43" i="25"/>
  <c r="Q43" i="25"/>
  <c r="P44" i="25"/>
  <c r="Q44" i="25"/>
  <c r="Q31" i="25"/>
  <c r="P31" i="25"/>
  <c r="A42" i="25"/>
  <c r="B42" i="25"/>
  <c r="A43" i="25"/>
  <c r="B43" i="25"/>
  <c r="A44" i="25"/>
  <c r="B44" i="25"/>
  <c r="A32" i="25"/>
  <c r="B32" i="25"/>
  <c r="A33" i="25"/>
  <c r="B33" i="25"/>
  <c r="A34" i="25"/>
  <c r="B34" i="25"/>
  <c r="A35" i="25"/>
  <c r="B35" i="25"/>
  <c r="A36" i="25"/>
  <c r="B36" i="25"/>
  <c r="A37" i="25"/>
  <c r="B37" i="25"/>
  <c r="A38" i="25"/>
  <c r="B38" i="25"/>
  <c r="A40" i="25"/>
  <c r="B40" i="25"/>
  <c r="B31" i="25"/>
  <c r="A31" i="25"/>
  <c r="J27" i="25"/>
  <c r="E27" i="25"/>
  <c r="D27" i="25"/>
  <c r="J26" i="25"/>
  <c r="E26" i="25"/>
  <c r="D26" i="25"/>
  <c r="AB24" i="25"/>
  <c r="AC24" i="25"/>
  <c r="AD24" i="25"/>
  <c r="AE24" i="25"/>
  <c r="AB25" i="25"/>
  <c r="AE25" i="25"/>
  <c r="T25" i="25"/>
  <c r="AC25" i="25" s="1"/>
  <c r="J25" i="25"/>
  <c r="K25" i="25" s="1"/>
  <c r="E25" i="25"/>
  <c r="D25" i="25"/>
  <c r="H25" i="25" s="1"/>
  <c r="AB22" i="25"/>
  <c r="AC22" i="25"/>
  <c r="AD22" i="25"/>
  <c r="AE22" i="25"/>
  <c r="AB23" i="25"/>
  <c r="AE23" i="25"/>
  <c r="J23" i="25"/>
  <c r="E23" i="25"/>
  <c r="D23" i="25"/>
  <c r="E21" i="25"/>
  <c r="D21" i="25"/>
  <c r="J17" i="25"/>
  <c r="J19" i="25"/>
  <c r="J20" i="25"/>
  <c r="AE19" i="25"/>
  <c r="T19" i="25"/>
  <c r="X19" i="25" s="1"/>
  <c r="AB19" i="25"/>
  <c r="E19" i="25"/>
  <c r="D19" i="25"/>
  <c r="H19" i="25" s="1"/>
  <c r="E18" i="25"/>
  <c r="D18" i="25"/>
  <c r="E17" i="25"/>
  <c r="D17" i="25"/>
  <c r="H17" i="25" s="1"/>
  <c r="AB16" i="25"/>
  <c r="AE16" i="25"/>
  <c r="T16" i="25"/>
  <c r="AC16" i="25" s="1"/>
  <c r="J14" i="25"/>
  <c r="E14" i="25"/>
  <c r="D14" i="25"/>
  <c r="R19" i="30"/>
  <c r="G11" i="30" s="1"/>
  <c r="K19" i="30"/>
  <c r="J19" i="30"/>
  <c r="I19" i="30"/>
  <c r="H19" i="30"/>
  <c r="F19" i="30"/>
  <c r="E19" i="30"/>
  <c r="D19" i="30"/>
  <c r="A19" i="30"/>
  <c r="V80" i="24"/>
  <c r="Z72" i="24"/>
  <c r="X72" i="24"/>
  <c r="Z71" i="24"/>
  <c r="X71" i="24"/>
  <c r="X80" i="24" s="1"/>
  <c r="R18" i="30"/>
  <c r="J18" i="30"/>
  <c r="K18" i="30" s="1"/>
  <c r="I18" i="30"/>
  <c r="H18" i="30"/>
  <c r="G18" i="30"/>
  <c r="F18" i="30"/>
  <c r="E18" i="30"/>
  <c r="D18" i="30"/>
  <c r="A18" i="30"/>
  <c r="M80" i="24"/>
  <c r="Q72" i="24"/>
  <c r="O72" i="24"/>
  <c r="Q71" i="24"/>
  <c r="O71" i="24"/>
  <c r="AG22" i="25" l="1"/>
  <c r="AJ22" i="25" s="1"/>
  <c r="AK22" i="25" s="1"/>
  <c r="AL22" i="25" s="1"/>
  <c r="X25" i="25"/>
  <c r="V25" i="25" s="1"/>
  <c r="H26" i="25"/>
  <c r="H27" i="25" s="1"/>
  <c r="F19" i="25"/>
  <c r="I19" i="25" s="1"/>
  <c r="H20" i="25"/>
  <c r="H21" i="25" s="1"/>
  <c r="AG24" i="25"/>
  <c r="AJ24" i="25" s="1"/>
  <c r="AK24" i="25" s="1"/>
  <c r="AL24" i="25" s="1"/>
  <c r="F25" i="25"/>
  <c r="I25" i="25" s="1"/>
  <c r="X16" i="25"/>
  <c r="V16" i="25" s="1"/>
  <c r="AC19" i="25"/>
  <c r="V19" i="25"/>
  <c r="Z80" i="24"/>
  <c r="X89" i="24" s="1"/>
  <c r="X88" i="24"/>
  <c r="V82" i="24"/>
  <c r="X87" i="24"/>
  <c r="O80" i="24"/>
  <c r="O88" i="24" s="1"/>
  <c r="Q80" i="24"/>
  <c r="O89" i="24"/>
  <c r="M83" i="24"/>
  <c r="AH22" i="25" l="1"/>
  <c r="AI22" i="25" s="1"/>
  <c r="AH24" i="25"/>
  <c r="AI24" i="25" s="1"/>
  <c r="AD25" i="25"/>
  <c r="AG25" i="25" s="1"/>
  <c r="AJ25" i="25" s="1"/>
  <c r="AK25" i="25" s="1"/>
  <c r="AL25" i="25" s="1"/>
  <c r="Z25" i="25"/>
  <c r="V83" i="24"/>
  <c r="M82" i="24"/>
  <c r="O87" i="24"/>
  <c r="R16" i="30"/>
  <c r="R15" i="30"/>
  <c r="G17" i="30" s="1"/>
  <c r="J17" i="30"/>
  <c r="J16" i="30"/>
  <c r="K16" i="30" s="1"/>
  <c r="J15" i="30"/>
  <c r="K15" i="30" s="1"/>
  <c r="I17" i="30"/>
  <c r="I16" i="30"/>
  <c r="I15" i="30"/>
  <c r="H15" i="30"/>
  <c r="H16" i="30"/>
  <c r="F15" i="30"/>
  <c r="F16" i="30"/>
  <c r="E16" i="30"/>
  <c r="E15" i="30"/>
  <c r="D16" i="30"/>
  <c r="D15" i="30"/>
  <c r="A17" i="30"/>
  <c r="A16" i="30"/>
  <c r="A15" i="30"/>
  <c r="D80" i="24"/>
  <c r="H72" i="24"/>
  <c r="F72" i="24"/>
  <c r="H71" i="24"/>
  <c r="H80" i="24" s="1"/>
  <c r="F71" i="24"/>
  <c r="U50" i="24"/>
  <c r="Y42" i="24"/>
  <c r="W42" i="24"/>
  <c r="Y41" i="24"/>
  <c r="Y50" i="24" s="1"/>
  <c r="W41" i="24"/>
  <c r="W50" i="24" s="1"/>
  <c r="L50" i="24"/>
  <c r="P42" i="24"/>
  <c r="N42" i="24"/>
  <c r="P41" i="24"/>
  <c r="P50" i="24" s="1"/>
  <c r="N59" i="24" s="1"/>
  <c r="N41" i="24"/>
  <c r="Z12" i="24"/>
  <c r="X12" i="24"/>
  <c r="U25" i="25" l="1"/>
  <c r="W25" i="25" s="1"/>
  <c r="AH25" i="25"/>
  <c r="AI25" i="25" s="1"/>
  <c r="Y25" i="25" s="1"/>
  <c r="H23" i="25"/>
  <c r="D17" i="30"/>
  <c r="F80" i="24"/>
  <c r="D82" i="24" s="1"/>
  <c r="F89" i="24"/>
  <c r="D83" i="24"/>
  <c r="W58" i="24"/>
  <c r="W57" i="24"/>
  <c r="U52" i="24"/>
  <c r="W59" i="24"/>
  <c r="U53" i="24"/>
  <c r="N50" i="24"/>
  <c r="N58" i="24" s="1"/>
  <c r="L52" i="24"/>
  <c r="L53" i="24"/>
  <c r="N57" i="24"/>
  <c r="AE15" i="25"/>
  <c r="AB15" i="25"/>
  <c r="T15" i="25"/>
  <c r="AC15" i="25" s="1"/>
  <c r="J14" i="30"/>
  <c r="J13" i="30"/>
  <c r="J12" i="30"/>
  <c r="F88" i="24" l="1"/>
  <c r="F23" i="25"/>
  <c r="I23" i="25" s="1"/>
  <c r="E17" i="30"/>
  <c r="F17" i="30"/>
  <c r="H17" i="30"/>
  <c r="X15" i="25"/>
  <c r="V15" i="25" s="1"/>
  <c r="F87" i="24"/>
  <c r="I14" i="30"/>
  <c r="I13" i="30"/>
  <c r="I12" i="30"/>
  <c r="A14" i="30"/>
  <c r="A13" i="30"/>
  <c r="A12" i="30"/>
  <c r="K17" i="30" l="1"/>
  <c r="R17" i="30"/>
  <c r="D50" i="24"/>
  <c r="H42" i="24"/>
  <c r="F42" i="24"/>
  <c r="H41" i="24"/>
  <c r="F41" i="24"/>
  <c r="J11" i="30"/>
  <c r="I11" i="30"/>
  <c r="A11" i="30"/>
  <c r="D14" i="30" l="1"/>
  <c r="F50" i="24"/>
  <c r="H50" i="24"/>
  <c r="F58" i="24"/>
  <c r="F57" i="24"/>
  <c r="D52" i="24"/>
  <c r="F59" i="24"/>
  <c r="D53" i="24"/>
  <c r="E14" i="30" l="1"/>
  <c r="F103" i="32"/>
  <c r="F55" i="32" s="1"/>
  <c r="F72" i="32"/>
  <c r="D55" i="32"/>
  <c r="D54" i="32"/>
  <c r="F69" i="32" l="1"/>
  <c r="F73" i="32"/>
  <c r="F71" i="32"/>
  <c r="F70" i="32"/>
  <c r="F88" i="32"/>
  <c r="F67" i="32"/>
  <c r="F86" i="32"/>
  <c r="F85" i="32"/>
  <c r="F64" i="32"/>
  <c r="F54" i="32"/>
  <c r="F83" i="32"/>
  <c r="F63" i="32"/>
  <c r="F102" i="32"/>
  <c r="F82" i="32"/>
  <c r="F62" i="32"/>
  <c r="F59" i="32"/>
  <c r="F94" i="32"/>
  <c r="F74" i="32"/>
  <c r="F93" i="32"/>
  <c r="F92" i="32"/>
  <c r="F91" i="32"/>
  <c r="F90" i="32"/>
  <c r="F89" i="32"/>
  <c r="F68" i="32"/>
  <c r="F87" i="32"/>
  <c r="F66" i="32"/>
  <c r="F65" i="32"/>
  <c r="F84" i="32"/>
  <c r="F101" i="32"/>
  <c r="F81" i="32"/>
  <c r="F61" i="32"/>
  <c r="F100" i="32"/>
  <c r="F80" i="32"/>
  <c r="F60" i="32"/>
  <c r="F99" i="32"/>
  <c r="F79" i="32"/>
  <c r="F98" i="32"/>
  <c r="F78" i="32"/>
  <c r="F58" i="32"/>
  <c r="F97" i="32"/>
  <c r="F77" i="32"/>
  <c r="F57" i="32"/>
  <c r="F96" i="32"/>
  <c r="F76" i="32"/>
  <c r="F56" i="32"/>
  <c r="F95" i="32"/>
  <c r="F75" i="32"/>
  <c r="F5" i="32" l="1"/>
  <c r="F12" i="32"/>
  <c r="F21" i="32"/>
  <c r="F23" i="32"/>
  <c r="F24" i="32"/>
  <c r="F25" i="32"/>
  <c r="F43" i="32"/>
  <c r="F44" i="32"/>
  <c r="F45" i="32"/>
  <c r="F53" i="32"/>
  <c r="F3" i="32"/>
  <c r="F6" i="32" s="1"/>
  <c r="AG60" i="35"/>
  <c r="U60" i="35"/>
  <c r="P60" i="35"/>
  <c r="G60" i="35"/>
  <c r="Q60" i="35" s="1"/>
  <c r="D60" i="35"/>
  <c r="X60" i="35" s="1"/>
  <c r="C60" i="35"/>
  <c r="AG58" i="35"/>
  <c r="U58" i="35"/>
  <c r="P58" i="35"/>
  <c r="G58" i="35"/>
  <c r="D58" i="35"/>
  <c r="X58" i="35" s="1"/>
  <c r="C58" i="35"/>
  <c r="AG57" i="35"/>
  <c r="U57" i="35"/>
  <c r="P57" i="35"/>
  <c r="G57" i="35"/>
  <c r="Q57" i="35" s="1"/>
  <c r="D57" i="35"/>
  <c r="X57" i="35" s="1"/>
  <c r="C57" i="35"/>
  <c r="AG56" i="35"/>
  <c r="U56" i="35"/>
  <c r="P56" i="35"/>
  <c r="G56" i="35"/>
  <c r="D56" i="35"/>
  <c r="X56" i="35" s="1"/>
  <c r="C56" i="35"/>
  <c r="AG55" i="35"/>
  <c r="U55" i="35"/>
  <c r="P55" i="35"/>
  <c r="G55" i="35"/>
  <c r="Q55" i="35" s="1"/>
  <c r="D55" i="35"/>
  <c r="X55" i="35" s="1"/>
  <c r="C55" i="35"/>
  <c r="AG54" i="35"/>
  <c r="U54" i="35"/>
  <c r="P54" i="35"/>
  <c r="G54" i="35"/>
  <c r="D54" i="35"/>
  <c r="X54" i="35" s="1"/>
  <c r="C54" i="35"/>
  <c r="AG53" i="35"/>
  <c r="U53" i="35"/>
  <c r="P53" i="35"/>
  <c r="G53" i="35"/>
  <c r="Q53" i="35" s="1"/>
  <c r="D53" i="35"/>
  <c r="C53" i="35"/>
  <c r="AG52" i="35"/>
  <c r="U52" i="35"/>
  <c r="P52" i="35"/>
  <c r="G52" i="35"/>
  <c r="D52" i="35"/>
  <c r="X52" i="35" s="1"/>
  <c r="C52" i="35"/>
  <c r="AG50" i="35"/>
  <c r="U50" i="35"/>
  <c r="P50" i="35"/>
  <c r="G50" i="35"/>
  <c r="Q50" i="35" s="1"/>
  <c r="D50" i="35"/>
  <c r="X50" i="35" s="1"/>
  <c r="C50" i="35"/>
  <c r="AG48" i="35"/>
  <c r="U48" i="35"/>
  <c r="Q48" i="35"/>
  <c r="P48" i="35"/>
  <c r="O48" i="35"/>
  <c r="H48" i="35"/>
  <c r="G48" i="35"/>
  <c r="F48" i="35"/>
  <c r="M48" i="35" s="1"/>
  <c r="D48" i="35"/>
  <c r="X48" i="35" s="1"/>
  <c r="Y48" i="35" s="1"/>
  <c r="AA48" i="35" s="1"/>
  <c r="C48" i="35"/>
  <c r="AG46" i="35"/>
  <c r="U46" i="35"/>
  <c r="P46" i="35"/>
  <c r="G46" i="35"/>
  <c r="Q46" i="35" s="1"/>
  <c r="D46" i="35"/>
  <c r="X46" i="35" s="1"/>
  <c r="C46" i="35"/>
  <c r="AG44" i="35"/>
  <c r="U44" i="35"/>
  <c r="P44" i="35"/>
  <c r="G44" i="35"/>
  <c r="D44" i="35"/>
  <c r="X44" i="35" s="1"/>
  <c r="C44" i="35"/>
  <c r="AG43" i="35"/>
  <c r="U43" i="35"/>
  <c r="P43" i="35"/>
  <c r="G43" i="35"/>
  <c r="Q43" i="35" s="1"/>
  <c r="D43" i="35"/>
  <c r="X43" i="35" s="1"/>
  <c r="C43" i="35"/>
  <c r="AG42" i="35"/>
  <c r="U42" i="35"/>
  <c r="P42" i="35"/>
  <c r="G42" i="35"/>
  <c r="H42" i="35" s="1"/>
  <c r="D42" i="35"/>
  <c r="X42" i="35" s="1"/>
  <c r="C42" i="35"/>
  <c r="AG41" i="35"/>
  <c r="U41" i="35"/>
  <c r="P41" i="35"/>
  <c r="G41" i="35"/>
  <c r="Q41" i="35" s="1"/>
  <c r="D41" i="35"/>
  <c r="C41" i="35"/>
  <c r="AG40" i="35"/>
  <c r="U40" i="35"/>
  <c r="P40" i="35"/>
  <c r="G40" i="35"/>
  <c r="H40" i="35" s="1"/>
  <c r="D40" i="35"/>
  <c r="X40" i="35" s="1"/>
  <c r="C40" i="35"/>
  <c r="AG39" i="35"/>
  <c r="U39" i="35"/>
  <c r="P39" i="35"/>
  <c r="G39" i="35"/>
  <c r="Q39" i="35" s="1"/>
  <c r="D39" i="35"/>
  <c r="C39" i="35"/>
  <c r="AG38" i="35"/>
  <c r="U38" i="35"/>
  <c r="P38" i="35"/>
  <c r="G38" i="35"/>
  <c r="D38" i="35"/>
  <c r="X38" i="35" s="1"/>
  <c r="C38" i="35"/>
  <c r="AG37" i="35"/>
  <c r="U37" i="35"/>
  <c r="P37" i="35"/>
  <c r="G37" i="35"/>
  <c r="Q37" i="35" s="1"/>
  <c r="E37" i="35"/>
  <c r="D37" i="35"/>
  <c r="C37" i="35"/>
  <c r="AG35" i="35"/>
  <c r="U35" i="35"/>
  <c r="P35" i="35"/>
  <c r="G35" i="35"/>
  <c r="H35" i="35" s="1"/>
  <c r="D35" i="35"/>
  <c r="X35" i="35" s="1"/>
  <c r="C35" i="35"/>
  <c r="AG34" i="35"/>
  <c r="U34" i="35"/>
  <c r="P34" i="35"/>
  <c r="G34" i="35"/>
  <c r="Q34" i="35" s="1"/>
  <c r="D34" i="35"/>
  <c r="X34" i="35" s="1"/>
  <c r="C34" i="35"/>
  <c r="AG32" i="35"/>
  <c r="U32" i="35"/>
  <c r="Q32" i="35"/>
  <c r="P32" i="35"/>
  <c r="O32" i="35"/>
  <c r="H32" i="35"/>
  <c r="G32" i="35"/>
  <c r="F32" i="35"/>
  <c r="M32" i="35" s="1"/>
  <c r="D32" i="35"/>
  <c r="X32" i="35" s="1"/>
  <c r="Y32" i="35" s="1"/>
  <c r="AA32" i="35" s="1"/>
  <c r="C32" i="35"/>
  <c r="AG31" i="35"/>
  <c r="U31" i="35"/>
  <c r="P31" i="35"/>
  <c r="G31" i="35"/>
  <c r="Q31" i="35" s="1"/>
  <c r="D31" i="35"/>
  <c r="C31" i="35"/>
  <c r="AG30" i="35"/>
  <c r="U30" i="35"/>
  <c r="P30" i="35"/>
  <c r="G30" i="35"/>
  <c r="H30" i="35" s="1"/>
  <c r="D30" i="35"/>
  <c r="X30" i="35" s="1"/>
  <c r="C30" i="35"/>
  <c r="AG29" i="35"/>
  <c r="U29" i="35"/>
  <c r="Q29" i="35"/>
  <c r="P29" i="35"/>
  <c r="H29" i="35"/>
  <c r="G29" i="35"/>
  <c r="D29" i="35"/>
  <c r="X29" i="35" s="1"/>
  <c r="Y29" i="35" s="1"/>
  <c r="AA29" i="35" s="1"/>
  <c r="C29" i="35"/>
  <c r="AG27" i="35"/>
  <c r="U27" i="35"/>
  <c r="P27" i="35"/>
  <c r="G27" i="35"/>
  <c r="Q27" i="35" s="1"/>
  <c r="D27" i="35"/>
  <c r="X27" i="35" s="1"/>
  <c r="C27" i="35"/>
  <c r="AG26" i="35"/>
  <c r="U26" i="35"/>
  <c r="P26" i="35"/>
  <c r="K26" i="35"/>
  <c r="G26" i="35"/>
  <c r="D26" i="35"/>
  <c r="C26" i="35"/>
  <c r="AG25" i="35"/>
  <c r="U25" i="35"/>
  <c r="P25" i="35"/>
  <c r="G25" i="35"/>
  <c r="H25" i="35" s="1"/>
  <c r="D25" i="35"/>
  <c r="X25" i="35" s="1"/>
  <c r="C25" i="35"/>
  <c r="AG23" i="35"/>
  <c r="U23" i="35"/>
  <c r="P23" i="35"/>
  <c r="G23" i="35"/>
  <c r="Q23" i="35" s="1"/>
  <c r="D23" i="35"/>
  <c r="C23" i="35"/>
  <c r="AG22" i="35"/>
  <c r="U22" i="35"/>
  <c r="P22" i="35"/>
  <c r="G22" i="35"/>
  <c r="D22" i="35"/>
  <c r="X22" i="35" s="1"/>
  <c r="C22" i="35"/>
  <c r="AG20" i="35"/>
  <c r="U20" i="35"/>
  <c r="P20" i="35"/>
  <c r="G20" i="35"/>
  <c r="Q20" i="35" s="1"/>
  <c r="D20" i="35"/>
  <c r="X20" i="35" s="1"/>
  <c r="C20" i="35"/>
  <c r="AG18" i="35"/>
  <c r="U18" i="35"/>
  <c r="P18" i="35"/>
  <c r="G18" i="35"/>
  <c r="Q18" i="35" s="1"/>
  <c r="D18" i="35"/>
  <c r="X18" i="35" s="1"/>
  <c r="C18" i="35"/>
  <c r="AG17" i="35"/>
  <c r="U17" i="35"/>
  <c r="P17" i="35"/>
  <c r="G17" i="35"/>
  <c r="Q17" i="35" s="1"/>
  <c r="D17" i="35"/>
  <c r="X17" i="35" s="1"/>
  <c r="C17" i="35"/>
  <c r="AG16" i="35"/>
  <c r="U16" i="35"/>
  <c r="P16" i="35"/>
  <c r="K16" i="35"/>
  <c r="G16" i="35"/>
  <c r="D16" i="35"/>
  <c r="C16" i="35"/>
  <c r="AG15" i="35"/>
  <c r="U15" i="35"/>
  <c r="P15" i="35"/>
  <c r="G15" i="35"/>
  <c r="Q15" i="35" s="1"/>
  <c r="D15" i="35"/>
  <c r="C15" i="35"/>
  <c r="AG14" i="35"/>
  <c r="U14" i="35"/>
  <c r="P14" i="35"/>
  <c r="K14" i="35"/>
  <c r="G14" i="35"/>
  <c r="H14" i="35" s="1"/>
  <c r="D14" i="35"/>
  <c r="X14" i="35" s="1"/>
  <c r="C14" i="35"/>
  <c r="AG13" i="35"/>
  <c r="U13" i="35"/>
  <c r="P13" i="35"/>
  <c r="G13" i="35"/>
  <c r="Q13" i="35" s="1"/>
  <c r="D13" i="35"/>
  <c r="X13" i="35" s="1"/>
  <c r="C13" i="35"/>
  <c r="AG12" i="35"/>
  <c r="U12" i="35"/>
  <c r="P12" i="35"/>
  <c r="G12" i="35"/>
  <c r="H12" i="35" s="1"/>
  <c r="D12" i="35"/>
  <c r="X12" i="35" s="1"/>
  <c r="C12" i="35"/>
  <c r="AN10" i="35"/>
  <c r="AL10" i="35"/>
  <c r="AM10" i="35" s="1"/>
  <c r="U60" i="16"/>
  <c r="U58" i="16"/>
  <c r="U56" i="16"/>
  <c r="U57" i="16"/>
  <c r="AG60" i="16"/>
  <c r="AG56" i="16"/>
  <c r="AG57" i="16"/>
  <c r="AG58" i="16"/>
  <c r="C56" i="16"/>
  <c r="D56" i="16"/>
  <c r="X56" i="16" s="1"/>
  <c r="G56" i="16"/>
  <c r="H56" i="16" s="1"/>
  <c r="P56" i="16"/>
  <c r="C57" i="16"/>
  <c r="D57" i="16"/>
  <c r="X57" i="16" s="1"/>
  <c r="G57" i="16"/>
  <c r="P57" i="16"/>
  <c r="C58" i="16"/>
  <c r="D58" i="16"/>
  <c r="X58" i="16" s="1"/>
  <c r="G58" i="16"/>
  <c r="Q58" i="16" s="1"/>
  <c r="P58" i="16"/>
  <c r="C60" i="16"/>
  <c r="D60" i="16"/>
  <c r="X60" i="16" s="1"/>
  <c r="G60" i="16"/>
  <c r="H60" i="16" s="1"/>
  <c r="P60" i="16"/>
  <c r="F40" i="32" l="1"/>
  <c r="F20" i="32"/>
  <c r="F41" i="32"/>
  <c r="F39" i="32"/>
  <c r="F19" i="32"/>
  <c r="F42" i="32"/>
  <c r="F18" i="32"/>
  <c r="F37" i="32"/>
  <c r="F17" i="32"/>
  <c r="F22" i="32"/>
  <c r="F38" i="32"/>
  <c r="F36" i="32"/>
  <c r="F16" i="32"/>
  <c r="F15" i="32"/>
  <c r="F50" i="32"/>
  <c r="F30" i="32"/>
  <c r="F10" i="32"/>
  <c r="F52" i="32"/>
  <c r="F51" i="32"/>
  <c r="F49" i="32"/>
  <c r="F29" i="32"/>
  <c r="F9" i="32"/>
  <c r="F35" i="32"/>
  <c r="F34" i="32"/>
  <c r="F4" i="32"/>
  <c r="F31" i="32"/>
  <c r="F48" i="32"/>
  <c r="F28" i="32"/>
  <c r="F8" i="32"/>
  <c r="F13" i="32"/>
  <c r="F11" i="32"/>
  <c r="F47" i="32"/>
  <c r="F27" i="32"/>
  <c r="F7" i="32"/>
  <c r="F14" i="32"/>
  <c r="F33" i="32"/>
  <c r="F32" i="32"/>
  <c r="F46" i="32"/>
  <c r="F26" i="32"/>
  <c r="Y22" i="35"/>
  <c r="AA22" i="35" s="1"/>
  <c r="Y27" i="35"/>
  <c r="AA27" i="35" s="1"/>
  <c r="Y18" i="35"/>
  <c r="AA18" i="35" s="1"/>
  <c r="Y44" i="35"/>
  <c r="Z44" i="35" s="1"/>
  <c r="AA44" i="35" s="1"/>
  <c r="Y25" i="35"/>
  <c r="AA25" i="35" s="1"/>
  <c r="Y38" i="35"/>
  <c r="AA38" i="35" s="1"/>
  <c r="AB29" i="35"/>
  <c r="AC29" i="35" s="1"/>
  <c r="AB60" i="16"/>
  <c r="AC60" i="16" s="1"/>
  <c r="AO10" i="35"/>
  <c r="Y52" i="35"/>
  <c r="AA52" i="35" s="1"/>
  <c r="Q12" i="35"/>
  <c r="AB57" i="35"/>
  <c r="AC57" i="35" s="1"/>
  <c r="H58" i="16"/>
  <c r="Y60" i="16"/>
  <c r="AA60" i="16" s="1"/>
  <c r="H23" i="35"/>
  <c r="AB46" i="35"/>
  <c r="AC46" i="35" s="1"/>
  <c r="AB58" i="16"/>
  <c r="AC58" i="16" s="1"/>
  <c r="AB43" i="35"/>
  <c r="AC43" i="35" s="1"/>
  <c r="Y30" i="35"/>
  <c r="AA30" i="35" s="1"/>
  <c r="AB60" i="35"/>
  <c r="AC60" i="35" s="1"/>
  <c r="AB57" i="16"/>
  <c r="AC57" i="16" s="1"/>
  <c r="Q30" i="35"/>
  <c r="AB56" i="16"/>
  <c r="AC56" i="16" s="1"/>
  <c r="Y13" i="35"/>
  <c r="AA13" i="35" s="1"/>
  <c r="Y20" i="35"/>
  <c r="AA20" i="35" s="1"/>
  <c r="H20" i="35"/>
  <c r="AB20" i="35"/>
  <c r="AC20" i="35" s="1"/>
  <c r="Q25" i="35"/>
  <c r="Y42" i="35"/>
  <c r="AA42" i="35" s="1"/>
  <c r="AB50" i="35"/>
  <c r="AC50" i="35" s="1"/>
  <c r="Y35" i="35"/>
  <c r="AA35" i="35" s="1"/>
  <c r="Y58" i="35"/>
  <c r="AA58" i="35" s="1"/>
  <c r="AB17" i="35"/>
  <c r="AC17" i="35" s="1"/>
  <c r="S32" i="35"/>
  <c r="AB55" i="35"/>
  <c r="AC55" i="35" s="1"/>
  <c r="Q52" i="35"/>
  <c r="Q54" i="35"/>
  <c r="Q42" i="35"/>
  <c r="AB13" i="35"/>
  <c r="AC13" i="35" s="1"/>
  <c r="H16" i="35"/>
  <c r="Q16" i="35"/>
  <c r="AB34" i="35"/>
  <c r="AC34" i="35" s="1"/>
  <c r="Q26" i="35"/>
  <c r="H26" i="35"/>
  <c r="H38" i="35"/>
  <c r="Q38" i="35"/>
  <c r="Q40" i="35"/>
  <c r="H57" i="16"/>
  <c r="Q57" i="16"/>
  <c r="Q44" i="35"/>
  <c r="Y56" i="16"/>
  <c r="AA56" i="16" s="1"/>
  <c r="Y14" i="35"/>
  <c r="AA14" i="35" s="1"/>
  <c r="Y40" i="35"/>
  <c r="AA40" i="35" s="1"/>
  <c r="Y12" i="35"/>
  <c r="AA12" i="35" s="1"/>
  <c r="X41" i="35"/>
  <c r="Y41" i="35" s="1"/>
  <c r="AA41" i="35" s="1"/>
  <c r="AB41" i="35"/>
  <c r="AC41" i="35" s="1"/>
  <c r="Y56" i="35"/>
  <c r="AA56" i="35" s="1"/>
  <c r="Q56" i="35"/>
  <c r="Q14" i="35"/>
  <c r="X39" i="35"/>
  <c r="Y39" i="35" s="1"/>
  <c r="AA39" i="35" s="1"/>
  <c r="AB39" i="35"/>
  <c r="AC39" i="35" s="1"/>
  <c r="Y54" i="35"/>
  <c r="AA54" i="35" s="1"/>
  <c r="Y57" i="16"/>
  <c r="AA57" i="16" s="1"/>
  <c r="X26" i="35"/>
  <c r="Y26" i="35" s="1"/>
  <c r="AA26" i="35" s="1"/>
  <c r="AB26" i="35"/>
  <c r="AC26" i="35" s="1"/>
  <c r="X23" i="35"/>
  <c r="Y23" i="35" s="1"/>
  <c r="AA23" i="35" s="1"/>
  <c r="AB23" i="35"/>
  <c r="AC23" i="35" s="1"/>
  <c r="X31" i="35"/>
  <c r="Y31" i="35" s="1"/>
  <c r="AA31" i="35" s="1"/>
  <c r="AB31" i="35"/>
  <c r="AC31" i="35" s="1"/>
  <c r="X37" i="35"/>
  <c r="Y37" i="35" s="1"/>
  <c r="AA37" i="35" s="1"/>
  <c r="AB37" i="35"/>
  <c r="AC37" i="35" s="1"/>
  <c r="Q58" i="35"/>
  <c r="X15" i="35"/>
  <c r="Y15" i="35" s="1"/>
  <c r="AA15" i="35" s="1"/>
  <c r="AB15" i="35"/>
  <c r="AC15" i="35" s="1"/>
  <c r="W48" i="35"/>
  <c r="Y17" i="35"/>
  <c r="AA17" i="35" s="1"/>
  <c r="H22" i="35"/>
  <c r="Q22" i="35"/>
  <c r="Y58" i="16"/>
  <c r="AA58" i="16" s="1"/>
  <c r="Y57" i="35"/>
  <c r="AA57" i="35" s="1"/>
  <c r="X53" i="35"/>
  <c r="Y53" i="35" s="1"/>
  <c r="AA53" i="35" s="1"/>
  <c r="AB53" i="35"/>
  <c r="AC53" i="35" s="1"/>
  <c r="Y60" i="35"/>
  <c r="AA60" i="35" s="1"/>
  <c r="Q35" i="35"/>
  <c r="S48" i="35"/>
  <c r="H41" i="35"/>
  <c r="AB44" i="35"/>
  <c r="AC44" i="35" s="1"/>
  <c r="H50" i="35"/>
  <c r="H43" i="35"/>
  <c r="H60" i="35"/>
  <c r="AB35" i="35"/>
  <c r="AC35" i="35" s="1"/>
  <c r="H34" i="35"/>
  <c r="H39" i="35"/>
  <c r="L37" i="35"/>
  <c r="R37" i="35" s="1"/>
  <c r="AB16" i="35"/>
  <c r="AC16" i="35" s="1"/>
  <c r="AB38" i="35"/>
  <c r="AC38" i="35" s="1"/>
  <c r="H37" i="35"/>
  <c r="AB14" i="35"/>
  <c r="AC14" i="35" s="1"/>
  <c r="H31" i="35"/>
  <c r="AB40" i="35"/>
  <c r="AC40" i="35" s="1"/>
  <c r="H46" i="35"/>
  <c r="X16" i="35"/>
  <c r="Y16" i="35" s="1"/>
  <c r="AA16" i="35" s="1"/>
  <c r="W32" i="35"/>
  <c r="AB42" i="35"/>
  <c r="AC42" i="35" s="1"/>
  <c r="Y55" i="35"/>
  <c r="AA55" i="35" s="1"/>
  <c r="H57" i="35"/>
  <c r="H55" i="35"/>
  <c r="H15" i="35"/>
  <c r="AB22" i="35"/>
  <c r="AC22" i="35" s="1"/>
  <c r="Y50" i="35"/>
  <c r="AA50" i="35" s="1"/>
  <c r="AB18" i="35"/>
  <c r="AC18" i="35" s="1"/>
  <c r="H17" i="35"/>
  <c r="AB25" i="35"/>
  <c r="AC25" i="35" s="1"/>
  <c r="AB27" i="35"/>
  <c r="AC27" i="35" s="1"/>
  <c r="H53" i="35"/>
  <c r="AB12" i="35"/>
  <c r="AC12" i="35" s="1"/>
  <c r="H13" i="35"/>
  <c r="AB30" i="35"/>
  <c r="AC30" i="35" s="1"/>
  <c r="AB32" i="35"/>
  <c r="AC32" i="35" s="1"/>
  <c r="Y34" i="35"/>
  <c r="AA34" i="35" s="1"/>
  <c r="Y43" i="35"/>
  <c r="AA43" i="35" s="1"/>
  <c r="Y46" i="35"/>
  <c r="AA46" i="35" s="1"/>
  <c r="AB48" i="35"/>
  <c r="AC48" i="35" s="1"/>
  <c r="AB52" i="35"/>
  <c r="AC52" i="35" s="1"/>
  <c r="AB54" i="35"/>
  <c r="AC54" i="35" s="1"/>
  <c r="AB56" i="35"/>
  <c r="AC56" i="35" s="1"/>
  <c r="AB58" i="35"/>
  <c r="AC58" i="35" s="1"/>
  <c r="H18" i="35"/>
  <c r="H27" i="35"/>
  <c r="H44" i="35"/>
  <c r="H52" i="35"/>
  <c r="H54" i="35"/>
  <c r="H56" i="35"/>
  <c r="H58" i="35"/>
  <c r="Q60" i="16"/>
  <c r="Q56" i="16"/>
  <c r="AD37" i="35" l="1"/>
  <c r="AE37" i="35" s="1"/>
  <c r="AF37" i="35" s="1"/>
  <c r="AH37" i="35" s="1"/>
  <c r="AI37" i="35" s="1"/>
  <c r="D103" i="32" l="1"/>
  <c r="D163" i="32"/>
  <c r="C163" i="32"/>
  <c r="C103" i="32"/>
  <c r="D3" i="32"/>
  <c r="D53" i="32"/>
  <c r="C53" i="32"/>
  <c r="C3" i="32"/>
  <c r="C13" i="21"/>
  <c r="C23" i="21"/>
  <c r="C33" i="21"/>
  <c r="C43" i="21"/>
  <c r="D4" i="21"/>
  <c r="D155" i="21"/>
  <c r="D156" i="21"/>
  <c r="D157" i="21"/>
  <c r="D158" i="21"/>
  <c r="D159" i="21"/>
  <c r="D160" i="21"/>
  <c r="D161" i="21"/>
  <c r="D162" i="21"/>
  <c r="D154" i="21"/>
  <c r="D145" i="21"/>
  <c r="D146" i="21"/>
  <c r="D147" i="21"/>
  <c r="D148" i="21"/>
  <c r="D149" i="21"/>
  <c r="D150" i="21"/>
  <c r="D151" i="21"/>
  <c r="D152" i="21"/>
  <c r="D144" i="21"/>
  <c r="D135" i="21"/>
  <c r="D136" i="21"/>
  <c r="D137" i="21"/>
  <c r="D138" i="21"/>
  <c r="D139" i="21"/>
  <c r="D140" i="21"/>
  <c r="D141" i="21"/>
  <c r="D142" i="21"/>
  <c r="D134" i="21"/>
  <c r="D125" i="21"/>
  <c r="D126" i="21"/>
  <c r="D127" i="21"/>
  <c r="D128" i="21"/>
  <c r="D129" i="21"/>
  <c r="D130" i="21"/>
  <c r="D131" i="21"/>
  <c r="D132" i="21"/>
  <c r="D124" i="21"/>
  <c r="D115" i="21"/>
  <c r="D116" i="21"/>
  <c r="D117" i="21"/>
  <c r="D118" i="21"/>
  <c r="D119" i="21"/>
  <c r="D120" i="21"/>
  <c r="D121" i="21"/>
  <c r="D122" i="21"/>
  <c r="D114" i="21"/>
  <c r="D105" i="21"/>
  <c r="D106" i="21"/>
  <c r="D107" i="21"/>
  <c r="D108" i="21"/>
  <c r="D109" i="21"/>
  <c r="D110" i="21"/>
  <c r="D111" i="21"/>
  <c r="D112" i="21"/>
  <c r="D104" i="21"/>
  <c r="D95" i="21"/>
  <c r="D96" i="21"/>
  <c r="D97" i="21"/>
  <c r="D98" i="21"/>
  <c r="D99" i="21"/>
  <c r="D100" i="21"/>
  <c r="D101" i="21"/>
  <c r="D102" i="21"/>
  <c r="D94" i="21"/>
  <c r="D85" i="21"/>
  <c r="D86" i="21"/>
  <c r="D87" i="21"/>
  <c r="D88" i="21"/>
  <c r="D89" i="21"/>
  <c r="D90" i="21"/>
  <c r="D91" i="21"/>
  <c r="D92" i="21"/>
  <c r="D84" i="21"/>
  <c r="D75" i="21"/>
  <c r="D76" i="21"/>
  <c r="D77" i="21"/>
  <c r="D78" i="21"/>
  <c r="D79" i="21"/>
  <c r="D80" i="21"/>
  <c r="D81" i="21"/>
  <c r="D82" i="21"/>
  <c r="D74" i="21"/>
  <c r="D65" i="21"/>
  <c r="D66" i="21"/>
  <c r="D67" i="21"/>
  <c r="D68" i="21"/>
  <c r="D69" i="21"/>
  <c r="D70" i="21"/>
  <c r="D71" i="21"/>
  <c r="D72" i="21"/>
  <c r="D64" i="21"/>
  <c r="D55" i="21"/>
  <c r="D56" i="21"/>
  <c r="D57" i="21"/>
  <c r="D58" i="21"/>
  <c r="D59" i="21"/>
  <c r="D60" i="21"/>
  <c r="D61" i="21"/>
  <c r="D62" i="21"/>
  <c r="D54" i="21"/>
  <c r="D45" i="21"/>
  <c r="D46" i="21"/>
  <c r="D47" i="21"/>
  <c r="D48" i="21"/>
  <c r="D49" i="21"/>
  <c r="D50" i="21"/>
  <c r="D51" i="21"/>
  <c r="D52" i="21"/>
  <c r="D44" i="21"/>
  <c r="D35" i="21"/>
  <c r="D36" i="21"/>
  <c r="D37" i="21"/>
  <c r="D38" i="21"/>
  <c r="D39" i="21"/>
  <c r="D40" i="21"/>
  <c r="D41" i="21"/>
  <c r="D42" i="21"/>
  <c r="D34" i="21"/>
  <c r="D25" i="21"/>
  <c r="D26" i="21"/>
  <c r="D27" i="21"/>
  <c r="D28" i="21"/>
  <c r="D29" i="21"/>
  <c r="D30" i="21"/>
  <c r="D31" i="21"/>
  <c r="D32" i="21"/>
  <c r="D24" i="21"/>
  <c r="D15" i="21"/>
  <c r="D16" i="21"/>
  <c r="D17" i="21"/>
  <c r="D18" i="21"/>
  <c r="D19" i="21"/>
  <c r="D20" i="21"/>
  <c r="D21" i="21"/>
  <c r="D22" i="21"/>
  <c r="D14" i="21"/>
  <c r="D5" i="21"/>
  <c r="D6" i="21"/>
  <c r="D7" i="21"/>
  <c r="D8" i="21"/>
  <c r="D9" i="21"/>
  <c r="D10" i="21"/>
  <c r="D11" i="21"/>
  <c r="D12" i="21"/>
  <c r="AE91" i="31"/>
  <c r="AD91" i="31"/>
  <c r="AC91" i="31"/>
  <c r="AB91" i="31"/>
  <c r="AE90" i="31"/>
  <c r="AD90" i="31"/>
  <c r="AC90" i="31"/>
  <c r="AB90" i="31"/>
  <c r="AE89" i="31"/>
  <c r="AD89" i="31"/>
  <c r="AC89" i="31"/>
  <c r="AB89" i="31"/>
  <c r="AE88" i="31"/>
  <c r="AD88" i="31"/>
  <c r="AC88" i="31"/>
  <c r="AB88" i="31"/>
  <c r="AE87" i="31"/>
  <c r="AD87" i="31"/>
  <c r="AC87" i="31"/>
  <c r="AB87" i="31"/>
  <c r="AE86" i="31"/>
  <c r="AD86" i="31"/>
  <c r="AC86" i="31"/>
  <c r="AB86" i="31"/>
  <c r="AE85" i="31"/>
  <c r="AD85" i="31"/>
  <c r="AC85" i="31"/>
  <c r="AB85" i="31"/>
  <c r="AE84" i="31"/>
  <c r="AD84" i="31"/>
  <c r="AC84" i="31"/>
  <c r="AB84" i="31"/>
  <c r="AE83" i="31"/>
  <c r="AD83" i="31"/>
  <c r="AC83" i="31"/>
  <c r="AB83" i="31"/>
  <c r="AE82" i="31"/>
  <c r="AD82" i="31"/>
  <c r="AC82" i="31"/>
  <c r="AB82" i="31"/>
  <c r="AE81" i="31"/>
  <c r="AD81" i="31"/>
  <c r="AC81" i="31"/>
  <c r="AB81" i="31"/>
  <c r="AE80" i="31"/>
  <c r="AD80" i="31"/>
  <c r="AC80" i="31"/>
  <c r="AB80" i="31"/>
  <c r="AE79" i="31"/>
  <c r="AD79" i="31"/>
  <c r="AC79" i="31"/>
  <c r="AB79" i="31"/>
  <c r="AE78" i="31"/>
  <c r="AD78" i="31"/>
  <c r="AC78" i="31"/>
  <c r="AB78" i="31"/>
  <c r="AE77" i="31"/>
  <c r="AD77" i="31"/>
  <c r="AC77" i="31"/>
  <c r="AB77" i="31"/>
  <c r="AE76" i="31"/>
  <c r="AD76" i="31"/>
  <c r="AC76" i="31"/>
  <c r="AB76" i="31"/>
  <c r="AE75" i="31"/>
  <c r="AD75" i="31"/>
  <c r="AC75" i="31"/>
  <c r="AB75" i="31"/>
  <c r="AE74" i="31"/>
  <c r="AD74" i="31"/>
  <c r="AC74" i="31"/>
  <c r="AB74" i="31"/>
  <c r="AE73" i="31"/>
  <c r="AD73" i="31"/>
  <c r="AC73" i="31"/>
  <c r="AB73" i="31"/>
  <c r="AE72" i="31"/>
  <c r="AD72" i="31"/>
  <c r="AC72" i="31"/>
  <c r="AB72" i="31"/>
  <c r="AE71" i="31"/>
  <c r="AD71" i="31"/>
  <c r="AC71" i="31"/>
  <c r="AB71" i="31"/>
  <c r="AE70" i="31"/>
  <c r="AD70" i="31"/>
  <c r="AC70" i="31"/>
  <c r="AB70" i="31"/>
  <c r="AE69" i="31"/>
  <c r="AD69" i="31"/>
  <c r="AC69" i="31"/>
  <c r="AB69" i="31"/>
  <c r="AE68" i="31"/>
  <c r="AD68" i="31"/>
  <c r="AC68" i="31"/>
  <c r="AB68" i="31"/>
  <c r="AE67" i="31"/>
  <c r="AD67" i="31"/>
  <c r="AC67" i="31"/>
  <c r="AB67" i="31"/>
  <c r="AE66" i="31"/>
  <c r="AD66" i="31"/>
  <c r="AC66" i="31"/>
  <c r="AB66" i="31"/>
  <c r="AE65" i="31"/>
  <c r="AB65" i="31"/>
  <c r="P65" i="31"/>
  <c r="X65" i="31" s="1"/>
  <c r="V65" i="31" s="1"/>
  <c r="J65" i="31"/>
  <c r="AE64" i="31"/>
  <c r="AD64" i="31"/>
  <c r="AC64" i="31"/>
  <c r="AB64" i="31"/>
  <c r="AE63" i="31"/>
  <c r="AB63" i="31"/>
  <c r="P63" i="31"/>
  <c r="AC63" i="31" s="1"/>
  <c r="AE62" i="31"/>
  <c r="AB62" i="31"/>
  <c r="P62" i="31"/>
  <c r="AC62" i="31" s="1"/>
  <c r="AE61" i="31"/>
  <c r="AB61" i="31"/>
  <c r="P61" i="31"/>
  <c r="AC61" i="31" s="1"/>
  <c r="J61" i="31"/>
  <c r="AE60" i="31"/>
  <c r="AB60" i="31"/>
  <c r="P60" i="31"/>
  <c r="AE59" i="31"/>
  <c r="AB59" i="31"/>
  <c r="P59" i="31"/>
  <c r="J59" i="31"/>
  <c r="AE58" i="31"/>
  <c r="AB58" i="31"/>
  <c r="P58" i="31"/>
  <c r="AE57" i="31"/>
  <c r="AB57" i="31"/>
  <c r="P57" i="31"/>
  <c r="J57" i="31"/>
  <c r="AE55" i="31"/>
  <c r="AB55" i="31"/>
  <c r="P55" i="31"/>
  <c r="J55" i="31"/>
  <c r="AE53" i="31"/>
  <c r="AB53" i="31"/>
  <c r="P53" i="31"/>
  <c r="AC53" i="31" s="1"/>
  <c r="AE51" i="31"/>
  <c r="AB51" i="31"/>
  <c r="P51" i="31"/>
  <c r="AC51" i="31" s="1"/>
  <c r="AE50" i="31"/>
  <c r="AB50" i="31"/>
  <c r="P50" i="31"/>
  <c r="AC50" i="31" s="1"/>
  <c r="AE49" i="31"/>
  <c r="AB49" i="31"/>
  <c r="P49" i="31"/>
  <c r="AC49" i="31" s="1"/>
  <c r="J49" i="31"/>
  <c r="AE48" i="31"/>
  <c r="AB48" i="31"/>
  <c r="P48" i="31"/>
  <c r="X48" i="31" s="1"/>
  <c r="V48" i="31" s="1"/>
  <c r="AE46" i="31"/>
  <c r="AB46" i="31"/>
  <c r="P46" i="31"/>
  <c r="AC46" i="31" s="1"/>
  <c r="AE45" i="31"/>
  <c r="AB45" i="31"/>
  <c r="P45" i="31"/>
  <c r="AE44" i="31"/>
  <c r="AB44" i="31"/>
  <c r="P44" i="31"/>
  <c r="X44" i="31" s="1"/>
  <c r="V44" i="31" s="1"/>
  <c r="AE43" i="31"/>
  <c r="AB43" i="31"/>
  <c r="P43" i="31"/>
  <c r="AC43" i="31" s="1"/>
  <c r="AE42" i="31"/>
  <c r="AB42" i="31"/>
  <c r="P42" i="31"/>
  <c r="AC42" i="31" s="1"/>
  <c r="AE41" i="31"/>
  <c r="AB41" i="31"/>
  <c r="P41" i="31"/>
  <c r="AE40" i="31"/>
  <c r="AB40" i="31"/>
  <c r="P40" i="31"/>
  <c r="AC40" i="31" s="1"/>
  <c r="AE39" i="31"/>
  <c r="AD39" i="31"/>
  <c r="AB39" i="31"/>
  <c r="P39" i="31"/>
  <c r="X39" i="31" s="1"/>
  <c r="V39" i="31" s="1"/>
  <c r="J39" i="31"/>
  <c r="E39" i="31"/>
  <c r="AE38" i="31"/>
  <c r="AD38" i="31"/>
  <c r="AC38" i="31"/>
  <c r="AB38" i="31"/>
  <c r="AE37" i="31"/>
  <c r="AB37" i="31"/>
  <c r="P37" i="31"/>
  <c r="J37" i="31"/>
  <c r="AE36" i="31"/>
  <c r="AB36" i="31"/>
  <c r="P36" i="31"/>
  <c r="X36" i="31" s="1"/>
  <c r="V36" i="31" s="1"/>
  <c r="J36" i="31"/>
  <c r="AE34" i="31"/>
  <c r="AB34" i="31"/>
  <c r="P34" i="31"/>
  <c r="AC34" i="31" s="1"/>
  <c r="AE33" i="31"/>
  <c r="AB33" i="31"/>
  <c r="P33" i="31"/>
  <c r="X33" i="31" s="1"/>
  <c r="V33" i="31" s="1"/>
  <c r="J33" i="31"/>
  <c r="AE32" i="31"/>
  <c r="AB32" i="31"/>
  <c r="P32" i="31"/>
  <c r="AC32" i="31" s="1"/>
  <c r="AE31" i="31"/>
  <c r="AB31" i="31"/>
  <c r="P31" i="31"/>
  <c r="AC31" i="31" s="1"/>
  <c r="AE29" i="31"/>
  <c r="AB29" i="31"/>
  <c r="P29" i="31"/>
  <c r="AC29" i="31" s="1"/>
  <c r="AE28" i="31"/>
  <c r="AC28" i="31"/>
  <c r="AB28" i="31"/>
  <c r="X28" i="31"/>
  <c r="V28" i="31" s="1"/>
  <c r="J28" i="31"/>
  <c r="AE27" i="31"/>
  <c r="AB27" i="31"/>
  <c r="P27" i="31"/>
  <c r="AC27" i="31" s="1"/>
  <c r="J27" i="31"/>
  <c r="AE25" i="31"/>
  <c r="AB25" i="31"/>
  <c r="P25" i="31"/>
  <c r="AC25" i="31" s="1"/>
  <c r="AE24" i="31"/>
  <c r="AB24" i="31"/>
  <c r="P24" i="31"/>
  <c r="AC24" i="31" s="1"/>
  <c r="J24" i="31"/>
  <c r="AE22" i="31"/>
  <c r="AB22" i="31"/>
  <c r="P22" i="31"/>
  <c r="X22" i="31" s="1"/>
  <c r="V22" i="31" s="1"/>
  <c r="J22" i="31"/>
  <c r="AE20" i="31"/>
  <c r="AB20" i="31"/>
  <c r="P20" i="31"/>
  <c r="X20" i="31" s="1"/>
  <c r="V20" i="31" s="1"/>
  <c r="AE19" i="31"/>
  <c r="AB19" i="31"/>
  <c r="P19" i="31"/>
  <c r="AC19" i="31" s="1"/>
  <c r="AE18" i="31"/>
  <c r="AC18" i="31"/>
  <c r="AB18" i="31"/>
  <c r="X18" i="31"/>
  <c r="V18" i="31" s="1"/>
  <c r="J18" i="31"/>
  <c r="AE17" i="31"/>
  <c r="AB17" i="31"/>
  <c r="P17" i="31"/>
  <c r="X17" i="31" s="1"/>
  <c r="V17" i="31" s="1"/>
  <c r="AE16" i="31"/>
  <c r="AC16" i="31"/>
  <c r="AB16" i="31"/>
  <c r="X16" i="31"/>
  <c r="V16" i="31" s="1"/>
  <c r="J16" i="31"/>
  <c r="AE15" i="31"/>
  <c r="AB15" i="31"/>
  <c r="P15" i="31"/>
  <c r="J15" i="31"/>
  <c r="AE14" i="31"/>
  <c r="AB14" i="31"/>
  <c r="P14" i="31"/>
  <c r="J14" i="31"/>
  <c r="AG32" i="16"/>
  <c r="C54" i="32" l="1"/>
  <c r="C26" i="21"/>
  <c r="C109" i="32"/>
  <c r="D121" i="32"/>
  <c r="D70" i="32"/>
  <c r="D145" i="32"/>
  <c r="D130" i="32"/>
  <c r="C11" i="21"/>
  <c r="D152" i="32"/>
  <c r="D143" i="32"/>
  <c r="D138" i="32"/>
  <c r="D127" i="32"/>
  <c r="D108" i="32"/>
  <c r="C6" i="21"/>
  <c r="K36" i="31"/>
  <c r="C59" i="32"/>
  <c r="C120" i="32"/>
  <c r="K39" i="31"/>
  <c r="C55" i="32"/>
  <c r="C159" i="32"/>
  <c r="X19" i="31"/>
  <c r="V19" i="31" s="1"/>
  <c r="C97" i="32"/>
  <c r="D107" i="32"/>
  <c r="K28" i="31"/>
  <c r="C12" i="21"/>
  <c r="C89" i="32"/>
  <c r="D160" i="32"/>
  <c r="D105" i="32"/>
  <c r="C78" i="32"/>
  <c r="D154" i="32"/>
  <c r="C105" i="32"/>
  <c r="C77" i="32"/>
  <c r="C75" i="32"/>
  <c r="D151" i="32"/>
  <c r="C70" i="32"/>
  <c r="D149" i="32"/>
  <c r="AG64" i="31"/>
  <c r="AJ64" i="31" s="1"/>
  <c r="AK64" i="31" s="1"/>
  <c r="AL64" i="31" s="1"/>
  <c r="C69" i="32"/>
  <c r="D146" i="32"/>
  <c r="C7" i="21"/>
  <c r="D132" i="32"/>
  <c r="X51" i="31"/>
  <c r="V51" i="31" s="1"/>
  <c r="AG70" i="31"/>
  <c r="AJ70" i="31" s="1"/>
  <c r="AK70" i="31" s="1"/>
  <c r="AL70" i="31" s="1"/>
  <c r="AG75" i="31"/>
  <c r="AJ75" i="31" s="1"/>
  <c r="AK75" i="31" s="1"/>
  <c r="AL75" i="31" s="1"/>
  <c r="C158" i="32"/>
  <c r="D129" i="32"/>
  <c r="C151" i="32"/>
  <c r="K18" i="31"/>
  <c r="D14" i="32"/>
  <c r="C150" i="32"/>
  <c r="D123" i="32"/>
  <c r="C19" i="21"/>
  <c r="K33" i="31"/>
  <c r="C46" i="32"/>
  <c r="C118" i="32"/>
  <c r="D122" i="32"/>
  <c r="C43" i="32"/>
  <c r="C117" i="32"/>
  <c r="D120" i="32"/>
  <c r="K27" i="31"/>
  <c r="C20" i="32"/>
  <c r="C110" i="32"/>
  <c r="D116" i="32"/>
  <c r="C10" i="32"/>
  <c r="D110" i="32"/>
  <c r="D66" i="32"/>
  <c r="D6" i="32"/>
  <c r="D51" i="32"/>
  <c r="D28" i="32"/>
  <c r="D5" i="32"/>
  <c r="D86" i="32"/>
  <c r="C149" i="32"/>
  <c r="C41" i="32"/>
  <c r="D50" i="32"/>
  <c r="D27" i="32"/>
  <c r="C121" i="32"/>
  <c r="C58" i="32"/>
  <c r="D85" i="32"/>
  <c r="D63" i="32"/>
  <c r="C145" i="32"/>
  <c r="D142" i="32"/>
  <c r="D119" i="32"/>
  <c r="C5" i="21"/>
  <c r="C40" i="32"/>
  <c r="D49" i="32"/>
  <c r="D26" i="32"/>
  <c r="C99" i="32"/>
  <c r="C57" i="32"/>
  <c r="D84" i="32"/>
  <c r="D62" i="32"/>
  <c r="C139" i="32"/>
  <c r="D104" i="32"/>
  <c r="D140" i="32"/>
  <c r="D118" i="32"/>
  <c r="K16" i="31"/>
  <c r="K37" i="31"/>
  <c r="C36" i="32"/>
  <c r="D48" i="32"/>
  <c r="D25" i="32"/>
  <c r="C98" i="32"/>
  <c r="C56" i="32"/>
  <c r="D83" i="32"/>
  <c r="D61" i="32"/>
  <c r="C138" i="32"/>
  <c r="D162" i="32"/>
  <c r="D139" i="32"/>
  <c r="D117" i="32"/>
  <c r="D52" i="32"/>
  <c r="D29" i="32"/>
  <c r="D87" i="32"/>
  <c r="C30" i="32"/>
  <c r="D47" i="32"/>
  <c r="D22" i="32"/>
  <c r="D82" i="32"/>
  <c r="D60" i="32"/>
  <c r="C137" i="32"/>
  <c r="C48" i="21"/>
  <c r="C29" i="32"/>
  <c r="D46" i="32"/>
  <c r="D20" i="32"/>
  <c r="C96" i="32"/>
  <c r="D81" i="32"/>
  <c r="D59" i="32"/>
  <c r="C136" i="32"/>
  <c r="D159" i="32"/>
  <c r="D137" i="32"/>
  <c r="D115" i="32"/>
  <c r="C42" i="32"/>
  <c r="K49" i="31"/>
  <c r="AC22" i="31"/>
  <c r="C28" i="32"/>
  <c r="D45" i="32"/>
  <c r="D19" i="32"/>
  <c r="C95" i="32"/>
  <c r="D102" i="32"/>
  <c r="D80" i="32"/>
  <c r="D58" i="32"/>
  <c r="C135" i="32"/>
  <c r="D158" i="32"/>
  <c r="D136" i="32"/>
  <c r="D114" i="32"/>
  <c r="D30" i="32"/>
  <c r="D65" i="32"/>
  <c r="AG89" i="31"/>
  <c r="AH89" i="31" s="1"/>
  <c r="AI89" i="31" s="1"/>
  <c r="K59" i="31"/>
  <c r="C27" i="32"/>
  <c r="D42" i="32"/>
  <c r="D18" i="32"/>
  <c r="C92" i="32"/>
  <c r="D101" i="32"/>
  <c r="D79" i="32"/>
  <c r="D57" i="32"/>
  <c r="C132" i="32"/>
  <c r="D157" i="32"/>
  <c r="D135" i="32"/>
  <c r="D113" i="32"/>
  <c r="K65" i="31"/>
  <c r="C26" i="32"/>
  <c r="D40" i="32"/>
  <c r="D17" i="32"/>
  <c r="C91" i="32"/>
  <c r="D100" i="32"/>
  <c r="D78" i="32"/>
  <c r="D56" i="32"/>
  <c r="C131" i="32"/>
  <c r="D156" i="32"/>
  <c r="D134" i="32"/>
  <c r="D112" i="32"/>
  <c r="K57" i="31"/>
  <c r="D64" i="32"/>
  <c r="C23" i="32"/>
  <c r="D39" i="32"/>
  <c r="D16" i="32"/>
  <c r="C90" i="32"/>
  <c r="D99" i="32"/>
  <c r="D77" i="32"/>
  <c r="C130" i="32"/>
  <c r="D155" i="32"/>
  <c r="D133" i="32"/>
  <c r="D111" i="32"/>
  <c r="D15" i="32"/>
  <c r="D4" i="32"/>
  <c r="D7" i="32"/>
  <c r="D88" i="32"/>
  <c r="C22" i="32"/>
  <c r="D38" i="32"/>
  <c r="D98" i="32"/>
  <c r="D76" i="32"/>
  <c r="C129" i="32"/>
  <c r="AC44" i="31"/>
  <c r="C21" i="32"/>
  <c r="D37" i="32"/>
  <c r="C79" i="32"/>
  <c r="D97" i="32"/>
  <c r="D75" i="32"/>
  <c r="C119" i="32"/>
  <c r="D153" i="32"/>
  <c r="D131" i="32"/>
  <c r="D109" i="32"/>
  <c r="D74" i="32"/>
  <c r="D36" i="32"/>
  <c r="D13" i="32"/>
  <c r="D96" i="32"/>
  <c r="D21" i="32"/>
  <c r="D35" i="32"/>
  <c r="D12" i="32"/>
  <c r="D95" i="32"/>
  <c r="D72" i="32"/>
  <c r="K61" i="31"/>
  <c r="AG66" i="31"/>
  <c r="AJ66" i="31" s="1"/>
  <c r="AK66" i="31" s="1"/>
  <c r="AL66" i="31" s="1"/>
  <c r="AG86" i="31"/>
  <c r="AJ86" i="31" s="1"/>
  <c r="AK86" i="31" s="1"/>
  <c r="AL86" i="31" s="1"/>
  <c r="C50" i="32"/>
  <c r="C9" i="32"/>
  <c r="D34" i="32"/>
  <c r="D11" i="32"/>
  <c r="C76" i="32"/>
  <c r="D94" i="32"/>
  <c r="D71" i="32"/>
  <c r="C157" i="32"/>
  <c r="C116" i="32"/>
  <c r="D150" i="32"/>
  <c r="D128" i="32"/>
  <c r="D106" i="32"/>
  <c r="C8" i="32"/>
  <c r="D69" i="32"/>
  <c r="C48" i="32"/>
  <c r="C7" i="32"/>
  <c r="D32" i="32"/>
  <c r="D9" i="32"/>
  <c r="C72" i="32"/>
  <c r="D91" i="32"/>
  <c r="D68" i="32"/>
  <c r="C155" i="32"/>
  <c r="C112" i="32"/>
  <c r="D148" i="32"/>
  <c r="D126" i="32"/>
  <c r="C49" i="32"/>
  <c r="D33" i="32"/>
  <c r="D10" i="32"/>
  <c r="D92" i="32"/>
  <c r="C156" i="32"/>
  <c r="C115" i="32"/>
  <c r="K15" i="31"/>
  <c r="C47" i="32"/>
  <c r="C6" i="32"/>
  <c r="D31" i="32"/>
  <c r="D8" i="32"/>
  <c r="C71" i="32"/>
  <c r="D89" i="32"/>
  <c r="D67" i="32"/>
  <c r="C152" i="32"/>
  <c r="C111" i="32"/>
  <c r="D147" i="32"/>
  <c r="D125" i="32"/>
  <c r="X50" i="31"/>
  <c r="V50" i="31" s="1"/>
  <c r="C52" i="21"/>
  <c r="C51" i="21"/>
  <c r="AC36" i="31"/>
  <c r="C50" i="21"/>
  <c r="C4" i="21"/>
  <c r="C45" i="32"/>
  <c r="C25" i="32"/>
  <c r="C5" i="32"/>
  <c r="C94" i="32"/>
  <c r="C74" i="32"/>
  <c r="C154" i="32"/>
  <c r="C134" i="32"/>
  <c r="C114" i="32"/>
  <c r="X27" i="31"/>
  <c r="V27" i="31" s="1"/>
  <c r="C49" i="21"/>
  <c r="C44" i="32"/>
  <c r="C24" i="32"/>
  <c r="C93" i="32"/>
  <c r="C73" i="32"/>
  <c r="C153" i="32"/>
  <c r="C133" i="32"/>
  <c r="C113" i="32"/>
  <c r="AG84" i="31"/>
  <c r="AJ84" i="31" s="1"/>
  <c r="AK84" i="31" s="1"/>
  <c r="AL84" i="31" s="1"/>
  <c r="C46" i="21"/>
  <c r="AC39" i="31"/>
  <c r="AG39" i="31" s="1"/>
  <c r="C44" i="21"/>
  <c r="C39" i="32"/>
  <c r="C19" i="32"/>
  <c r="C88" i="32"/>
  <c r="C68" i="32"/>
  <c r="C148" i="32"/>
  <c r="C128" i="32"/>
  <c r="C108" i="32"/>
  <c r="C22" i="21"/>
  <c r="C38" i="32"/>
  <c r="C18" i="32"/>
  <c r="C87" i="32"/>
  <c r="C67" i="32"/>
  <c r="C147" i="32"/>
  <c r="C127" i="32"/>
  <c r="C107" i="32"/>
  <c r="C45" i="21"/>
  <c r="C21" i="21"/>
  <c r="C37" i="32"/>
  <c r="C17" i="32"/>
  <c r="C86" i="32"/>
  <c r="C66" i="32"/>
  <c r="C146" i="32"/>
  <c r="C126" i="32"/>
  <c r="C106" i="32"/>
  <c r="C47" i="21"/>
  <c r="C20" i="21"/>
  <c r="C85" i="32"/>
  <c r="C65" i="32"/>
  <c r="C125" i="32"/>
  <c r="X43" i="31"/>
  <c r="V43" i="31" s="1"/>
  <c r="X49" i="31"/>
  <c r="V49" i="31" s="1"/>
  <c r="X62" i="31"/>
  <c r="V62" i="31" s="1"/>
  <c r="AG71" i="31"/>
  <c r="AH71" i="31" s="1"/>
  <c r="AI71" i="31" s="1"/>
  <c r="C18" i="21"/>
  <c r="C35" i="32"/>
  <c r="C15" i="32"/>
  <c r="D44" i="32"/>
  <c r="D24" i="32"/>
  <c r="C84" i="32"/>
  <c r="C64" i="32"/>
  <c r="D93" i="32"/>
  <c r="D73" i="32"/>
  <c r="K55" i="31" s="1"/>
  <c r="C144" i="32"/>
  <c r="C124" i="32"/>
  <c r="D144" i="32"/>
  <c r="D124" i="32"/>
  <c r="AG90" i="31"/>
  <c r="AJ90" i="31" s="1"/>
  <c r="AK90" i="31" s="1"/>
  <c r="AL90" i="31" s="1"/>
  <c r="C17" i="21"/>
  <c r="C34" i="32"/>
  <c r="C14" i="32"/>
  <c r="D43" i="32"/>
  <c r="D23" i="32"/>
  <c r="C83" i="32"/>
  <c r="C63" i="32"/>
  <c r="C104" i="32"/>
  <c r="C143" i="32"/>
  <c r="C123" i="32"/>
  <c r="C16" i="32"/>
  <c r="C16" i="21"/>
  <c r="C4" i="32"/>
  <c r="C33" i="32"/>
  <c r="C13" i="32"/>
  <c r="C102" i="32"/>
  <c r="C82" i="32"/>
  <c r="C62" i="32"/>
  <c r="C162" i="32"/>
  <c r="C142" i="32"/>
  <c r="C122" i="32"/>
  <c r="AG76" i="31"/>
  <c r="AJ76" i="31" s="1"/>
  <c r="AK76" i="31" s="1"/>
  <c r="AL76" i="31" s="1"/>
  <c r="C15" i="21"/>
  <c r="C52" i="32"/>
  <c r="C32" i="32"/>
  <c r="C12" i="32"/>
  <c r="D41" i="32"/>
  <c r="C101" i="32"/>
  <c r="C81" i="32"/>
  <c r="C61" i="32"/>
  <c r="D90" i="32"/>
  <c r="C161" i="32"/>
  <c r="C141" i="32"/>
  <c r="D161" i="32"/>
  <c r="D141" i="32"/>
  <c r="C14" i="21"/>
  <c r="C51" i="32"/>
  <c r="C31" i="32"/>
  <c r="C11" i="32"/>
  <c r="C100" i="32"/>
  <c r="C80" i="32"/>
  <c r="C60" i="32"/>
  <c r="C160" i="32"/>
  <c r="C140" i="32"/>
  <c r="X24" i="31"/>
  <c r="V24" i="31" s="1"/>
  <c r="X42" i="31"/>
  <c r="V42" i="31" s="1"/>
  <c r="AG38" i="31"/>
  <c r="AC48" i="31"/>
  <c r="X29" i="31"/>
  <c r="V29" i="31" s="1"/>
  <c r="AC17" i="31"/>
  <c r="X40" i="31"/>
  <c r="V40" i="31" s="1"/>
  <c r="AC20" i="31"/>
  <c r="X61" i="31"/>
  <c r="V61" i="31" s="1"/>
  <c r="X63" i="31"/>
  <c r="V63" i="31" s="1"/>
  <c r="C10" i="21"/>
  <c r="C9" i="21"/>
  <c r="C8" i="21"/>
  <c r="C40" i="21"/>
  <c r="C39" i="21"/>
  <c r="C37" i="21"/>
  <c r="C38" i="21"/>
  <c r="C36" i="21"/>
  <c r="C35" i="21"/>
  <c r="C42" i="21"/>
  <c r="C34" i="21"/>
  <c r="C32" i="21"/>
  <c r="C31" i="21"/>
  <c r="C30" i="21"/>
  <c r="C41" i="21"/>
  <c r="C29" i="21"/>
  <c r="C28" i="21"/>
  <c r="C27" i="21"/>
  <c r="C24" i="21"/>
  <c r="C25" i="21"/>
  <c r="AG88" i="31"/>
  <c r="X58" i="31"/>
  <c r="V58" i="31" s="1"/>
  <c r="AC58" i="31"/>
  <c r="X41" i="31"/>
  <c r="V41" i="31" s="1"/>
  <c r="AC41" i="31"/>
  <c r="AC55" i="31"/>
  <c r="X55" i="31"/>
  <c r="V55" i="31" s="1"/>
  <c r="AG83" i="31"/>
  <c r="X14" i="31"/>
  <c r="V14" i="31" s="1"/>
  <c r="AC14" i="31"/>
  <c r="X15" i="31"/>
  <c r="V15" i="31" s="1"/>
  <c r="AC15" i="31"/>
  <c r="AG68" i="31"/>
  <c r="X59" i="31"/>
  <c r="V59" i="31" s="1"/>
  <c r="AC59" i="31"/>
  <c r="AC57" i="31"/>
  <c r="X57" i="31"/>
  <c r="V57" i="31" s="1"/>
  <c r="X37" i="31"/>
  <c r="V37" i="31" s="1"/>
  <c r="AC37" i="31"/>
  <c r="AG91" i="31"/>
  <c r="AG73" i="31"/>
  <c r="X60" i="31"/>
  <c r="V60" i="31" s="1"/>
  <c r="AC60" i="31"/>
  <c r="AC45" i="31"/>
  <c r="X45" i="31"/>
  <c r="V45" i="31" s="1"/>
  <c r="X32" i="31"/>
  <c r="V32" i="31" s="1"/>
  <c r="AC33" i="31"/>
  <c r="AC65" i="31"/>
  <c r="AG67" i="31"/>
  <c r="AG74" i="31"/>
  <c r="AG87" i="31"/>
  <c r="AG82" i="31"/>
  <c r="AG69" i="31"/>
  <c r="AG79" i="31"/>
  <c r="X25" i="31"/>
  <c r="V25" i="31" s="1"/>
  <c r="X46" i="31"/>
  <c r="V46" i="31" s="1"/>
  <c r="AG77" i="31"/>
  <c r="Z39" i="31"/>
  <c r="AG72" i="31"/>
  <c r="AG85" i="31"/>
  <c r="AG80" i="31"/>
  <c r="AG78" i="31"/>
  <c r="AG81" i="31"/>
  <c r="M61" i="30"/>
  <c r="M60" i="30"/>
  <c r="M59" i="30"/>
  <c r="M58" i="30"/>
  <c r="M57" i="30"/>
  <c r="M56" i="30"/>
  <c r="M55" i="30"/>
  <c r="M54" i="30"/>
  <c r="M53" i="30"/>
  <c r="M52" i="30"/>
  <c r="M51" i="30"/>
  <c r="M49" i="30"/>
  <c r="M48" i="30"/>
  <c r="Q45" i="30"/>
  <c r="P45" i="30"/>
  <c r="R45" i="30" s="1"/>
  <c r="M45" i="30"/>
  <c r="BQ38" i="30"/>
  <c r="BR38" i="30" s="1"/>
  <c r="BO38" i="30"/>
  <c r="BP38" i="30" s="1"/>
  <c r="BM38" i="30"/>
  <c r="BN38" i="30" s="1"/>
  <c r="BK38" i="30"/>
  <c r="BL38" i="30" s="1"/>
  <c r="BI38" i="30"/>
  <c r="BJ38" i="30" s="1"/>
  <c r="BG38" i="30"/>
  <c r="BH38" i="30" s="1"/>
  <c r="BE38" i="30"/>
  <c r="BF38" i="30" s="1"/>
  <c r="AK38" i="30"/>
  <c r="AL38" i="30" s="1"/>
  <c r="V38" i="30"/>
  <c r="R38" i="30"/>
  <c r="Q38" i="30"/>
  <c r="P38" i="30"/>
  <c r="U38" i="30" s="1"/>
  <c r="K38" i="30"/>
  <c r="Q61" i="30" s="1"/>
  <c r="H38" i="30"/>
  <c r="G38" i="30"/>
  <c r="F38" i="30"/>
  <c r="BQ37" i="30"/>
  <c r="BR37" i="30" s="1"/>
  <c r="BO37" i="30"/>
  <c r="BP37" i="30" s="1"/>
  <c r="BM37" i="30"/>
  <c r="BN37" i="30" s="1"/>
  <c r="BK37" i="30"/>
  <c r="BL37" i="30" s="1"/>
  <c r="BI37" i="30"/>
  <c r="BJ37" i="30" s="1"/>
  <c r="BG37" i="30"/>
  <c r="BH37" i="30" s="1"/>
  <c r="BE37" i="30"/>
  <c r="BF37" i="30" s="1"/>
  <c r="AK37" i="30"/>
  <c r="AL37" i="30" s="1"/>
  <c r="V37" i="30"/>
  <c r="R37" i="30"/>
  <c r="Q37" i="30"/>
  <c r="P37" i="30"/>
  <c r="K37" i="30"/>
  <c r="P60" i="30" s="1"/>
  <c r="H37" i="30"/>
  <c r="F37" i="30"/>
  <c r="BQ36" i="30"/>
  <c r="BR36" i="30" s="1"/>
  <c r="BO36" i="30"/>
  <c r="BP36" i="30" s="1"/>
  <c r="BM36" i="30"/>
  <c r="BN36" i="30" s="1"/>
  <c r="BK36" i="30"/>
  <c r="BL36" i="30" s="1"/>
  <c r="BI36" i="30"/>
  <c r="BJ36" i="30" s="1"/>
  <c r="BG36" i="30"/>
  <c r="BH36" i="30" s="1"/>
  <c r="BE36" i="30"/>
  <c r="BF36" i="30" s="1"/>
  <c r="AK36" i="30"/>
  <c r="AL36" i="30" s="1"/>
  <c r="V36" i="30"/>
  <c r="R36" i="30"/>
  <c r="Q36" i="30"/>
  <c r="P36" i="30"/>
  <c r="K36" i="30"/>
  <c r="Q59" i="30" s="1"/>
  <c r="H36" i="30"/>
  <c r="F36" i="30"/>
  <c r="BQ35" i="30"/>
  <c r="BR35" i="30" s="1"/>
  <c r="BO35" i="30"/>
  <c r="BP35" i="30" s="1"/>
  <c r="BM35" i="30"/>
  <c r="BN35" i="30" s="1"/>
  <c r="BK35" i="30"/>
  <c r="BL35" i="30" s="1"/>
  <c r="BI35" i="30"/>
  <c r="BJ35" i="30" s="1"/>
  <c r="BG35" i="30"/>
  <c r="BH35" i="30" s="1"/>
  <c r="BE35" i="30"/>
  <c r="BF35" i="30" s="1"/>
  <c r="AK35" i="30"/>
  <c r="AL35" i="30" s="1"/>
  <c r="V35" i="30"/>
  <c r="R35" i="30"/>
  <c r="Q35" i="30"/>
  <c r="P35" i="30"/>
  <c r="U35" i="30" s="1"/>
  <c r="K35" i="30"/>
  <c r="H35" i="30"/>
  <c r="F35" i="30"/>
  <c r="BQ34" i="30"/>
  <c r="BR34" i="30" s="1"/>
  <c r="BO34" i="30"/>
  <c r="BP34" i="30" s="1"/>
  <c r="BM34" i="30"/>
  <c r="BN34" i="30" s="1"/>
  <c r="BK34" i="30"/>
  <c r="BL34" i="30" s="1"/>
  <c r="BI34" i="30"/>
  <c r="BJ34" i="30" s="1"/>
  <c r="BG34" i="30"/>
  <c r="BH34" i="30" s="1"/>
  <c r="BE34" i="30"/>
  <c r="BF34" i="30" s="1"/>
  <c r="AK34" i="30"/>
  <c r="AL34" i="30" s="1"/>
  <c r="V34" i="30"/>
  <c r="R34" i="30"/>
  <c r="Q34" i="30"/>
  <c r="P34" i="30"/>
  <c r="U34" i="30" s="1"/>
  <c r="K34" i="30"/>
  <c r="Q57" i="30" s="1"/>
  <c r="H34" i="30"/>
  <c r="F34" i="30"/>
  <c r="BQ33" i="30"/>
  <c r="BR33" i="30" s="1"/>
  <c r="BO33" i="30"/>
  <c r="BP33" i="30" s="1"/>
  <c r="BM33" i="30"/>
  <c r="BN33" i="30" s="1"/>
  <c r="BK33" i="30"/>
  <c r="BL33" i="30" s="1"/>
  <c r="BI33" i="30"/>
  <c r="BJ33" i="30" s="1"/>
  <c r="BG33" i="30"/>
  <c r="BH33" i="30" s="1"/>
  <c r="BE33" i="30"/>
  <c r="BF33" i="30" s="1"/>
  <c r="AK33" i="30"/>
  <c r="AL33" i="30" s="1"/>
  <c r="V33" i="30"/>
  <c r="R33" i="30"/>
  <c r="Q33" i="30"/>
  <c r="P33" i="30"/>
  <c r="K33" i="30"/>
  <c r="Q56" i="30" s="1"/>
  <c r="H33" i="30"/>
  <c r="F33" i="30"/>
  <c r="BQ32" i="30"/>
  <c r="BR32" i="30" s="1"/>
  <c r="BO32" i="30"/>
  <c r="BP32" i="30" s="1"/>
  <c r="BM32" i="30"/>
  <c r="BN32" i="30" s="1"/>
  <c r="BK32" i="30"/>
  <c r="BL32" i="30" s="1"/>
  <c r="BI32" i="30"/>
  <c r="BJ32" i="30" s="1"/>
  <c r="BG32" i="30"/>
  <c r="BH32" i="30" s="1"/>
  <c r="BE32" i="30"/>
  <c r="BF32" i="30" s="1"/>
  <c r="AK32" i="30"/>
  <c r="AL32" i="30" s="1"/>
  <c r="V32" i="30"/>
  <c r="W32" i="30" s="1"/>
  <c r="X32" i="30" s="1"/>
  <c r="Z32" i="30" s="1"/>
  <c r="Y32" i="30" s="1"/>
  <c r="AA32" i="30" s="1"/>
  <c r="AB32" i="30" s="1"/>
  <c r="U32" i="30"/>
  <c r="BQ31" i="30"/>
  <c r="BR31" i="30" s="1"/>
  <c r="BO31" i="30"/>
  <c r="BP31" i="30" s="1"/>
  <c r="BM31" i="30"/>
  <c r="BN31" i="30" s="1"/>
  <c r="BK31" i="30"/>
  <c r="BL31" i="30" s="1"/>
  <c r="BI31" i="30"/>
  <c r="BJ31" i="30" s="1"/>
  <c r="BG31" i="30"/>
  <c r="BH31" i="30" s="1"/>
  <c r="BE31" i="30"/>
  <c r="BF31" i="30" s="1"/>
  <c r="AK31" i="30"/>
  <c r="AL31" i="30" s="1"/>
  <c r="V31" i="30"/>
  <c r="W31" i="30" s="1"/>
  <c r="X31" i="30" s="1"/>
  <c r="Z31" i="30" s="1"/>
  <c r="Y31" i="30" s="1"/>
  <c r="AA31" i="30" s="1"/>
  <c r="AB31" i="30" s="1"/>
  <c r="U31" i="30"/>
  <c r="BQ30" i="30"/>
  <c r="BR30" i="30" s="1"/>
  <c r="BO30" i="30"/>
  <c r="BP30" i="30" s="1"/>
  <c r="BM30" i="30"/>
  <c r="BN30" i="30" s="1"/>
  <c r="BK30" i="30"/>
  <c r="BL30" i="30" s="1"/>
  <c r="BI30" i="30"/>
  <c r="BJ30" i="30" s="1"/>
  <c r="BG30" i="30"/>
  <c r="BH30" i="30" s="1"/>
  <c r="BE30" i="30"/>
  <c r="BF30" i="30" s="1"/>
  <c r="AK30" i="30"/>
  <c r="AL30" i="30" s="1"/>
  <c r="V30" i="30"/>
  <c r="U30" i="30"/>
  <c r="BQ29" i="30"/>
  <c r="BR29" i="30" s="1"/>
  <c r="BO29" i="30"/>
  <c r="BP29" i="30" s="1"/>
  <c r="BM29" i="30"/>
  <c r="BN29" i="30" s="1"/>
  <c r="BK29" i="30"/>
  <c r="BL29" i="30" s="1"/>
  <c r="BI29" i="30"/>
  <c r="BJ29" i="30" s="1"/>
  <c r="BG29" i="30"/>
  <c r="BH29" i="30" s="1"/>
  <c r="BE29" i="30"/>
  <c r="BF29" i="30" s="1"/>
  <c r="AK29" i="30"/>
  <c r="AL29" i="30" s="1"/>
  <c r="V29" i="30"/>
  <c r="U29" i="30"/>
  <c r="BQ28" i="30"/>
  <c r="BR28" i="30" s="1"/>
  <c r="BO28" i="30"/>
  <c r="BP28" i="30" s="1"/>
  <c r="BM28" i="30"/>
  <c r="BN28" i="30" s="1"/>
  <c r="BK28" i="30"/>
  <c r="BL28" i="30" s="1"/>
  <c r="BI28" i="30"/>
  <c r="BJ28" i="30" s="1"/>
  <c r="BG28" i="30"/>
  <c r="BH28" i="30" s="1"/>
  <c r="BE28" i="30"/>
  <c r="BF28" i="30" s="1"/>
  <c r="AK28" i="30"/>
  <c r="AL28" i="30" s="1"/>
  <c r="V28" i="30"/>
  <c r="U28" i="30"/>
  <c r="BQ27" i="30"/>
  <c r="BR27" i="30" s="1"/>
  <c r="BO27" i="30"/>
  <c r="BP27" i="30" s="1"/>
  <c r="BM27" i="30"/>
  <c r="BN27" i="30" s="1"/>
  <c r="BK27" i="30"/>
  <c r="BL27" i="30" s="1"/>
  <c r="BI27" i="30"/>
  <c r="BJ27" i="30" s="1"/>
  <c r="BG27" i="30"/>
  <c r="BH27" i="30" s="1"/>
  <c r="BE27" i="30"/>
  <c r="BF27" i="30" s="1"/>
  <c r="AK27" i="30"/>
  <c r="AL27" i="30" s="1"/>
  <c r="V27" i="30"/>
  <c r="U27" i="30"/>
  <c r="BQ26" i="30"/>
  <c r="BR26" i="30" s="1"/>
  <c r="BO26" i="30"/>
  <c r="BP26" i="30" s="1"/>
  <c r="BM26" i="30"/>
  <c r="BN26" i="30" s="1"/>
  <c r="BK26" i="30"/>
  <c r="BL26" i="30" s="1"/>
  <c r="BI26" i="30"/>
  <c r="BJ26" i="30" s="1"/>
  <c r="BG26" i="30"/>
  <c r="BH26" i="30" s="1"/>
  <c r="BE26" i="30"/>
  <c r="BF26" i="30" s="1"/>
  <c r="AK26" i="30"/>
  <c r="AL26" i="30" s="1"/>
  <c r="V26" i="30"/>
  <c r="U26" i="30"/>
  <c r="BC31" i="30"/>
  <c r="BD31" i="30" s="1"/>
  <c r="BQ25" i="30"/>
  <c r="BR25" i="30" s="1"/>
  <c r="BO25" i="30"/>
  <c r="BP25" i="30" s="1"/>
  <c r="BM25" i="30"/>
  <c r="BN25" i="30" s="1"/>
  <c r="BK25" i="30"/>
  <c r="BL25" i="30" s="1"/>
  <c r="BI25" i="30"/>
  <c r="BJ25" i="30" s="1"/>
  <c r="BG25" i="30"/>
  <c r="BH25" i="30" s="1"/>
  <c r="BE25" i="30"/>
  <c r="BF25" i="30" s="1"/>
  <c r="AK25" i="30"/>
  <c r="AL25" i="30" s="1"/>
  <c r="V25" i="30"/>
  <c r="U25" i="30"/>
  <c r="BA31" i="30"/>
  <c r="BB31" i="30" s="1"/>
  <c r="BQ24" i="30"/>
  <c r="BR24" i="30" s="1"/>
  <c r="BO24" i="30"/>
  <c r="BP24" i="30" s="1"/>
  <c r="BM24" i="30"/>
  <c r="BN24" i="30" s="1"/>
  <c r="BK24" i="30"/>
  <c r="BL24" i="30" s="1"/>
  <c r="BI24" i="30"/>
  <c r="BJ24" i="30" s="1"/>
  <c r="BG24" i="30"/>
  <c r="BH24" i="30" s="1"/>
  <c r="BE24" i="30"/>
  <c r="BF24" i="30" s="1"/>
  <c r="AK24" i="30"/>
  <c r="AL24" i="30" s="1"/>
  <c r="V24" i="30"/>
  <c r="U24" i="30"/>
  <c r="AY30" i="30"/>
  <c r="AZ30" i="30" s="1"/>
  <c r="BQ23" i="30"/>
  <c r="BR23" i="30" s="1"/>
  <c r="BO23" i="30"/>
  <c r="BP23" i="30" s="1"/>
  <c r="BM23" i="30"/>
  <c r="BN23" i="30" s="1"/>
  <c r="BK23" i="30"/>
  <c r="BL23" i="30" s="1"/>
  <c r="BI23" i="30"/>
  <c r="BJ23" i="30" s="1"/>
  <c r="BG23" i="30"/>
  <c r="BH23" i="30" s="1"/>
  <c r="BE23" i="30"/>
  <c r="BF23" i="30" s="1"/>
  <c r="AK23" i="30"/>
  <c r="AL23" i="30" s="1"/>
  <c r="V23" i="30"/>
  <c r="U23" i="30"/>
  <c r="AW30" i="30"/>
  <c r="AX30" i="30" s="1"/>
  <c r="BQ22" i="30"/>
  <c r="BR22" i="30" s="1"/>
  <c r="BO22" i="30"/>
  <c r="BP22" i="30" s="1"/>
  <c r="BM22" i="30"/>
  <c r="BN22" i="30" s="1"/>
  <c r="BK22" i="30"/>
  <c r="BL22" i="30" s="1"/>
  <c r="BI22" i="30"/>
  <c r="BJ22" i="30" s="1"/>
  <c r="BG22" i="30"/>
  <c r="BH22" i="30" s="1"/>
  <c r="BE22" i="30"/>
  <c r="BF22" i="30" s="1"/>
  <c r="AK22" i="30"/>
  <c r="AL22" i="30" s="1"/>
  <c r="V22" i="30"/>
  <c r="U22" i="30"/>
  <c r="AU17" i="30"/>
  <c r="AV17" i="30" s="1"/>
  <c r="BQ21" i="30"/>
  <c r="BR21" i="30" s="1"/>
  <c r="BO21" i="30"/>
  <c r="BP21" i="30" s="1"/>
  <c r="BM21" i="30"/>
  <c r="BN21" i="30" s="1"/>
  <c r="BK21" i="30"/>
  <c r="BL21" i="30" s="1"/>
  <c r="BI21" i="30"/>
  <c r="BJ21" i="30" s="1"/>
  <c r="BG21" i="30"/>
  <c r="BH21" i="30" s="1"/>
  <c r="BE21" i="30"/>
  <c r="BF21" i="30" s="1"/>
  <c r="AK21" i="30"/>
  <c r="AL21" i="30" s="1"/>
  <c r="V21" i="30"/>
  <c r="U21" i="30"/>
  <c r="AS31" i="30"/>
  <c r="AT31" i="30" s="1"/>
  <c r="BQ20" i="30"/>
  <c r="BR20" i="30" s="1"/>
  <c r="BO20" i="30"/>
  <c r="BP20" i="30" s="1"/>
  <c r="BM20" i="30"/>
  <c r="BN20" i="30" s="1"/>
  <c r="BK20" i="30"/>
  <c r="BL20" i="30" s="1"/>
  <c r="BI20" i="30"/>
  <c r="BJ20" i="30" s="1"/>
  <c r="BG20" i="30"/>
  <c r="BH20" i="30" s="1"/>
  <c r="BE20" i="30"/>
  <c r="BF20" i="30" s="1"/>
  <c r="AK20" i="30"/>
  <c r="AL20" i="30" s="1"/>
  <c r="V20" i="30"/>
  <c r="U20" i="30"/>
  <c r="AQ26" i="30"/>
  <c r="AR26" i="30" s="1"/>
  <c r="V19" i="30"/>
  <c r="U19" i="30"/>
  <c r="BQ18" i="30"/>
  <c r="BR18" i="30" s="1"/>
  <c r="BO18" i="30"/>
  <c r="BP18" i="30" s="1"/>
  <c r="BM18" i="30"/>
  <c r="BN18" i="30" s="1"/>
  <c r="BK18" i="30"/>
  <c r="BL18" i="30" s="1"/>
  <c r="BI18" i="30"/>
  <c r="BJ18" i="30" s="1"/>
  <c r="BG18" i="30"/>
  <c r="BH18" i="30" s="1"/>
  <c r="BE18" i="30"/>
  <c r="BF18" i="30" s="1"/>
  <c r="AK18" i="30"/>
  <c r="AL18" i="30" s="1"/>
  <c r="V18" i="30"/>
  <c r="U18" i="30"/>
  <c r="AO11" i="30"/>
  <c r="AP11" i="30" s="1"/>
  <c r="BQ17" i="30"/>
  <c r="BR17" i="30" s="1"/>
  <c r="BO17" i="30"/>
  <c r="BP17" i="30" s="1"/>
  <c r="BM17" i="30"/>
  <c r="BN17" i="30" s="1"/>
  <c r="BK17" i="30"/>
  <c r="BL17" i="30" s="1"/>
  <c r="BI17" i="30"/>
  <c r="BJ17" i="30" s="1"/>
  <c r="BG17" i="30"/>
  <c r="BH17" i="30" s="1"/>
  <c r="BE17" i="30"/>
  <c r="BF17" i="30" s="1"/>
  <c r="AK17" i="30"/>
  <c r="AL17" i="30" s="1"/>
  <c r="V17" i="30"/>
  <c r="U17" i="30"/>
  <c r="AM33" i="30"/>
  <c r="AN33" i="30" s="1"/>
  <c r="V16" i="30"/>
  <c r="U16" i="30"/>
  <c r="BQ15" i="30"/>
  <c r="BR15" i="30" s="1"/>
  <c r="BO15" i="30"/>
  <c r="BP15" i="30" s="1"/>
  <c r="BM15" i="30"/>
  <c r="BN15" i="30" s="1"/>
  <c r="BK15" i="30"/>
  <c r="BL15" i="30" s="1"/>
  <c r="BI15" i="30"/>
  <c r="BJ15" i="30" s="1"/>
  <c r="BG15" i="30"/>
  <c r="BH15" i="30" s="1"/>
  <c r="BE15" i="30"/>
  <c r="BF15" i="30" s="1"/>
  <c r="AK15" i="30"/>
  <c r="AL15" i="30" s="1"/>
  <c r="V15" i="30"/>
  <c r="U15" i="30"/>
  <c r="AI11" i="30"/>
  <c r="AJ11" i="30" s="1"/>
  <c r="V14" i="30"/>
  <c r="U14" i="30"/>
  <c r="BQ13" i="30"/>
  <c r="BR13" i="30" s="1"/>
  <c r="BO13" i="30"/>
  <c r="BP13" i="30" s="1"/>
  <c r="BM13" i="30"/>
  <c r="BN13" i="30" s="1"/>
  <c r="BK13" i="30"/>
  <c r="BL13" i="30" s="1"/>
  <c r="BI13" i="30"/>
  <c r="BJ13" i="30" s="1"/>
  <c r="BG13" i="30"/>
  <c r="BH13" i="30" s="1"/>
  <c r="BE13" i="30"/>
  <c r="BF13" i="30" s="1"/>
  <c r="AK13" i="30"/>
  <c r="AL13" i="30" s="1"/>
  <c r="V13" i="30"/>
  <c r="U13" i="30"/>
  <c r="AG17" i="30"/>
  <c r="AH17" i="30" s="1"/>
  <c r="V12" i="30"/>
  <c r="U12" i="30"/>
  <c r="BQ11" i="30"/>
  <c r="BR11" i="30" s="1"/>
  <c r="BO11" i="30"/>
  <c r="BP11" i="30" s="1"/>
  <c r="BM11" i="30"/>
  <c r="BN11" i="30" s="1"/>
  <c r="BK11" i="30"/>
  <c r="BL11" i="30" s="1"/>
  <c r="BI11" i="30"/>
  <c r="BJ11" i="30" s="1"/>
  <c r="BG11" i="30"/>
  <c r="BH11" i="30" s="1"/>
  <c r="BE11" i="30"/>
  <c r="BF11" i="30" s="1"/>
  <c r="AK11" i="30"/>
  <c r="AL11" i="30" s="1"/>
  <c r="V11" i="30"/>
  <c r="U11" i="30"/>
  <c r="AE17" i="30"/>
  <c r="AF17" i="30" s="1"/>
  <c r="J27" i="29"/>
  <c r="I27" i="29"/>
  <c r="K50" i="35"/>
  <c r="D27" i="29"/>
  <c r="U28" i="29"/>
  <c r="V28" i="29"/>
  <c r="W28" i="29" s="1"/>
  <c r="X28" i="29" s="1"/>
  <c r="Z28" i="29" s="1"/>
  <c r="Y28" i="29" s="1"/>
  <c r="AA28" i="29" s="1"/>
  <c r="AB28" i="29" s="1"/>
  <c r="AK28" i="29"/>
  <c r="AL28" i="29" s="1"/>
  <c r="BE28" i="29"/>
  <c r="BF28" i="29" s="1"/>
  <c r="BG28" i="29"/>
  <c r="BH28" i="29" s="1"/>
  <c r="BI28" i="29"/>
  <c r="BJ28" i="29" s="1"/>
  <c r="BK28" i="29"/>
  <c r="BL28" i="29" s="1"/>
  <c r="BM28" i="29"/>
  <c r="BN28" i="29" s="1"/>
  <c r="BO28" i="29"/>
  <c r="BP28" i="29" s="1"/>
  <c r="BQ28" i="29"/>
  <c r="BR28" i="29" s="1"/>
  <c r="U29" i="29"/>
  <c r="V29" i="29"/>
  <c r="W29" i="29" s="1"/>
  <c r="X29" i="29" s="1"/>
  <c r="Z29" i="29" s="1"/>
  <c r="Y29" i="29" s="1"/>
  <c r="AA29" i="29" s="1"/>
  <c r="AB29" i="29" s="1"/>
  <c r="AK29" i="29"/>
  <c r="AL29" i="29" s="1"/>
  <c r="BE29" i="29"/>
  <c r="BF29" i="29" s="1"/>
  <c r="BG29" i="29"/>
  <c r="BH29" i="29" s="1"/>
  <c r="BI29" i="29"/>
  <c r="BJ29" i="29" s="1"/>
  <c r="BK29" i="29"/>
  <c r="BL29" i="29" s="1"/>
  <c r="BM29" i="29"/>
  <c r="BN29" i="29" s="1"/>
  <c r="BO29" i="29"/>
  <c r="BP29" i="29" s="1"/>
  <c r="BQ29" i="29"/>
  <c r="BR29" i="29" s="1"/>
  <c r="U30" i="29"/>
  <c r="V30" i="29"/>
  <c r="W30" i="29" s="1"/>
  <c r="X30" i="29" s="1"/>
  <c r="Z30" i="29" s="1"/>
  <c r="Y30" i="29" s="1"/>
  <c r="AA30" i="29" s="1"/>
  <c r="AB30" i="29" s="1"/>
  <c r="AK30" i="29"/>
  <c r="AL30" i="29" s="1"/>
  <c r="BE30" i="29"/>
  <c r="BF30" i="29" s="1"/>
  <c r="BG30" i="29"/>
  <c r="BH30" i="29" s="1"/>
  <c r="BI30" i="29"/>
  <c r="BJ30" i="29" s="1"/>
  <c r="BK30" i="29"/>
  <c r="BL30" i="29" s="1"/>
  <c r="BM30" i="29"/>
  <c r="BN30" i="29" s="1"/>
  <c r="BO30" i="29"/>
  <c r="BP30" i="29" s="1"/>
  <c r="BQ30" i="29"/>
  <c r="BR30" i="29" s="1"/>
  <c r="U31" i="29"/>
  <c r="V31" i="29"/>
  <c r="W31" i="29" s="1"/>
  <c r="X31" i="29" s="1"/>
  <c r="Z31" i="29" s="1"/>
  <c r="Y31" i="29" s="1"/>
  <c r="AA31" i="29" s="1"/>
  <c r="AB31" i="29" s="1"/>
  <c r="AK31" i="29"/>
  <c r="AL31" i="29" s="1"/>
  <c r="BE31" i="29"/>
  <c r="BF31" i="29" s="1"/>
  <c r="BG31" i="29"/>
  <c r="BH31" i="29" s="1"/>
  <c r="BI31" i="29"/>
  <c r="BJ31" i="29" s="1"/>
  <c r="BK31" i="29"/>
  <c r="BL31" i="29" s="1"/>
  <c r="BM31" i="29"/>
  <c r="BN31" i="29" s="1"/>
  <c r="BO31" i="29"/>
  <c r="BP31" i="29" s="1"/>
  <c r="BQ31" i="29"/>
  <c r="BR31" i="29" s="1"/>
  <c r="U32" i="29"/>
  <c r="V32" i="29"/>
  <c r="W32" i="29" s="1"/>
  <c r="X32" i="29" s="1"/>
  <c r="Z32" i="29" s="1"/>
  <c r="Y32" i="29" s="1"/>
  <c r="AA32" i="29" s="1"/>
  <c r="AB32" i="29" s="1"/>
  <c r="AK32" i="29"/>
  <c r="AL32" i="29" s="1"/>
  <c r="BE32" i="29"/>
  <c r="BF32" i="29" s="1"/>
  <c r="BG32" i="29"/>
  <c r="BH32" i="29" s="1"/>
  <c r="BI32" i="29"/>
  <c r="BJ32" i="29" s="1"/>
  <c r="BK32" i="29"/>
  <c r="BL32" i="29" s="1"/>
  <c r="BM32" i="29"/>
  <c r="BN32" i="29" s="1"/>
  <c r="BO32" i="29"/>
  <c r="BP32" i="29" s="1"/>
  <c r="BQ32" i="29"/>
  <c r="BR32" i="29" s="1"/>
  <c r="J26" i="29"/>
  <c r="I26" i="29"/>
  <c r="A26" i="29"/>
  <c r="BC24" i="29" s="1"/>
  <c r="BD24" i="29" s="1"/>
  <c r="J25" i="29"/>
  <c r="I25" i="29"/>
  <c r="A25" i="29"/>
  <c r="BA23" i="29" s="1"/>
  <c r="BB23" i="29" s="1"/>
  <c r="J24" i="29"/>
  <c r="I24" i="29"/>
  <c r="A24" i="29"/>
  <c r="AY33" i="29" s="1"/>
  <c r="AZ33" i="29" s="1"/>
  <c r="J23" i="29"/>
  <c r="I23" i="29"/>
  <c r="A23" i="29"/>
  <c r="AW32" i="29" s="1"/>
  <c r="AX32" i="29" s="1"/>
  <c r="J22" i="29"/>
  <c r="A22" i="29"/>
  <c r="AU38" i="29" s="1"/>
  <c r="AV38" i="29" s="1"/>
  <c r="J21" i="29"/>
  <c r="I21" i="29"/>
  <c r="A21" i="29"/>
  <c r="AS30" i="29" s="1"/>
  <c r="AT30" i="29" s="1"/>
  <c r="J20" i="29"/>
  <c r="I20" i="29"/>
  <c r="A20" i="29"/>
  <c r="AQ31" i="29" s="1"/>
  <c r="AR31" i="29" s="1"/>
  <c r="J19" i="29"/>
  <c r="I19" i="29"/>
  <c r="A19" i="29"/>
  <c r="J18" i="29"/>
  <c r="I18" i="29"/>
  <c r="A18" i="29"/>
  <c r="AO36" i="29" s="1"/>
  <c r="AP36" i="29" s="1"/>
  <c r="J17" i="29"/>
  <c r="I17" i="29"/>
  <c r="U16" i="29"/>
  <c r="V16" i="29"/>
  <c r="J16" i="29"/>
  <c r="I16" i="29"/>
  <c r="A16" i="29"/>
  <c r="A17" i="29"/>
  <c r="AM23" i="29" s="1"/>
  <c r="AN23" i="29" s="1"/>
  <c r="J15" i="29"/>
  <c r="I15" i="29"/>
  <c r="A15" i="29"/>
  <c r="AI15" i="29" s="1"/>
  <c r="AJ15" i="29" s="1"/>
  <c r="J14" i="29"/>
  <c r="I14" i="29"/>
  <c r="A14" i="29"/>
  <c r="J13" i="29"/>
  <c r="I13" i="29"/>
  <c r="A13" i="29"/>
  <c r="AG29" i="29" s="1"/>
  <c r="AH29" i="29" s="1"/>
  <c r="J12" i="29"/>
  <c r="I12" i="29"/>
  <c r="A12" i="29"/>
  <c r="J11" i="29"/>
  <c r="A11" i="29"/>
  <c r="AE29" i="29" s="1"/>
  <c r="AF29" i="29" s="1"/>
  <c r="U12" i="29"/>
  <c r="V12" i="29"/>
  <c r="U13" i="29"/>
  <c r="V13" i="29"/>
  <c r="U14" i="29"/>
  <c r="V14" i="29"/>
  <c r="U15" i="29"/>
  <c r="V15" i="29"/>
  <c r="U17" i="29"/>
  <c r="V17" i="29"/>
  <c r="U18" i="29"/>
  <c r="V18" i="29"/>
  <c r="U19" i="29"/>
  <c r="V19" i="29"/>
  <c r="U20" i="29"/>
  <c r="V20" i="29"/>
  <c r="U21" i="29"/>
  <c r="V21" i="29"/>
  <c r="U22" i="29"/>
  <c r="V22" i="29"/>
  <c r="U23" i="29"/>
  <c r="V23" i="29"/>
  <c r="U24" i="29"/>
  <c r="V24" i="29"/>
  <c r="U25" i="29"/>
  <c r="V25" i="29"/>
  <c r="U26" i="29"/>
  <c r="V26" i="29"/>
  <c r="V27" i="29"/>
  <c r="M61" i="29"/>
  <c r="M60" i="29"/>
  <c r="M59" i="29"/>
  <c r="M58" i="29"/>
  <c r="M57" i="29"/>
  <c r="M56" i="29"/>
  <c r="M55" i="29"/>
  <c r="M54" i="29"/>
  <c r="M51" i="29"/>
  <c r="M49" i="29"/>
  <c r="M48" i="29"/>
  <c r="M46" i="29"/>
  <c r="Q45" i="29"/>
  <c r="P45" i="29"/>
  <c r="R45" i="29" s="1"/>
  <c r="M45" i="29"/>
  <c r="M44" i="29"/>
  <c r="M43" i="29"/>
  <c r="BQ38" i="29"/>
  <c r="BR38" i="29" s="1"/>
  <c r="BO38" i="29"/>
  <c r="BP38" i="29" s="1"/>
  <c r="BM38" i="29"/>
  <c r="BN38" i="29" s="1"/>
  <c r="BK38" i="29"/>
  <c r="BL38" i="29" s="1"/>
  <c r="BI38" i="29"/>
  <c r="BJ38" i="29" s="1"/>
  <c r="BG38" i="29"/>
  <c r="BH38" i="29" s="1"/>
  <c r="BE38" i="29"/>
  <c r="BF38" i="29" s="1"/>
  <c r="AK38" i="29"/>
  <c r="AL38" i="29" s="1"/>
  <c r="V38" i="29"/>
  <c r="R38" i="29"/>
  <c r="Q38" i="29"/>
  <c r="P38" i="29"/>
  <c r="U38" i="29" s="1"/>
  <c r="K38" i="29"/>
  <c r="Q61" i="29" s="1"/>
  <c r="H38" i="29"/>
  <c r="G38" i="29"/>
  <c r="F38" i="29"/>
  <c r="BQ37" i="29"/>
  <c r="BR37" i="29" s="1"/>
  <c r="BO37" i="29"/>
  <c r="BP37" i="29" s="1"/>
  <c r="BM37" i="29"/>
  <c r="BN37" i="29" s="1"/>
  <c r="BK37" i="29"/>
  <c r="BL37" i="29" s="1"/>
  <c r="BI37" i="29"/>
  <c r="BJ37" i="29" s="1"/>
  <c r="BG37" i="29"/>
  <c r="BH37" i="29" s="1"/>
  <c r="BE37" i="29"/>
  <c r="BF37" i="29" s="1"/>
  <c r="AK37" i="29"/>
  <c r="AL37" i="29" s="1"/>
  <c r="V37" i="29"/>
  <c r="R37" i="29"/>
  <c r="Q37" i="29"/>
  <c r="P37" i="29"/>
  <c r="U37" i="29" s="1"/>
  <c r="K37" i="29"/>
  <c r="Q60" i="29" s="1"/>
  <c r="H37" i="29"/>
  <c r="F37" i="29"/>
  <c r="BQ36" i="29"/>
  <c r="BR36" i="29" s="1"/>
  <c r="BO36" i="29"/>
  <c r="BP36" i="29" s="1"/>
  <c r="BM36" i="29"/>
  <c r="BN36" i="29" s="1"/>
  <c r="BK36" i="29"/>
  <c r="BL36" i="29" s="1"/>
  <c r="BI36" i="29"/>
  <c r="BJ36" i="29" s="1"/>
  <c r="BG36" i="29"/>
  <c r="BH36" i="29" s="1"/>
  <c r="BE36" i="29"/>
  <c r="BF36" i="29" s="1"/>
  <c r="AK36" i="29"/>
  <c r="AL36" i="29" s="1"/>
  <c r="V36" i="29"/>
  <c r="R36" i="29"/>
  <c r="Q36" i="29"/>
  <c r="P36" i="29"/>
  <c r="K36" i="29"/>
  <c r="Q59" i="29" s="1"/>
  <c r="H36" i="29"/>
  <c r="F36" i="29"/>
  <c r="BQ35" i="29"/>
  <c r="BR35" i="29" s="1"/>
  <c r="BO35" i="29"/>
  <c r="BP35" i="29" s="1"/>
  <c r="BM35" i="29"/>
  <c r="BN35" i="29" s="1"/>
  <c r="BK35" i="29"/>
  <c r="BL35" i="29" s="1"/>
  <c r="BI35" i="29"/>
  <c r="BJ35" i="29" s="1"/>
  <c r="BG35" i="29"/>
  <c r="BH35" i="29" s="1"/>
  <c r="BE35" i="29"/>
  <c r="BF35" i="29" s="1"/>
  <c r="AK35" i="29"/>
  <c r="AL35" i="29" s="1"/>
  <c r="V35" i="29"/>
  <c r="R35" i="29"/>
  <c r="Q35" i="29"/>
  <c r="P35" i="29"/>
  <c r="K35" i="29"/>
  <c r="Q58" i="29" s="1"/>
  <c r="H35" i="29"/>
  <c r="F35" i="29"/>
  <c r="BQ34" i="29"/>
  <c r="BR34" i="29" s="1"/>
  <c r="BO34" i="29"/>
  <c r="BP34" i="29" s="1"/>
  <c r="BM34" i="29"/>
  <c r="BN34" i="29" s="1"/>
  <c r="BK34" i="29"/>
  <c r="BL34" i="29" s="1"/>
  <c r="BI34" i="29"/>
  <c r="BJ34" i="29" s="1"/>
  <c r="BG34" i="29"/>
  <c r="BH34" i="29" s="1"/>
  <c r="BE34" i="29"/>
  <c r="BF34" i="29" s="1"/>
  <c r="AK34" i="29"/>
  <c r="AL34" i="29" s="1"/>
  <c r="V34" i="29"/>
  <c r="R34" i="29"/>
  <c r="Q34" i="29"/>
  <c r="P34" i="29"/>
  <c r="U34" i="29" s="1"/>
  <c r="K34" i="29"/>
  <c r="Q57" i="29" s="1"/>
  <c r="H34" i="29"/>
  <c r="F34" i="29"/>
  <c r="BQ33" i="29"/>
  <c r="BR33" i="29" s="1"/>
  <c r="BO33" i="29"/>
  <c r="BP33" i="29" s="1"/>
  <c r="BM33" i="29"/>
  <c r="BN33" i="29" s="1"/>
  <c r="BK33" i="29"/>
  <c r="BL33" i="29" s="1"/>
  <c r="BI33" i="29"/>
  <c r="BJ33" i="29" s="1"/>
  <c r="BG33" i="29"/>
  <c r="BH33" i="29" s="1"/>
  <c r="BE33" i="29"/>
  <c r="BF33" i="29" s="1"/>
  <c r="AK33" i="29"/>
  <c r="AL33" i="29" s="1"/>
  <c r="V33" i="29"/>
  <c r="R33" i="29"/>
  <c r="Q33" i="29"/>
  <c r="P33" i="29"/>
  <c r="U33" i="29" s="1"/>
  <c r="K33" i="29"/>
  <c r="H33" i="29"/>
  <c r="F33" i="29"/>
  <c r="BQ27" i="29"/>
  <c r="BR27" i="29" s="1"/>
  <c r="BO27" i="29"/>
  <c r="BP27" i="29" s="1"/>
  <c r="BM27" i="29"/>
  <c r="BN27" i="29" s="1"/>
  <c r="BK27" i="29"/>
  <c r="BL27" i="29" s="1"/>
  <c r="BI27" i="29"/>
  <c r="BJ27" i="29" s="1"/>
  <c r="BG27" i="29"/>
  <c r="BH27" i="29" s="1"/>
  <c r="BE27" i="29"/>
  <c r="BF27" i="29" s="1"/>
  <c r="AK27" i="29"/>
  <c r="AL27" i="29" s="1"/>
  <c r="BQ26" i="29"/>
  <c r="BR26" i="29" s="1"/>
  <c r="BO26" i="29"/>
  <c r="BP26" i="29" s="1"/>
  <c r="BM26" i="29"/>
  <c r="BN26" i="29" s="1"/>
  <c r="BK26" i="29"/>
  <c r="BL26" i="29" s="1"/>
  <c r="BI26" i="29"/>
  <c r="BJ26" i="29" s="1"/>
  <c r="BG26" i="29"/>
  <c r="BH26" i="29" s="1"/>
  <c r="BE26" i="29"/>
  <c r="BF26" i="29" s="1"/>
  <c r="AK26" i="29"/>
  <c r="AL26" i="29" s="1"/>
  <c r="BQ25" i="29"/>
  <c r="BR25" i="29" s="1"/>
  <c r="BO25" i="29"/>
  <c r="BP25" i="29" s="1"/>
  <c r="BM25" i="29"/>
  <c r="BN25" i="29" s="1"/>
  <c r="BK25" i="29"/>
  <c r="BL25" i="29" s="1"/>
  <c r="BI25" i="29"/>
  <c r="BJ25" i="29" s="1"/>
  <c r="BG25" i="29"/>
  <c r="BH25" i="29" s="1"/>
  <c r="BE25" i="29"/>
  <c r="BF25" i="29" s="1"/>
  <c r="AK25" i="29"/>
  <c r="AL25" i="29" s="1"/>
  <c r="BQ24" i="29"/>
  <c r="BR24" i="29" s="1"/>
  <c r="BO24" i="29"/>
  <c r="BP24" i="29" s="1"/>
  <c r="BM24" i="29"/>
  <c r="BN24" i="29" s="1"/>
  <c r="BK24" i="29"/>
  <c r="BL24" i="29" s="1"/>
  <c r="BI24" i="29"/>
  <c r="BJ24" i="29" s="1"/>
  <c r="BG24" i="29"/>
  <c r="BH24" i="29" s="1"/>
  <c r="BE24" i="29"/>
  <c r="BF24" i="29" s="1"/>
  <c r="AK24" i="29"/>
  <c r="AL24" i="29" s="1"/>
  <c r="BQ23" i="29"/>
  <c r="BR23" i="29" s="1"/>
  <c r="BO23" i="29"/>
  <c r="BP23" i="29" s="1"/>
  <c r="BM23" i="29"/>
  <c r="BN23" i="29" s="1"/>
  <c r="BK23" i="29"/>
  <c r="BL23" i="29" s="1"/>
  <c r="BI23" i="29"/>
  <c r="BJ23" i="29" s="1"/>
  <c r="BG23" i="29"/>
  <c r="BH23" i="29" s="1"/>
  <c r="BE23" i="29"/>
  <c r="BF23" i="29" s="1"/>
  <c r="AK23" i="29"/>
  <c r="AL23" i="29" s="1"/>
  <c r="BK18" i="29"/>
  <c r="BL18" i="29" s="1"/>
  <c r="BQ18" i="29"/>
  <c r="BR18" i="29" s="1"/>
  <c r="BO18" i="29"/>
  <c r="BP18" i="29" s="1"/>
  <c r="BQ15" i="29"/>
  <c r="BR15" i="29" s="1"/>
  <c r="BO15" i="29"/>
  <c r="BP15" i="29" s="1"/>
  <c r="BM15" i="29"/>
  <c r="BN15" i="29" s="1"/>
  <c r="BK15" i="29"/>
  <c r="BL15" i="29" s="1"/>
  <c r="BI15" i="29"/>
  <c r="BJ15" i="29" s="1"/>
  <c r="BG15" i="29"/>
  <c r="BH15" i="29" s="1"/>
  <c r="BE15" i="29"/>
  <c r="BF15" i="29" s="1"/>
  <c r="AK15" i="29"/>
  <c r="AL15" i="29" s="1"/>
  <c r="V11" i="29"/>
  <c r="U11" i="29"/>
  <c r="K24" i="31" l="1"/>
  <c r="L59" i="30"/>
  <c r="BA23" i="30"/>
  <c r="BB23" i="30" s="1"/>
  <c r="BC38" i="29"/>
  <c r="BD38" i="29" s="1"/>
  <c r="AH64" i="31"/>
  <c r="AI64" i="31" s="1"/>
  <c r="AQ28" i="29"/>
  <c r="AR28" i="29" s="1"/>
  <c r="AS37" i="29"/>
  <c r="AT37" i="29" s="1"/>
  <c r="AH86" i="31"/>
  <c r="AI86" i="31" s="1"/>
  <c r="AH76" i="31"/>
  <c r="AI76" i="31" s="1"/>
  <c r="BC27" i="29"/>
  <c r="BD27" i="29" s="1"/>
  <c r="BC32" i="29"/>
  <c r="BD32" i="29" s="1"/>
  <c r="AY15" i="30"/>
  <c r="AZ15" i="30" s="1"/>
  <c r="AY23" i="30"/>
  <c r="AZ23" i="30" s="1"/>
  <c r="AU11" i="30"/>
  <c r="AV11" i="30" s="1"/>
  <c r="AS29" i="29"/>
  <c r="AT29" i="29" s="1"/>
  <c r="BA13" i="30"/>
  <c r="BB13" i="30" s="1"/>
  <c r="AG11" i="30"/>
  <c r="AH11" i="30" s="1"/>
  <c r="BC13" i="30"/>
  <c r="BD13" i="30" s="1"/>
  <c r="BC31" i="29"/>
  <c r="BD31" i="29" s="1"/>
  <c r="AY29" i="29"/>
  <c r="AZ29" i="29" s="1"/>
  <c r="AH70" i="31"/>
  <c r="AI70" i="31" s="1"/>
  <c r="AH75" i="31"/>
  <c r="AI75" i="31" s="1"/>
  <c r="AJ89" i="31"/>
  <c r="AK89" i="31" s="1"/>
  <c r="AL89" i="31" s="1"/>
  <c r="BA31" i="29"/>
  <c r="BB31" i="29" s="1"/>
  <c r="AG31" i="29"/>
  <c r="AH31" i="29" s="1"/>
  <c r="AO32" i="29"/>
  <c r="AP32" i="29" s="1"/>
  <c r="AU15" i="30"/>
  <c r="AV15" i="30" s="1"/>
  <c r="BC23" i="29"/>
  <c r="BD23" i="29" s="1"/>
  <c r="BC35" i="29"/>
  <c r="BD35" i="29" s="1"/>
  <c r="AO28" i="29"/>
  <c r="AP28" i="29" s="1"/>
  <c r="AI28" i="30"/>
  <c r="AJ28" i="30" s="1"/>
  <c r="BC23" i="30"/>
  <c r="BD23" i="30" s="1"/>
  <c r="AO29" i="29"/>
  <c r="AP29" i="29" s="1"/>
  <c r="AH66" i="31"/>
  <c r="AI66" i="31" s="1"/>
  <c r="BC30" i="29"/>
  <c r="BD30" i="29" s="1"/>
  <c r="AQ24" i="29"/>
  <c r="AR24" i="29" s="1"/>
  <c r="AU18" i="30"/>
  <c r="AV18" i="30" s="1"/>
  <c r="BA30" i="29"/>
  <c r="BB30" i="29" s="1"/>
  <c r="BC37" i="29"/>
  <c r="BD37" i="29" s="1"/>
  <c r="AG30" i="29"/>
  <c r="AH30" i="29" s="1"/>
  <c r="AU28" i="29"/>
  <c r="AV28" i="29" s="1"/>
  <c r="AU29" i="29"/>
  <c r="AV29" i="29" s="1"/>
  <c r="AS28" i="29"/>
  <c r="AT28" i="29" s="1"/>
  <c r="AY18" i="30"/>
  <c r="AZ18" i="30" s="1"/>
  <c r="AY29" i="30"/>
  <c r="AZ29" i="30" s="1"/>
  <c r="AY17" i="30"/>
  <c r="AZ17" i="30" s="1"/>
  <c r="AQ15" i="30"/>
  <c r="AR15" i="30" s="1"/>
  <c r="AG28" i="29"/>
  <c r="AH28" i="29" s="1"/>
  <c r="AY13" i="30"/>
  <c r="AZ13" i="30" s="1"/>
  <c r="AU32" i="29"/>
  <c r="AV32" i="29" s="1"/>
  <c r="AS32" i="29"/>
  <c r="AT32" i="29" s="1"/>
  <c r="BC29" i="29"/>
  <c r="BD29" i="29" s="1"/>
  <c r="AS31" i="29"/>
  <c r="AT31" i="29" s="1"/>
  <c r="AU30" i="29"/>
  <c r="AV30" i="29" s="1"/>
  <c r="L45" i="30"/>
  <c r="AE24" i="29"/>
  <c r="AF24" i="29" s="1"/>
  <c r="AQ32" i="29"/>
  <c r="AR32" i="29" s="1"/>
  <c r="AM31" i="29"/>
  <c r="AN31" i="29" s="1"/>
  <c r="BA29" i="29"/>
  <c r="BB29" i="29" s="1"/>
  <c r="AW28" i="29"/>
  <c r="AX28" i="29" s="1"/>
  <c r="AY20" i="30"/>
  <c r="AZ20" i="30" s="1"/>
  <c r="AE30" i="29"/>
  <c r="AF30" i="29" s="1"/>
  <c r="AM32" i="29"/>
  <c r="AN32" i="29" s="1"/>
  <c r="AI32" i="29"/>
  <c r="AJ32" i="29" s="1"/>
  <c r="AW30" i="29"/>
  <c r="AX30" i="29" s="1"/>
  <c r="AW17" i="30"/>
  <c r="AX17" i="30" s="1"/>
  <c r="BA21" i="30"/>
  <c r="BB21" i="30" s="1"/>
  <c r="BC37" i="30"/>
  <c r="BD37" i="30" s="1"/>
  <c r="BA15" i="30"/>
  <c r="BB15" i="30" s="1"/>
  <c r="AQ18" i="30"/>
  <c r="AR18" i="30" s="1"/>
  <c r="AG32" i="29"/>
  <c r="AH32" i="29" s="1"/>
  <c r="AM11" i="30"/>
  <c r="AN11" i="30" s="1"/>
  <c r="BA18" i="30"/>
  <c r="BB18" i="30" s="1"/>
  <c r="BC21" i="30"/>
  <c r="BD21" i="30" s="1"/>
  <c r="BC22" i="30"/>
  <c r="BD22" i="30" s="1"/>
  <c r="AM28" i="29"/>
  <c r="AN28" i="29" s="1"/>
  <c r="BC15" i="30"/>
  <c r="BD15" i="30" s="1"/>
  <c r="AY31" i="29"/>
  <c r="AZ31" i="29" s="1"/>
  <c r="BA17" i="30"/>
  <c r="BB17" i="30" s="1"/>
  <c r="BC18" i="30"/>
  <c r="BD18" i="30" s="1"/>
  <c r="AH84" i="31"/>
  <c r="AI84" i="31" s="1"/>
  <c r="K22" i="31"/>
  <c r="AY30" i="29"/>
  <c r="AZ30" i="29" s="1"/>
  <c r="AE32" i="29"/>
  <c r="AF32" i="29" s="1"/>
  <c r="AQ29" i="29"/>
  <c r="AR29" i="29" s="1"/>
  <c r="AW31" i="29"/>
  <c r="AX31" i="29" s="1"/>
  <c r="AI28" i="29"/>
  <c r="AJ28" i="29" s="1"/>
  <c r="AQ11" i="30"/>
  <c r="AR11" i="30" s="1"/>
  <c r="BC17" i="30"/>
  <c r="BD17" i="30" s="1"/>
  <c r="BA25" i="30"/>
  <c r="BB25" i="30" s="1"/>
  <c r="AE31" i="29"/>
  <c r="AF31" i="29" s="1"/>
  <c r="BA32" i="29"/>
  <c r="BB32" i="29" s="1"/>
  <c r="AU31" i="29"/>
  <c r="AV31" i="29" s="1"/>
  <c r="K60" i="16"/>
  <c r="K60" i="35"/>
  <c r="AW11" i="30"/>
  <c r="AX11" i="30" s="1"/>
  <c r="BA20" i="30"/>
  <c r="BB20" i="30" s="1"/>
  <c r="AI31" i="29"/>
  <c r="AJ31" i="29" s="1"/>
  <c r="AQ25" i="29"/>
  <c r="AR25" i="29" s="1"/>
  <c r="AY32" i="29"/>
  <c r="AZ32" i="29" s="1"/>
  <c r="AO30" i="29"/>
  <c r="AP30" i="29" s="1"/>
  <c r="AM29" i="29"/>
  <c r="AN29" i="29" s="1"/>
  <c r="AE28" i="29"/>
  <c r="AF28" i="29" s="1"/>
  <c r="AY11" i="30"/>
  <c r="AZ11" i="30" s="1"/>
  <c r="AJ71" i="31"/>
  <c r="AK71" i="31" s="1"/>
  <c r="AL71" i="31" s="1"/>
  <c r="D65" i="31"/>
  <c r="AQ30" i="29"/>
  <c r="AR30" i="29" s="1"/>
  <c r="BC28" i="29"/>
  <c r="BD28" i="29" s="1"/>
  <c r="BA11" i="30"/>
  <c r="BB11" i="30" s="1"/>
  <c r="AW29" i="29"/>
  <c r="AX29" i="29" s="1"/>
  <c r="AM30" i="29"/>
  <c r="AN30" i="29" s="1"/>
  <c r="AI29" i="29"/>
  <c r="AJ29" i="29" s="1"/>
  <c r="BA28" i="29"/>
  <c r="BB28" i="29" s="1"/>
  <c r="BC11" i="30"/>
  <c r="BD11" i="30" s="1"/>
  <c r="W35" i="30"/>
  <c r="X35" i="30" s="1"/>
  <c r="Z35" i="30" s="1"/>
  <c r="Y35" i="30" s="1"/>
  <c r="AA35" i="30" s="1"/>
  <c r="AB35" i="30" s="1"/>
  <c r="AQ13" i="30"/>
  <c r="AR13" i="30" s="1"/>
  <c r="AH90" i="31"/>
  <c r="AI90" i="31" s="1"/>
  <c r="K14" i="31"/>
  <c r="AO31" i="29"/>
  <c r="AP31" i="29" s="1"/>
  <c r="AY28" i="29"/>
  <c r="AZ28" i="29" s="1"/>
  <c r="AU13" i="30"/>
  <c r="AV13" i="30" s="1"/>
  <c r="AI30" i="29"/>
  <c r="AJ30" i="29" s="1"/>
  <c r="W34" i="30"/>
  <c r="X34" i="30" s="1"/>
  <c r="Z34" i="30" s="1"/>
  <c r="Y34" i="30" s="1"/>
  <c r="AA34" i="30" s="1"/>
  <c r="AB34" i="30" s="1"/>
  <c r="W36" i="30"/>
  <c r="X36" i="30" s="1"/>
  <c r="Z36" i="30" s="1"/>
  <c r="Y36" i="30" s="1"/>
  <c r="AA36" i="30" s="1"/>
  <c r="AB36" i="30" s="1"/>
  <c r="W37" i="30"/>
  <c r="X37" i="30" s="1"/>
  <c r="Z37" i="30" s="1"/>
  <c r="Y37" i="30" s="1"/>
  <c r="AA37" i="30" s="1"/>
  <c r="AB37" i="30" s="1"/>
  <c r="AH38" i="31"/>
  <c r="AI38" i="31" s="1"/>
  <c r="AJ38" i="31"/>
  <c r="AK38" i="31" s="1"/>
  <c r="AL38" i="31" s="1"/>
  <c r="AH85" i="31"/>
  <c r="AI85" i="31" s="1"/>
  <c r="AJ85" i="31"/>
  <c r="AK85" i="31" s="1"/>
  <c r="AL85" i="31" s="1"/>
  <c r="AJ72" i="31"/>
  <c r="AK72" i="31" s="1"/>
  <c r="AL72" i="31" s="1"/>
  <c r="AH72" i="31"/>
  <c r="AI72" i="31" s="1"/>
  <c r="AJ79" i="31"/>
  <c r="AK79" i="31" s="1"/>
  <c r="AL79" i="31" s="1"/>
  <c r="AH79" i="31"/>
  <c r="AI79" i="31" s="1"/>
  <c r="AJ83" i="31"/>
  <c r="AK83" i="31" s="1"/>
  <c r="AL83" i="31" s="1"/>
  <c r="AH83" i="31"/>
  <c r="AI83" i="31" s="1"/>
  <c r="AH39" i="31"/>
  <c r="AI39" i="31" s="1"/>
  <c r="Y39" i="31" s="1"/>
  <c r="AJ39" i="31"/>
  <c r="AK39" i="31" s="1"/>
  <c r="AL39" i="31" s="1"/>
  <c r="U39" i="31" s="1"/>
  <c r="W39" i="31" s="1"/>
  <c r="J40" i="31" s="1"/>
  <c r="K40" i="31" s="1"/>
  <c r="AJ69" i="31"/>
  <c r="AK69" i="31" s="1"/>
  <c r="AL69" i="31" s="1"/>
  <c r="AH69" i="31"/>
  <c r="AI69" i="31" s="1"/>
  <c r="AJ73" i="31"/>
  <c r="AK73" i="31" s="1"/>
  <c r="AL73" i="31" s="1"/>
  <c r="AH73" i="31"/>
  <c r="AI73" i="31" s="1"/>
  <c r="AJ67" i="31"/>
  <c r="AK67" i="31" s="1"/>
  <c r="AL67" i="31" s="1"/>
  <c r="AH67" i="31"/>
  <c r="AI67" i="31" s="1"/>
  <c r="AJ82" i="31"/>
  <c r="AK82" i="31" s="1"/>
  <c r="AL82" i="31" s="1"/>
  <c r="AH82" i="31"/>
  <c r="AI82" i="31" s="1"/>
  <c r="AH91" i="31"/>
  <c r="AI91" i="31" s="1"/>
  <c r="AJ91" i="31"/>
  <c r="AK91" i="31" s="1"/>
  <c r="AL91" i="31" s="1"/>
  <c r="AJ88" i="31"/>
  <c r="AK88" i="31" s="1"/>
  <c r="AL88" i="31" s="1"/>
  <c r="AH88" i="31"/>
  <c r="AI88" i="31" s="1"/>
  <c r="AJ81" i="31"/>
  <c r="AK81" i="31" s="1"/>
  <c r="AL81" i="31" s="1"/>
  <c r="AH81" i="31"/>
  <c r="AI81" i="31" s="1"/>
  <c r="AJ87" i="31"/>
  <c r="AK87" i="31" s="1"/>
  <c r="AL87" i="31" s="1"/>
  <c r="AH87" i="31"/>
  <c r="AI87" i="31" s="1"/>
  <c r="AJ77" i="31"/>
  <c r="AK77" i="31" s="1"/>
  <c r="AL77" i="31" s="1"/>
  <c r="AH77" i="31"/>
  <c r="AI77" i="31" s="1"/>
  <c r="AJ68" i="31"/>
  <c r="AK68" i="31" s="1"/>
  <c r="AL68" i="31" s="1"/>
  <c r="AH68" i="31"/>
  <c r="AI68" i="31" s="1"/>
  <c r="AJ74" i="31"/>
  <c r="AK74" i="31" s="1"/>
  <c r="AL74" i="31" s="1"/>
  <c r="AH74" i="31"/>
  <c r="AI74" i="31" s="1"/>
  <c r="AJ78" i="31"/>
  <c r="AK78" i="31" s="1"/>
  <c r="AL78" i="31" s="1"/>
  <c r="AH78" i="31"/>
  <c r="AI78" i="31" s="1"/>
  <c r="AJ80" i="31"/>
  <c r="AK80" i="31" s="1"/>
  <c r="AL80" i="31" s="1"/>
  <c r="AH80" i="31"/>
  <c r="AI80" i="31" s="1"/>
  <c r="AS29" i="30"/>
  <c r="AT29" i="30" s="1"/>
  <c r="Q60" i="30"/>
  <c r="L60" i="30" s="1"/>
  <c r="AM17" i="30"/>
  <c r="AN17" i="30" s="1"/>
  <c r="AS24" i="30"/>
  <c r="AT24" i="30" s="1"/>
  <c r="AG25" i="30"/>
  <c r="AH25" i="30" s="1"/>
  <c r="AM26" i="30"/>
  <c r="AN26" i="30" s="1"/>
  <c r="BA29" i="30"/>
  <c r="BB29" i="30" s="1"/>
  <c r="AQ30" i="30"/>
  <c r="AR30" i="30" s="1"/>
  <c r="L56" i="30"/>
  <c r="AQ17" i="30"/>
  <c r="AR17" i="30" s="1"/>
  <c r="BC20" i="30"/>
  <c r="BD20" i="30" s="1"/>
  <c r="AS22" i="30"/>
  <c r="AT22" i="30" s="1"/>
  <c r="BA24" i="30"/>
  <c r="BB24" i="30" s="1"/>
  <c r="AY26" i="30"/>
  <c r="AZ26" i="30" s="1"/>
  <c r="BA28" i="30"/>
  <c r="BB28" i="30" s="1"/>
  <c r="BC29" i="30"/>
  <c r="BD29" i="30" s="1"/>
  <c r="AY35" i="30"/>
  <c r="AZ35" i="30" s="1"/>
  <c r="P57" i="30"/>
  <c r="R57" i="30" s="1"/>
  <c r="R60" i="30"/>
  <c r="AS11" i="30"/>
  <c r="AT11" i="30" s="1"/>
  <c r="AS15" i="30"/>
  <c r="AT15" i="30" s="1"/>
  <c r="AS17" i="30"/>
  <c r="AT17" i="30" s="1"/>
  <c r="BC24" i="30"/>
  <c r="BD24" i="30" s="1"/>
  <c r="AQ25" i="30"/>
  <c r="AR25" i="30" s="1"/>
  <c r="U37" i="30"/>
  <c r="AU22" i="30"/>
  <c r="AV22" i="30" s="1"/>
  <c r="AU27" i="30"/>
  <c r="AV27" i="30" s="1"/>
  <c r="AQ20" i="30"/>
  <c r="AR20" i="30" s="1"/>
  <c r="BA22" i="30"/>
  <c r="BB22" i="30" s="1"/>
  <c r="AQ23" i="30"/>
  <c r="AR23" i="30" s="1"/>
  <c r="AY25" i="30"/>
  <c r="AZ25" i="30" s="1"/>
  <c r="AM13" i="30"/>
  <c r="AN13" i="30" s="1"/>
  <c r="AS18" i="30"/>
  <c r="AT18" i="30" s="1"/>
  <c r="AS20" i="30"/>
  <c r="AT20" i="30" s="1"/>
  <c r="AS23" i="30"/>
  <c r="AT23" i="30" s="1"/>
  <c r="AE33" i="30"/>
  <c r="AF33" i="30" s="1"/>
  <c r="BP40" i="30"/>
  <c r="BL40" i="30"/>
  <c r="W38" i="30"/>
  <c r="X38" i="30" s="1"/>
  <c r="Z38" i="30" s="1"/>
  <c r="Y38" i="30" s="1"/>
  <c r="AA38" i="30" s="1"/>
  <c r="AB38" i="30" s="1"/>
  <c r="BH40" i="30"/>
  <c r="BF40" i="30"/>
  <c r="BN40" i="30"/>
  <c r="AO35" i="30"/>
  <c r="AP35" i="30" s="1"/>
  <c r="AO36" i="30"/>
  <c r="AP36" i="30" s="1"/>
  <c r="AO32" i="30"/>
  <c r="AP32" i="30" s="1"/>
  <c r="AO37" i="30"/>
  <c r="AP37" i="30" s="1"/>
  <c r="AO33" i="30"/>
  <c r="AP33" i="30" s="1"/>
  <c r="AO38" i="30"/>
  <c r="AP38" i="30" s="1"/>
  <c r="AO29" i="30"/>
  <c r="AP29" i="30" s="1"/>
  <c r="AO24" i="30"/>
  <c r="AP24" i="30" s="1"/>
  <c r="AO23" i="30"/>
  <c r="AP23" i="30" s="1"/>
  <c r="AO18" i="30"/>
  <c r="AP18" i="30" s="1"/>
  <c r="AO28" i="30"/>
  <c r="AP28" i="30" s="1"/>
  <c r="AO22" i="30"/>
  <c r="AP22" i="30" s="1"/>
  <c r="AO34" i="30"/>
  <c r="AP34" i="30" s="1"/>
  <c r="AO26" i="30"/>
  <c r="AP26" i="30" s="1"/>
  <c r="AO30" i="30"/>
  <c r="AP30" i="30" s="1"/>
  <c r="AO20" i="30"/>
  <c r="AP20" i="30" s="1"/>
  <c r="AI36" i="30"/>
  <c r="AJ36" i="30" s="1"/>
  <c r="AI32" i="30"/>
  <c r="AJ32" i="30" s="1"/>
  <c r="AI37" i="30"/>
  <c r="AJ37" i="30" s="1"/>
  <c r="AI33" i="30"/>
  <c r="AJ33" i="30" s="1"/>
  <c r="AI38" i="30"/>
  <c r="AJ38" i="30" s="1"/>
  <c r="AI34" i="30"/>
  <c r="AJ34" i="30" s="1"/>
  <c r="AI22" i="30"/>
  <c r="AJ22" i="30" s="1"/>
  <c r="AI31" i="30"/>
  <c r="AJ31" i="30" s="1"/>
  <c r="AI27" i="30"/>
  <c r="AJ27" i="30" s="1"/>
  <c r="AI17" i="30"/>
  <c r="AJ17" i="30" s="1"/>
  <c r="AI35" i="30"/>
  <c r="AJ35" i="30" s="1"/>
  <c r="AI21" i="30"/>
  <c r="AJ21" i="30" s="1"/>
  <c r="AI30" i="30"/>
  <c r="AJ30" i="30" s="1"/>
  <c r="AI26" i="30"/>
  <c r="AJ26" i="30" s="1"/>
  <c r="AI29" i="30"/>
  <c r="AJ29" i="30" s="1"/>
  <c r="AI25" i="30"/>
  <c r="AJ25" i="30" s="1"/>
  <c r="AI24" i="30"/>
  <c r="AJ24" i="30" s="1"/>
  <c r="AM28" i="30"/>
  <c r="AN28" i="30" s="1"/>
  <c r="AG29" i="30"/>
  <c r="AH29" i="30" s="1"/>
  <c r="AO13" i="30"/>
  <c r="AP13" i="30" s="1"/>
  <c r="AW13" i="30"/>
  <c r="AX13" i="30" s="1"/>
  <c r="AW15" i="30"/>
  <c r="AX15" i="30" s="1"/>
  <c r="AM18" i="30"/>
  <c r="AN18" i="30" s="1"/>
  <c r="AM22" i="30"/>
  <c r="AN22" i="30" s="1"/>
  <c r="AG15" i="30"/>
  <c r="AH15" i="30" s="1"/>
  <c r="AW21" i="30"/>
  <c r="AX21" i="30" s="1"/>
  <c r="AO25" i="30"/>
  <c r="AP25" i="30" s="1"/>
  <c r="AO31" i="30"/>
  <c r="AP31" i="30" s="1"/>
  <c r="AO21" i="30"/>
  <c r="AP21" i="30" s="1"/>
  <c r="AE34" i="30"/>
  <c r="AF34" i="30" s="1"/>
  <c r="AE35" i="30"/>
  <c r="AF35" i="30" s="1"/>
  <c r="AE36" i="30"/>
  <c r="AF36" i="30" s="1"/>
  <c r="AE32" i="30"/>
  <c r="AF32" i="30" s="1"/>
  <c r="AE20" i="30"/>
  <c r="AF20" i="30" s="1"/>
  <c r="AE15" i="30"/>
  <c r="AF15" i="30" s="1"/>
  <c r="AE29" i="30"/>
  <c r="AF29" i="30" s="1"/>
  <c r="AE25" i="30"/>
  <c r="AF25" i="30" s="1"/>
  <c r="AE24" i="30"/>
  <c r="AF24" i="30" s="1"/>
  <c r="AE37" i="30"/>
  <c r="AF37" i="30" s="1"/>
  <c r="AE28" i="30"/>
  <c r="AF28" i="30" s="1"/>
  <c r="AE23" i="30"/>
  <c r="AF23" i="30" s="1"/>
  <c r="AE38" i="30"/>
  <c r="AF38" i="30" s="1"/>
  <c r="AE31" i="30"/>
  <c r="AF31" i="30" s="1"/>
  <c r="AE27" i="30"/>
  <c r="AF27" i="30" s="1"/>
  <c r="AL40" i="30"/>
  <c r="BJ40" i="30"/>
  <c r="BR40" i="30"/>
  <c r="AI13" i="30"/>
  <c r="AJ13" i="30" s="1"/>
  <c r="AG21" i="30"/>
  <c r="AH21" i="30" s="1"/>
  <c r="AI23" i="30"/>
  <c r="AJ23" i="30" s="1"/>
  <c r="AE26" i="30"/>
  <c r="AF26" i="30" s="1"/>
  <c r="U36" i="30"/>
  <c r="AI15" i="30"/>
  <c r="AJ15" i="30" s="1"/>
  <c r="AM34" i="30"/>
  <c r="AN34" i="30" s="1"/>
  <c r="AM35" i="30"/>
  <c r="AN35" i="30" s="1"/>
  <c r="AM36" i="30"/>
  <c r="AN36" i="30" s="1"/>
  <c r="AM32" i="30"/>
  <c r="AN32" i="30" s="1"/>
  <c r="AM37" i="30"/>
  <c r="AN37" i="30" s="1"/>
  <c r="AM30" i="30"/>
  <c r="AN30" i="30" s="1"/>
  <c r="AM20" i="30"/>
  <c r="AN20" i="30" s="1"/>
  <c r="AM15" i="30"/>
  <c r="AN15" i="30" s="1"/>
  <c r="AM25" i="30"/>
  <c r="AN25" i="30" s="1"/>
  <c r="AM38" i="30"/>
  <c r="AN38" i="30" s="1"/>
  <c r="AM29" i="30"/>
  <c r="AN29" i="30" s="1"/>
  <c r="AM24" i="30"/>
  <c r="AN24" i="30" s="1"/>
  <c r="AM23" i="30"/>
  <c r="AN23" i="30" s="1"/>
  <c r="AM31" i="30"/>
  <c r="AN31" i="30" s="1"/>
  <c r="AM27" i="30"/>
  <c r="AN27" i="30" s="1"/>
  <c r="AM21" i="30"/>
  <c r="AN21" i="30" s="1"/>
  <c r="AE18" i="30"/>
  <c r="AF18" i="30" s="1"/>
  <c r="AW35" i="30"/>
  <c r="AX35" i="30" s="1"/>
  <c r="AW36" i="30"/>
  <c r="AX36" i="30" s="1"/>
  <c r="AW32" i="30"/>
  <c r="AX32" i="30" s="1"/>
  <c r="AW37" i="30"/>
  <c r="AX37" i="30" s="1"/>
  <c r="AW33" i="30"/>
  <c r="AX33" i="30" s="1"/>
  <c r="AW38" i="30"/>
  <c r="AX38" i="30" s="1"/>
  <c r="AW24" i="30"/>
  <c r="AX24" i="30" s="1"/>
  <c r="AW29" i="30"/>
  <c r="AX29" i="30" s="1"/>
  <c r="AW23" i="30"/>
  <c r="AX23" i="30" s="1"/>
  <c r="AW18" i="30"/>
  <c r="AX18" i="30" s="1"/>
  <c r="AW22" i="30"/>
  <c r="AX22" i="30" s="1"/>
  <c r="AW34" i="30"/>
  <c r="AX34" i="30" s="1"/>
  <c r="AW28" i="30"/>
  <c r="AX28" i="30" s="1"/>
  <c r="AW27" i="30"/>
  <c r="AX27" i="30" s="1"/>
  <c r="AW31" i="30"/>
  <c r="AX31" i="30" s="1"/>
  <c r="AW26" i="30"/>
  <c r="AX26" i="30" s="1"/>
  <c r="AW20" i="30"/>
  <c r="AX20" i="30" s="1"/>
  <c r="AE11" i="30"/>
  <c r="AF11" i="30" s="1"/>
  <c r="AG35" i="30"/>
  <c r="AH35" i="30" s="1"/>
  <c r="AG36" i="30"/>
  <c r="AH36" i="30" s="1"/>
  <c r="AG32" i="30"/>
  <c r="AH32" i="30" s="1"/>
  <c r="AG37" i="30"/>
  <c r="AH37" i="30" s="1"/>
  <c r="AG33" i="30"/>
  <c r="AH33" i="30" s="1"/>
  <c r="AG38" i="30"/>
  <c r="AH38" i="30" s="1"/>
  <c r="AG24" i="30"/>
  <c r="AH24" i="30" s="1"/>
  <c r="AG34" i="30"/>
  <c r="AH34" i="30" s="1"/>
  <c r="AG28" i="30"/>
  <c r="AH28" i="30" s="1"/>
  <c r="AG23" i="30"/>
  <c r="AH23" i="30" s="1"/>
  <c r="AG18" i="30"/>
  <c r="AH18" i="30" s="1"/>
  <c r="AG22" i="30"/>
  <c r="AH22" i="30" s="1"/>
  <c r="AG31" i="30"/>
  <c r="AH31" i="30" s="1"/>
  <c r="AG27" i="30"/>
  <c r="AH27" i="30" s="1"/>
  <c r="AG30" i="30"/>
  <c r="AH30" i="30" s="1"/>
  <c r="AG26" i="30"/>
  <c r="AH26" i="30" s="1"/>
  <c r="AG20" i="30"/>
  <c r="AH20" i="30" s="1"/>
  <c r="AI18" i="30"/>
  <c r="AJ18" i="30" s="1"/>
  <c r="AI20" i="30"/>
  <c r="AJ20" i="30" s="1"/>
  <c r="AE22" i="30"/>
  <c r="AF22" i="30" s="1"/>
  <c r="AW25" i="30"/>
  <c r="AX25" i="30" s="1"/>
  <c r="AO27" i="30"/>
  <c r="AP27" i="30" s="1"/>
  <c r="AE30" i="30"/>
  <c r="AF30" i="30" s="1"/>
  <c r="AU34" i="30"/>
  <c r="AV34" i="30" s="1"/>
  <c r="AU35" i="30"/>
  <c r="AV35" i="30" s="1"/>
  <c r="AU36" i="30"/>
  <c r="AV36" i="30" s="1"/>
  <c r="AU32" i="30"/>
  <c r="AV32" i="30" s="1"/>
  <c r="AQ24" i="30"/>
  <c r="AR24" i="30" s="1"/>
  <c r="AY24" i="30"/>
  <c r="AZ24" i="30" s="1"/>
  <c r="AS28" i="30"/>
  <c r="AT28" i="30" s="1"/>
  <c r="BC28" i="30"/>
  <c r="BD28" i="30" s="1"/>
  <c r="AQ29" i="30"/>
  <c r="AR29" i="30" s="1"/>
  <c r="AQ35" i="30"/>
  <c r="AR35" i="30" s="1"/>
  <c r="AU37" i="30"/>
  <c r="AV37" i="30" s="1"/>
  <c r="BC38" i="30"/>
  <c r="BD38" i="30" s="1"/>
  <c r="AU28" i="30"/>
  <c r="AV28" i="30" s="1"/>
  <c r="BA32" i="30"/>
  <c r="BB32" i="30" s="1"/>
  <c r="AU23" i="30"/>
  <c r="AV23" i="30" s="1"/>
  <c r="AY36" i="30"/>
  <c r="AZ36" i="30" s="1"/>
  <c r="AY32" i="30"/>
  <c r="AZ32" i="30" s="1"/>
  <c r="AY31" i="30"/>
  <c r="AZ31" i="30" s="1"/>
  <c r="AY37" i="30"/>
  <c r="AZ37" i="30" s="1"/>
  <c r="AY33" i="30"/>
  <c r="AZ33" i="30" s="1"/>
  <c r="AY38" i="30"/>
  <c r="AZ38" i="30" s="1"/>
  <c r="AY34" i="30"/>
  <c r="AZ34" i="30" s="1"/>
  <c r="AS25" i="30"/>
  <c r="AT25" i="30" s="1"/>
  <c r="AY27" i="30"/>
  <c r="AZ27" i="30" s="1"/>
  <c r="AU29" i="30"/>
  <c r="AV29" i="30" s="1"/>
  <c r="BA30" i="30"/>
  <c r="BB30" i="30" s="1"/>
  <c r="Q58" i="30"/>
  <c r="L58" i="30" s="1"/>
  <c r="P58" i="30"/>
  <c r="R58" i="30" s="1"/>
  <c r="AS36" i="30"/>
  <c r="AT36" i="30" s="1"/>
  <c r="AQ36" i="30"/>
  <c r="AR36" i="30" s="1"/>
  <c r="AQ32" i="30"/>
  <c r="AR32" i="30" s="1"/>
  <c r="AQ31" i="30"/>
  <c r="AR31" i="30" s="1"/>
  <c r="AQ37" i="30"/>
  <c r="AR37" i="30" s="1"/>
  <c r="AQ33" i="30"/>
  <c r="AR33" i="30" s="1"/>
  <c r="AQ38" i="30"/>
  <c r="AR38" i="30" s="1"/>
  <c r="AQ34" i="30"/>
  <c r="AR34" i="30" s="1"/>
  <c r="AQ21" i="30"/>
  <c r="AR21" i="30" s="1"/>
  <c r="AY21" i="30"/>
  <c r="AZ21" i="30" s="1"/>
  <c r="AU24" i="30"/>
  <c r="AV24" i="30" s="1"/>
  <c r="BA37" i="30"/>
  <c r="BB37" i="30" s="1"/>
  <c r="BA33" i="30"/>
  <c r="BB33" i="30" s="1"/>
  <c r="BA38" i="30"/>
  <c r="BB38" i="30" s="1"/>
  <c r="BA34" i="30"/>
  <c r="BB34" i="30" s="1"/>
  <c r="BA35" i="30"/>
  <c r="BB35" i="30" s="1"/>
  <c r="BA26" i="30"/>
  <c r="BB26" i="30" s="1"/>
  <c r="AQ27" i="30"/>
  <c r="AR27" i="30" s="1"/>
  <c r="AS30" i="30"/>
  <c r="AT30" i="30" s="1"/>
  <c r="BC30" i="30"/>
  <c r="BD30" i="30" s="1"/>
  <c r="U33" i="30"/>
  <c r="AU33" i="30"/>
  <c r="AV33" i="30" s="1"/>
  <c r="AU25" i="30"/>
  <c r="AV25" i="30" s="1"/>
  <c r="BC34" i="30"/>
  <c r="BD34" i="30" s="1"/>
  <c r="BC35" i="30"/>
  <c r="BD35" i="30" s="1"/>
  <c r="BC36" i="30"/>
  <c r="BD36" i="30" s="1"/>
  <c r="BC32" i="30"/>
  <c r="BD32" i="30" s="1"/>
  <c r="AS26" i="30"/>
  <c r="AT26" i="30" s="1"/>
  <c r="BC26" i="30"/>
  <c r="BD26" i="30" s="1"/>
  <c r="BA27" i="30"/>
  <c r="BB27" i="30" s="1"/>
  <c r="AY28" i="30"/>
  <c r="AZ28" i="30" s="1"/>
  <c r="AU30" i="30"/>
  <c r="AV30" i="30" s="1"/>
  <c r="BA36" i="30"/>
  <c r="BB36" i="30" s="1"/>
  <c r="L57" i="30"/>
  <c r="AS37" i="30"/>
  <c r="AT37" i="30" s="1"/>
  <c r="AS33" i="30"/>
  <c r="AT33" i="30" s="1"/>
  <c r="AS38" i="30"/>
  <c r="AT38" i="30" s="1"/>
  <c r="AS34" i="30"/>
  <c r="AT34" i="30" s="1"/>
  <c r="AS35" i="30"/>
  <c r="AT35" i="30" s="1"/>
  <c r="AS21" i="30"/>
  <c r="AT21" i="30" s="1"/>
  <c r="AQ22" i="30"/>
  <c r="AR22" i="30" s="1"/>
  <c r="AY22" i="30"/>
  <c r="AZ22" i="30" s="1"/>
  <c r="AS27" i="30"/>
  <c r="AT27" i="30" s="1"/>
  <c r="BC27" i="30"/>
  <c r="BD27" i="30" s="1"/>
  <c r="AQ28" i="30"/>
  <c r="AR28" i="30" s="1"/>
  <c r="AU31" i="30"/>
  <c r="AV31" i="30" s="1"/>
  <c r="AS32" i="30"/>
  <c r="AT32" i="30" s="1"/>
  <c r="BC33" i="30"/>
  <c r="BD33" i="30" s="1"/>
  <c r="AU38" i="30"/>
  <c r="AV38" i="30" s="1"/>
  <c r="L61" i="30"/>
  <c r="W33" i="30"/>
  <c r="X33" i="30" s="1"/>
  <c r="Z33" i="30" s="1"/>
  <c r="Y33" i="30" s="1"/>
  <c r="AA33" i="30" s="1"/>
  <c r="AB33" i="30" s="1"/>
  <c r="P59" i="30"/>
  <c r="R59" i="30" s="1"/>
  <c r="P56" i="30"/>
  <c r="R56" i="30" s="1"/>
  <c r="P61" i="30"/>
  <c r="R61" i="30" s="1"/>
  <c r="BC34" i="29"/>
  <c r="BD34" i="29" s="1"/>
  <c r="BC33" i="29"/>
  <c r="BD33" i="29" s="1"/>
  <c r="BC36" i="29"/>
  <c r="BD36" i="29" s="1"/>
  <c r="BC26" i="29"/>
  <c r="BD26" i="29" s="1"/>
  <c r="BC15" i="29"/>
  <c r="BD15" i="29" s="1"/>
  <c r="AY38" i="29"/>
  <c r="AZ38" i="29" s="1"/>
  <c r="AY23" i="29"/>
  <c r="AZ23" i="29" s="1"/>
  <c r="AY15" i="29"/>
  <c r="AZ15" i="29" s="1"/>
  <c r="AI23" i="29"/>
  <c r="AJ23" i="29" s="1"/>
  <c r="AU25" i="29"/>
  <c r="AV25" i="29" s="1"/>
  <c r="AY25" i="29"/>
  <c r="AZ25" i="29" s="1"/>
  <c r="AI34" i="29"/>
  <c r="AJ34" i="29" s="1"/>
  <c r="BA36" i="29"/>
  <c r="BB36" i="29" s="1"/>
  <c r="BE18" i="29"/>
  <c r="BF18" i="29" s="1"/>
  <c r="AY37" i="29"/>
  <c r="AZ37" i="29" s="1"/>
  <c r="BG18" i="29"/>
  <c r="BH18" i="29" s="1"/>
  <c r="BA24" i="29"/>
  <c r="BB24" i="29" s="1"/>
  <c r="AY24" i="29"/>
  <c r="AZ24" i="29" s="1"/>
  <c r="AU23" i="29"/>
  <c r="AV23" i="29" s="1"/>
  <c r="AU24" i="29"/>
  <c r="AV24" i="29" s="1"/>
  <c r="AU15" i="29"/>
  <c r="AV15" i="29" s="1"/>
  <c r="L59" i="29"/>
  <c r="L58" i="29"/>
  <c r="AQ18" i="29"/>
  <c r="AR18" i="29" s="1"/>
  <c r="AM18" i="29"/>
  <c r="AN18" i="29" s="1"/>
  <c r="AK18" i="29"/>
  <c r="AL18" i="29" s="1"/>
  <c r="L57" i="29"/>
  <c r="AY18" i="29"/>
  <c r="AZ18" i="29" s="1"/>
  <c r="BA18" i="29"/>
  <c r="BB18" i="29" s="1"/>
  <c r="AE18" i="29"/>
  <c r="AF18" i="29" s="1"/>
  <c r="BA15" i="29"/>
  <c r="BB15" i="29" s="1"/>
  <c r="AO21" i="29"/>
  <c r="AP21" i="29" s="1"/>
  <c r="W33" i="29"/>
  <c r="X33" i="29" s="1"/>
  <c r="Z33" i="29" s="1"/>
  <c r="Y33" i="29" s="1"/>
  <c r="AA33" i="29" s="1"/>
  <c r="AB33" i="29" s="1"/>
  <c r="AQ23" i="29"/>
  <c r="AR23" i="29" s="1"/>
  <c r="AU18" i="29"/>
  <c r="AV18" i="29" s="1"/>
  <c r="P60" i="29"/>
  <c r="R60" i="29" s="1"/>
  <c r="AU27" i="29"/>
  <c r="AV27" i="29" s="1"/>
  <c r="AE33" i="29"/>
  <c r="AF33" i="29" s="1"/>
  <c r="AE15" i="29"/>
  <c r="AF15" i="29" s="1"/>
  <c r="AS27" i="29"/>
  <c r="AT27" i="29" s="1"/>
  <c r="AO26" i="29"/>
  <c r="AP26" i="29" s="1"/>
  <c r="BA27" i="29"/>
  <c r="BB27" i="29" s="1"/>
  <c r="W34" i="29"/>
  <c r="X34" i="29" s="1"/>
  <c r="Z34" i="29" s="1"/>
  <c r="Y34" i="29" s="1"/>
  <c r="AA34" i="29" s="1"/>
  <c r="AB34" i="29" s="1"/>
  <c r="L45" i="29"/>
  <c r="AU33" i="29"/>
  <c r="AV33" i="29" s="1"/>
  <c r="AE34" i="29"/>
  <c r="AF34" i="29" s="1"/>
  <c r="AS36" i="29"/>
  <c r="AT36" i="29" s="1"/>
  <c r="AE37" i="29"/>
  <c r="AF37" i="29" s="1"/>
  <c r="AE23" i="29"/>
  <c r="AF23" i="29" s="1"/>
  <c r="AI25" i="29"/>
  <c r="AJ25" i="29" s="1"/>
  <c r="AU34" i="29"/>
  <c r="AV34" i="29" s="1"/>
  <c r="AU35" i="29"/>
  <c r="AV35" i="29" s="1"/>
  <c r="AU37" i="29"/>
  <c r="AV37" i="29" s="1"/>
  <c r="AE38" i="29"/>
  <c r="AF38" i="29" s="1"/>
  <c r="AE25" i="29"/>
  <c r="AF25" i="29" s="1"/>
  <c r="AU36" i="29"/>
  <c r="AV36" i="29" s="1"/>
  <c r="AY34" i="29"/>
  <c r="AZ34" i="29" s="1"/>
  <c r="AS23" i="29"/>
  <c r="AT23" i="29" s="1"/>
  <c r="AS15" i="29"/>
  <c r="AT15" i="29" s="1"/>
  <c r="W36" i="29"/>
  <c r="X36" i="29" s="1"/>
  <c r="Z36" i="29" s="1"/>
  <c r="Y36" i="29" s="1"/>
  <c r="AA36" i="29" s="1"/>
  <c r="AB36" i="29" s="1"/>
  <c r="W35" i="29"/>
  <c r="X35" i="29" s="1"/>
  <c r="Z35" i="29" s="1"/>
  <c r="Y35" i="29" s="1"/>
  <c r="AA35" i="29" s="1"/>
  <c r="AB35" i="29" s="1"/>
  <c r="W37" i="29"/>
  <c r="X37" i="29" s="1"/>
  <c r="Z37" i="29" s="1"/>
  <c r="Y37" i="29" s="1"/>
  <c r="AA37" i="29" s="1"/>
  <c r="AB37" i="29" s="1"/>
  <c r="P56" i="29"/>
  <c r="R56" i="29" s="1"/>
  <c r="P58" i="29"/>
  <c r="R58" i="29" s="1"/>
  <c r="P59" i="29"/>
  <c r="R59" i="29" s="1"/>
  <c r="U36" i="29"/>
  <c r="BC11" i="29"/>
  <c r="BD11" i="29" s="1"/>
  <c r="AY11" i="29"/>
  <c r="AZ11" i="29" s="1"/>
  <c r="AE11" i="29"/>
  <c r="AF11" i="29" s="1"/>
  <c r="BO11" i="29"/>
  <c r="BP11" i="29" s="1"/>
  <c r="AU11" i="29"/>
  <c r="AV11" i="29" s="1"/>
  <c r="BI11" i="29"/>
  <c r="BJ11" i="29" s="1"/>
  <c r="BK11" i="29"/>
  <c r="BL11" i="29" s="1"/>
  <c r="BE11" i="29"/>
  <c r="BF11" i="29" s="1"/>
  <c r="BQ11" i="29"/>
  <c r="BR11" i="29" s="1"/>
  <c r="BG11" i="29"/>
  <c r="BH11" i="29" s="1"/>
  <c r="AQ11" i="29"/>
  <c r="AR11" i="29" s="1"/>
  <c r="AK11" i="29"/>
  <c r="AL11" i="29" s="1"/>
  <c r="BM11" i="29"/>
  <c r="BN11" i="29" s="1"/>
  <c r="AM11" i="29"/>
  <c r="AN11" i="29" s="1"/>
  <c r="AO35" i="29"/>
  <c r="AP35" i="29" s="1"/>
  <c r="AW18" i="29"/>
  <c r="AX18" i="29" s="1"/>
  <c r="AG15" i="29"/>
  <c r="AH15" i="29" s="1"/>
  <c r="AM36" i="29"/>
  <c r="AN36" i="29" s="1"/>
  <c r="AM27" i="29"/>
  <c r="AN27" i="29" s="1"/>
  <c r="AM37" i="29"/>
  <c r="AN37" i="29" s="1"/>
  <c r="AM33" i="29"/>
  <c r="AN33" i="29" s="1"/>
  <c r="AM38" i="29"/>
  <c r="AN38" i="29" s="1"/>
  <c r="AM34" i="29"/>
  <c r="AN34" i="29" s="1"/>
  <c r="AM25" i="29"/>
  <c r="AN25" i="29" s="1"/>
  <c r="AM35" i="29"/>
  <c r="AN35" i="29" s="1"/>
  <c r="AW23" i="29"/>
  <c r="AX23" i="29" s="1"/>
  <c r="AG27" i="29"/>
  <c r="AH27" i="29" s="1"/>
  <c r="AQ37" i="29"/>
  <c r="AR37" i="29" s="1"/>
  <c r="AQ33" i="29"/>
  <c r="AR33" i="29" s="1"/>
  <c r="AQ15" i="29"/>
  <c r="AR15" i="29" s="1"/>
  <c r="AQ38" i="29"/>
  <c r="AR38" i="29" s="1"/>
  <c r="AQ26" i="29"/>
  <c r="AR26" i="29" s="1"/>
  <c r="AQ35" i="29"/>
  <c r="AR35" i="29" s="1"/>
  <c r="AQ36" i="29"/>
  <c r="AR36" i="29" s="1"/>
  <c r="AQ27" i="29"/>
  <c r="AR27" i="29" s="1"/>
  <c r="AI35" i="29"/>
  <c r="AJ35" i="29" s="1"/>
  <c r="AI11" i="29"/>
  <c r="AJ11" i="29" s="1"/>
  <c r="AI36" i="29"/>
  <c r="AJ36" i="29" s="1"/>
  <c r="AI27" i="29"/>
  <c r="AJ27" i="29" s="1"/>
  <c r="AI37" i="29"/>
  <c r="AJ37" i="29" s="1"/>
  <c r="AI33" i="29"/>
  <c r="AJ33" i="29" s="1"/>
  <c r="AI24" i="29"/>
  <c r="AJ24" i="29" s="1"/>
  <c r="AI18" i="29"/>
  <c r="AJ18" i="29" s="1"/>
  <c r="AW11" i="29"/>
  <c r="AX11" i="29" s="1"/>
  <c r="U35" i="29"/>
  <c r="AW38" i="29"/>
  <c r="AX38" i="29" s="1"/>
  <c r="AW34" i="29"/>
  <c r="AX34" i="29" s="1"/>
  <c r="AW25" i="29"/>
  <c r="AX25" i="29" s="1"/>
  <c r="AW35" i="29"/>
  <c r="AX35" i="29" s="1"/>
  <c r="AW26" i="29"/>
  <c r="AX26" i="29" s="1"/>
  <c r="AW36" i="29"/>
  <c r="AX36" i="29" s="1"/>
  <c r="AW27" i="29"/>
  <c r="AX27" i="29" s="1"/>
  <c r="AW37" i="29"/>
  <c r="AX37" i="29" s="1"/>
  <c r="AW33" i="29"/>
  <c r="AX33" i="29" s="1"/>
  <c r="AO22" i="29"/>
  <c r="AP22" i="29" s="1"/>
  <c r="AW24" i="29"/>
  <c r="AX24" i="29" s="1"/>
  <c r="AG24" i="29"/>
  <c r="AH24" i="29" s="1"/>
  <c r="AQ34" i="29"/>
  <c r="AR34" i="29" s="1"/>
  <c r="AI38" i="29"/>
  <c r="AJ38" i="29" s="1"/>
  <c r="AI26" i="29"/>
  <c r="AJ26" i="29" s="1"/>
  <c r="L60" i="29"/>
  <c r="AO23" i="29"/>
  <c r="AP23" i="29" s="1"/>
  <c r="AM17" i="29"/>
  <c r="AN17" i="29" s="1"/>
  <c r="AO37" i="29"/>
  <c r="AP37" i="29" s="1"/>
  <c r="AO33" i="29"/>
  <c r="AP33" i="29" s="1"/>
  <c r="AO18" i="29"/>
  <c r="AP18" i="29" s="1"/>
  <c r="AO24" i="29"/>
  <c r="AP24" i="29" s="1"/>
  <c r="AO38" i="29"/>
  <c r="AP38" i="29" s="1"/>
  <c r="AO34" i="29"/>
  <c r="AP34" i="29" s="1"/>
  <c r="AO25" i="29"/>
  <c r="AP25" i="29" s="1"/>
  <c r="AO11" i="29"/>
  <c r="AP11" i="29" s="1"/>
  <c r="AG35" i="29"/>
  <c r="AH35" i="29" s="1"/>
  <c r="AG26" i="29"/>
  <c r="AH26" i="29" s="1"/>
  <c r="AG37" i="29"/>
  <c r="AH37" i="29" s="1"/>
  <c r="AG33" i="29"/>
  <c r="AH33" i="29" s="1"/>
  <c r="AG38" i="29"/>
  <c r="AH38" i="29" s="1"/>
  <c r="AG34" i="29"/>
  <c r="AH34" i="29" s="1"/>
  <c r="AG25" i="29"/>
  <c r="AH25" i="29" s="1"/>
  <c r="AG18" i="29"/>
  <c r="AH18" i="29" s="1"/>
  <c r="AW15" i="29"/>
  <c r="AX15" i="29" s="1"/>
  <c r="BM18" i="29"/>
  <c r="BN18" i="29" s="1"/>
  <c r="AS18" i="29"/>
  <c r="AT18" i="29" s="1"/>
  <c r="BI18" i="29"/>
  <c r="BJ18" i="29" s="1"/>
  <c r="BC18" i="29"/>
  <c r="BD18" i="29" s="1"/>
  <c r="AG23" i="29"/>
  <c r="AH23" i="29" s="1"/>
  <c r="BA35" i="29"/>
  <c r="BB35" i="29" s="1"/>
  <c r="BA26" i="29"/>
  <c r="BB26" i="29" s="1"/>
  <c r="BA11" i="29"/>
  <c r="BB11" i="29" s="1"/>
  <c r="BA37" i="29"/>
  <c r="BB37" i="29" s="1"/>
  <c r="BA33" i="29"/>
  <c r="BB33" i="29" s="1"/>
  <c r="BA38" i="29"/>
  <c r="BB38" i="29" s="1"/>
  <c r="BA34" i="29"/>
  <c r="BB34" i="29" s="1"/>
  <c r="BA25" i="29"/>
  <c r="BB25" i="29" s="1"/>
  <c r="AM15" i="29"/>
  <c r="AN15" i="29" s="1"/>
  <c r="AO27" i="29"/>
  <c r="AP27" i="29" s="1"/>
  <c r="AG36" i="29"/>
  <c r="AH36" i="29" s="1"/>
  <c r="AM24" i="29"/>
  <c r="AN24" i="29" s="1"/>
  <c r="L61" i="29"/>
  <c r="AM20" i="29"/>
  <c r="AN20" i="29" s="1"/>
  <c r="AS26" i="29"/>
  <c r="AT26" i="29" s="1"/>
  <c r="AS35" i="29"/>
  <c r="AT35" i="29" s="1"/>
  <c r="AE27" i="29"/>
  <c r="AF27" i="29" s="1"/>
  <c r="AY27" i="29"/>
  <c r="AZ27" i="29" s="1"/>
  <c r="AE36" i="29"/>
  <c r="AF36" i="29" s="1"/>
  <c r="AY36" i="29"/>
  <c r="AZ36" i="29" s="1"/>
  <c r="Q56" i="29"/>
  <c r="L56" i="29" s="1"/>
  <c r="AS25" i="29"/>
  <c r="AT25" i="29" s="1"/>
  <c r="AS34" i="29"/>
  <c r="AT34" i="29" s="1"/>
  <c r="W38" i="29"/>
  <c r="X38" i="29" s="1"/>
  <c r="Z38" i="29" s="1"/>
  <c r="Y38" i="29" s="1"/>
  <c r="AA38" i="29" s="1"/>
  <c r="AB38" i="29" s="1"/>
  <c r="AS38" i="29"/>
  <c r="AT38" i="29" s="1"/>
  <c r="AE26" i="29"/>
  <c r="AF26" i="29" s="1"/>
  <c r="AY26" i="29"/>
  <c r="AZ26" i="29" s="1"/>
  <c r="AE35" i="29"/>
  <c r="AF35" i="29" s="1"/>
  <c r="AY35" i="29"/>
  <c r="AZ35" i="29" s="1"/>
  <c r="P57" i="29"/>
  <c r="R57" i="29" s="1"/>
  <c r="P61" i="29"/>
  <c r="R61" i="29" s="1"/>
  <c r="AS24" i="29"/>
  <c r="AT24" i="29" s="1"/>
  <c r="AS33" i="29"/>
  <c r="AT33" i="29" s="1"/>
  <c r="E65" i="31" l="1"/>
  <c r="F65" i="31" s="1"/>
  <c r="I65" i="31" s="1"/>
  <c r="L65" i="31" s="1"/>
  <c r="E27" i="29"/>
  <c r="F27" i="29" s="1"/>
  <c r="H27" i="29" s="1"/>
  <c r="K27" i="29" s="1"/>
  <c r="F60" i="35"/>
  <c r="M60" i="35" s="1"/>
  <c r="S60" i="35" s="1"/>
  <c r="F60" i="16"/>
  <c r="M60" i="16" s="1"/>
  <c r="S60" i="16" s="1"/>
  <c r="O60" i="16"/>
  <c r="W60" i="16" s="1"/>
  <c r="O60" i="35"/>
  <c r="W60" i="35" s="1"/>
  <c r="H65" i="31"/>
  <c r="BB40" i="30"/>
  <c r="AR40" i="30"/>
  <c r="AJ40" i="30"/>
  <c r="AX40" i="30"/>
  <c r="AN40" i="30"/>
  <c r="AZ40" i="30"/>
  <c r="BA22" i="29"/>
  <c r="BB22" i="29" s="1"/>
  <c r="AO20" i="29"/>
  <c r="AP20" i="29" s="1"/>
  <c r="AG21" i="29"/>
  <c r="AH21" i="29" s="1"/>
  <c r="AY20" i="29"/>
  <c r="AZ20" i="29" s="1"/>
  <c r="AM21" i="29"/>
  <c r="AN21" i="29" s="1"/>
  <c r="AK21" i="29"/>
  <c r="AL21" i="29" s="1"/>
  <c r="BG21" i="29"/>
  <c r="BH21" i="29" s="1"/>
  <c r="AW21" i="29"/>
  <c r="AX21" i="29" s="1"/>
  <c r="AY21" i="29"/>
  <c r="AZ21" i="29" s="1"/>
  <c r="BK21" i="29"/>
  <c r="BL21" i="29" s="1"/>
  <c r="BM21" i="29"/>
  <c r="BN21" i="29" s="1"/>
  <c r="BO21" i="29"/>
  <c r="BP21" i="29" s="1"/>
  <c r="BQ21" i="29"/>
  <c r="BR21" i="29" s="1"/>
  <c r="AS21" i="29"/>
  <c r="AT21" i="29" s="1"/>
  <c r="AE21" i="29"/>
  <c r="AF21" i="29" s="1"/>
  <c r="BA21" i="29"/>
  <c r="BB21" i="29" s="1"/>
  <c r="AI21" i="29"/>
  <c r="AJ21" i="29" s="1"/>
  <c r="AQ21" i="29"/>
  <c r="AR21" i="29" s="1"/>
  <c r="AE20" i="29"/>
  <c r="AF20" i="29" s="1"/>
  <c r="AG22" i="29"/>
  <c r="AH22" i="29" s="1"/>
  <c r="BE21" i="29"/>
  <c r="BF21" i="29" s="1"/>
  <c r="BI21" i="29"/>
  <c r="BJ21" i="29" s="1"/>
  <c r="BC21" i="29"/>
  <c r="BD21" i="29" s="1"/>
  <c r="AS11" i="29"/>
  <c r="AT11" i="29" s="1"/>
  <c r="AG11" i="29"/>
  <c r="AH11" i="29" s="1"/>
  <c r="AY13" i="29"/>
  <c r="AZ13" i="29" s="1"/>
  <c r="AE13" i="29"/>
  <c r="AF13" i="29" s="1"/>
  <c r="BO13" i="29"/>
  <c r="BP13" i="29" s="1"/>
  <c r="AU13" i="29"/>
  <c r="AV13" i="29" s="1"/>
  <c r="BI13" i="29"/>
  <c r="BJ13" i="29" s="1"/>
  <c r="BC13" i="29"/>
  <c r="BD13" i="29" s="1"/>
  <c r="BE13" i="29"/>
  <c r="BF13" i="29" s="1"/>
  <c r="BG13" i="29"/>
  <c r="BH13" i="29" s="1"/>
  <c r="BA13" i="29"/>
  <c r="BB13" i="29" s="1"/>
  <c r="AQ13" i="29"/>
  <c r="AR13" i="29" s="1"/>
  <c r="AG13" i="29"/>
  <c r="AH13" i="29" s="1"/>
  <c r="AK13" i="29"/>
  <c r="AL13" i="29" s="1"/>
  <c r="BQ13" i="29"/>
  <c r="BR13" i="29" s="1"/>
  <c r="BM13" i="29"/>
  <c r="BN13" i="29" s="1"/>
  <c r="BK13" i="29"/>
  <c r="BL13" i="29" s="1"/>
  <c r="AW13" i="29"/>
  <c r="AX13" i="29" s="1"/>
  <c r="AW20" i="29"/>
  <c r="AX20" i="29" s="1"/>
  <c r="AG17" i="29"/>
  <c r="AH17" i="29" s="1"/>
  <c r="BE22" i="29"/>
  <c r="BF22" i="29" s="1"/>
  <c r="AK22" i="29"/>
  <c r="AL22" i="29" s="1"/>
  <c r="BO22" i="29"/>
  <c r="BP22" i="29" s="1"/>
  <c r="AU22" i="29"/>
  <c r="AV22" i="29" s="1"/>
  <c r="BI22" i="29"/>
  <c r="BJ22" i="29" s="1"/>
  <c r="BC22" i="29"/>
  <c r="BD22" i="29" s="1"/>
  <c r="AY22" i="29"/>
  <c r="AZ22" i="29" s="1"/>
  <c r="AE22" i="29"/>
  <c r="AF22" i="29" s="1"/>
  <c r="AS22" i="29"/>
  <c r="AT22" i="29" s="1"/>
  <c r="AQ22" i="29"/>
  <c r="AR22" i="29" s="1"/>
  <c r="AI22" i="29"/>
  <c r="AJ22" i="29" s="1"/>
  <c r="BK22" i="29"/>
  <c r="BL22" i="29" s="1"/>
  <c r="BG22" i="29"/>
  <c r="BH22" i="29" s="1"/>
  <c r="BQ22" i="29"/>
  <c r="BR22" i="29" s="1"/>
  <c r="BM22" i="29"/>
  <c r="BN22" i="29" s="1"/>
  <c r="BA17" i="29"/>
  <c r="BB17" i="29" s="1"/>
  <c r="AO13" i="29"/>
  <c r="AP13" i="29" s="1"/>
  <c r="AM13" i="29"/>
  <c r="AN13" i="29" s="1"/>
  <c r="AM22" i="29"/>
  <c r="AN22" i="29" s="1"/>
  <c r="BI17" i="29"/>
  <c r="BJ17" i="29" s="1"/>
  <c r="BG17" i="29"/>
  <c r="BH17" i="29" s="1"/>
  <c r="BE17" i="29"/>
  <c r="BF17" i="29" s="1"/>
  <c r="AK17" i="29"/>
  <c r="AL17" i="29" s="1"/>
  <c r="BO17" i="29"/>
  <c r="BP17" i="29" s="1"/>
  <c r="AU17" i="29"/>
  <c r="AV17" i="29" s="1"/>
  <c r="BM17" i="29"/>
  <c r="BN17" i="29" s="1"/>
  <c r="BQ17" i="29"/>
  <c r="BR17" i="29" s="1"/>
  <c r="AQ17" i="29"/>
  <c r="AR17" i="29" s="1"/>
  <c r="BK17" i="29"/>
  <c r="BL17" i="29" s="1"/>
  <c r="BC17" i="29"/>
  <c r="BD17" i="29" s="1"/>
  <c r="AY17" i="29"/>
  <c r="AZ17" i="29" s="1"/>
  <c r="AI17" i="29"/>
  <c r="AJ17" i="29" s="1"/>
  <c r="AS17" i="29"/>
  <c r="AT17" i="29" s="1"/>
  <c r="BO20" i="29"/>
  <c r="BP20" i="29" s="1"/>
  <c r="BI20" i="29"/>
  <c r="BJ20" i="29" s="1"/>
  <c r="BK20" i="29"/>
  <c r="BL20" i="29" s="1"/>
  <c r="BG20" i="29"/>
  <c r="BH20" i="29" s="1"/>
  <c r="AI20" i="29"/>
  <c r="AJ20" i="29" s="1"/>
  <c r="BE20" i="29"/>
  <c r="BF20" i="29" s="1"/>
  <c r="BC20" i="29"/>
  <c r="BD20" i="29" s="1"/>
  <c r="BM20" i="29"/>
  <c r="BN20" i="29" s="1"/>
  <c r="BA20" i="29"/>
  <c r="BB20" i="29" s="1"/>
  <c r="BQ20" i="29"/>
  <c r="BR20" i="29" s="1"/>
  <c r="AQ20" i="29"/>
  <c r="AR20" i="29" s="1"/>
  <c r="AK20" i="29"/>
  <c r="AL20" i="29" s="1"/>
  <c r="AW17" i="29"/>
  <c r="AX17" i="29" s="1"/>
  <c r="E60" i="16" l="1"/>
  <c r="L60" i="16" s="1"/>
  <c r="R60" i="16" s="1"/>
  <c r="AD60" i="16" s="1"/>
  <c r="AE60" i="16" s="1"/>
  <c r="AD65" i="31"/>
  <c r="AG65" i="31" s="1"/>
  <c r="AH65" i="31" s="1"/>
  <c r="AI65" i="31" s="1"/>
  <c r="Y65" i="31" s="1"/>
  <c r="E60" i="35"/>
  <c r="L60" i="35" s="1"/>
  <c r="R60" i="35" s="1"/>
  <c r="AD60" i="35" s="1"/>
  <c r="AE60" i="35" s="1"/>
  <c r="AF60" i="35" s="1"/>
  <c r="AH60" i="35" s="1"/>
  <c r="AI60" i="35" s="1"/>
  <c r="Z65" i="31"/>
  <c r="Q55" i="29"/>
  <c r="L55" i="29" s="1"/>
  <c r="U27" i="29" s="1"/>
  <c r="P55" i="29"/>
  <c r="W27" i="29"/>
  <c r="X27" i="29" s="1"/>
  <c r="Z27" i="29" s="1"/>
  <c r="Y27" i="29" s="1"/>
  <c r="AA27" i="29" s="1"/>
  <c r="AB27" i="29" s="1"/>
  <c r="AZ40" i="29"/>
  <c r="BN40" i="29"/>
  <c r="AR40" i="29"/>
  <c r="BJ40" i="29"/>
  <c r="BF40" i="29"/>
  <c r="BL40" i="29"/>
  <c r="BB40" i="29"/>
  <c r="BR40" i="29"/>
  <c r="BP40" i="29"/>
  <c r="BH40" i="29"/>
  <c r="AL40" i="29"/>
  <c r="AJ65" i="31" l="1"/>
  <c r="AK65" i="31" s="1"/>
  <c r="AL65" i="31" s="1"/>
  <c r="U65" i="31" s="1"/>
  <c r="W65" i="31" s="1"/>
  <c r="R55" i="29"/>
  <c r="R27" i="29" s="1"/>
  <c r="W27" i="30"/>
  <c r="X27" i="30" s="1"/>
  <c r="P55" i="30"/>
  <c r="Q55" i="30"/>
  <c r="L55" i="30" s="1"/>
  <c r="AI13" i="29"/>
  <c r="AJ13" i="29" s="1"/>
  <c r="AJ40" i="29" s="1"/>
  <c r="AM26" i="29"/>
  <c r="AN26" i="29" s="1"/>
  <c r="AN40" i="29" s="1"/>
  <c r="Z27" i="30" l="1"/>
  <c r="Y27" i="30" s="1"/>
  <c r="AA27" i="30" s="1"/>
  <c r="AB27" i="30" s="1"/>
  <c r="R55" i="30" s="1"/>
  <c r="M52" i="29"/>
  <c r="AE17" i="29" l="1"/>
  <c r="AF17" i="29" s="1"/>
  <c r="AF40" i="29" s="1"/>
  <c r="AS20" i="29" l="1"/>
  <c r="AT20" i="29" s="1"/>
  <c r="AG20" i="29"/>
  <c r="AH20" i="29" s="1"/>
  <c r="AH40" i="29" s="1"/>
  <c r="F10" i="28" l="1"/>
  <c r="F9" i="28"/>
  <c r="C10" i="28"/>
  <c r="C9" i="28"/>
  <c r="F7" i="28"/>
  <c r="E6" i="28"/>
  <c r="D7" i="28" s="1"/>
  <c r="E19" i="28"/>
  <c r="D20" i="28" s="1"/>
  <c r="C6" i="28"/>
  <c r="K14" i="16"/>
  <c r="K16" i="16"/>
  <c r="K26" i="16"/>
  <c r="K50" i="16"/>
  <c r="T17" i="25"/>
  <c r="EG90" i="28"/>
  <c r="EJ91" i="28" s="1"/>
  <c r="EE90" i="28"/>
  <c r="EE91" i="28" s="1"/>
  <c r="EM89" i="28"/>
  <c r="EM85" i="28"/>
  <c r="EJ85" i="28"/>
  <c r="EH85" i="28"/>
  <c r="EG84" i="28"/>
  <c r="EF85" i="28" s="1"/>
  <c r="EE84" i="28"/>
  <c r="EJ78" i="28"/>
  <c r="EG78" i="28"/>
  <c r="EG77" i="28"/>
  <c r="EJ76" i="28" s="1"/>
  <c r="EE77" i="28"/>
  <c r="EE78" i="28" s="1"/>
  <c r="EM76" i="28"/>
  <c r="EM72" i="28"/>
  <c r="EJ72" i="28"/>
  <c r="EH72" i="28"/>
  <c r="EG71" i="28"/>
  <c r="EF72" i="28" s="1"/>
  <c r="EE71" i="28"/>
  <c r="DN66" i="28"/>
  <c r="DK66" i="28"/>
  <c r="DI66" i="28"/>
  <c r="BV66" i="28"/>
  <c r="BS66" i="28"/>
  <c r="BQ66" i="28"/>
  <c r="EJ65" i="28"/>
  <c r="EG65" i="28"/>
  <c r="EE65" i="28"/>
  <c r="DY65" i="28"/>
  <c r="DV65" i="28"/>
  <c r="DT65" i="28"/>
  <c r="DK65" i="28"/>
  <c r="DN64" i="28" s="1"/>
  <c r="DI65" i="28"/>
  <c r="DC65" i="28"/>
  <c r="CZ65" i="28"/>
  <c r="CX65" i="28"/>
  <c r="CR65" i="28"/>
  <c r="CO65" i="28"/>
  <c r="CM65" i="28"/>
  <c r="BS65" i="28"/>
  <c r="BV64" i="28" s="1"/>
  <c r="BV68" i="28" s="1"/>
  <c r="BQ65" i="28"/>
  <c r="BK65" i="28"/>
  <c r="BH65" i="28"/>
  <c r="BF65" i="28"/>
  <c r="AO65" i="28"/>
  <c r="AL65" i="28"/>
  <c r="AJ65" i="28"/>
  <c r="EG64" i="28"/>
  <c r="EE64" i="28"/>
  <c r="DV64" i="28"/>
  <c r="DT64" i="28"/>
  <c r="DQ64" i="28"/>
  <c r="CZ64" i="28"/>
  <c r="DC63" i="28" s="1"/>
  <c r="CX64" i="28"/>
  <c r="CO64" i="28"/>
  <c r="CM64" i="28"/>
  <c r="BY64" i="28"/>
  <c r="BH64" i="28"/>
  <c r="BK63" i="28" s="1"/>
  <c r="BK67" i="28" s="1"/>
  <c r="BF64" i="28"/>
  <c r="AL64" i="28"/>
  <c r="AO63" i="28" s="1"/>
  <c r="AO67" i="28" s="1"/>
  <c r="AJ64" i="28"/>
  <c r="EM63" i="28"/>
  <c r="EB63" i="28"/>
  <c r="DI63" i="28"/>
  <c r="DQ60" i="28" s="1"/>
  <c r="DF63" i="28"/>
  <c r="CU63" i="28"/>
  <c r="BQ63" i="28"/>
  <c r="BY60" i="28" s="1"/>
  <c r="BN63" i="28"/>
  <c r="AR63" i="28"/>
  <c r="EE62" i="28"/>
  <c r="EM59" i="28" s="1"/>
  <c r="DT62" i="28"/>
  <c r="EB59" i="28" s="1"/>
  <c r="CX62" i="28"/>
  <c r="DF59" i="28" s="1"/>
  <c r="CM62" i="28"/>
  <c r="CU59" i="28" s="1"/>
  <c r="BF62" i="28"/>
  <c r="BN59" i="28" s="1"/>
  <c r="AJ62" i="28"/>
  <c r="AR59" i="28" s="1"/>
  <c r="DN60" i="28"/>
  <c r="DL60" i="28"/>
  <c r="BV60" i="28"/>
  <c r="BT60" i="28"/>
  <c r="EJ59" i="28"/>
  <c r="EH59" i="28"/>
  <c r="EF59" i="28"/>
  <c r="DY59" i="28"/>
  <c r="DW59" i="28"/>
  <c r="DK59" i="28"/>
  <c r="DJ60" i="28" s="1"/>
  <c r="DI59" i="28"/>
  <c r="DC59" i="28"/>
  <c r="DA59" i="28"/>
  <c r="CR59" i="28"/>
  <c r="CP59" i="28"/>
  <c r="BS59" i="28"/>
  <c r="BR60" i="28" s="1"/>
  <c r="BQ59" i="28"/>
  <c r="BK59" i="28"/>
  <c r="BI59" i="28"/>
  <c r="AO59" i="28"/>
  <c r="AM59" i="28"/>
  <c r="DV58" i="28"/>
  <c r="DU59" i="28" s="1"/>
  <c r="DT58" i="28"/>
  <c r="CZ58" i="28"/>
  <c r="CY59" i="28" s="1"/>
  <c r="CX58" i="28"/>
  <c r="CO58" i="28"/>
  <c r="CN59" i="28" s="1"/>
  <c r="CM58" i="28"/>
  <c r="BH58" i="28"/>
  <c r="BG59" i="28" s="1"/>
  <c r="BF58" i="28"/>
  <c r="AL58" i="28"/>
  <c r="AK59" i="28" s="1"/>
  <c r="AJ58" i="28"/>
  <c r="BS54" i="28"/>
  <c r="BQ54" i="28"/>
  <c r="BS53" i="28"/>
  <c r="BQ53" i="28"/>
  <c r="EJ52" i="28"/>
  <c r="EG52" i="28"/>
  <c r="EE52" i="28"/>
  <c r="DY52" i="28"/>
  <c r="DV52" i="28"/>
  <c r="DT52" i="28"/>
  <c r="DK52" i="28"/>
  <c r="DI52" i="28"/>
  <c r="CZ52" i="28"/>
  <c r="CX52" i="28"/>
  <c r="CO52" i="28"/>
  <c r="CM52" i="28"/>
  <c r="CG52" i="28"/>
  <c r="CD52" i="28"/>
  <c r="CB52" i="28"/>
  <c r="BS52" i="28"/>
  <c r="BV51" i="28" s="1"/>
  <c r="BV55" i="28" s="1"/>
  <c r="BY54" i="28" s="1"/>
  <c r="BQ52" i="28"/>
  <c r="BK52" i="28"/>
  <c r="BH52" i="28"/>
  <c r="BF52" i="28"/>
  <c r="AO52" i="28"/>
  <c r="AL52" i="28"/>
  <c r="AJ52" i="28"/>
  <c r="AD52" i="28"/>
  <c r="AA52" i="28"/>
  <c r="Y52" i="28"/>
  <c r="S52" i="28"/>
  <c r="P52" i="28"/>
  <c r="N52" i="28"/>
  <c r="EG51" i="28"/>
  <c r="EJ50" i="28" s="1"/>
  <c r="EE51" i="28"/>
  <c r="DV51" i="28"/>
  <c r="DY50" i="28" s="1"/>
  <c r="DT51" i="28"/>
  <c r="DK51" i="28"/>
  <c r="DN52" i="28" s="1"/>
  <c r="DI51" i="28"/>
  <c r="CZ51" i="28"/>
  <c r="DC52" i="28" s="1"/>
  <c r="CX51" i="28"/>
  <c r="CO51" i="28"/>
  <c r="CR50" i="28" s="1"/>
  <c r="CM51" i="28"/>
  <c r="CD51" i="28"/>
  <c r="CG50" i="28" s="1"/>
  <c r="CG54" i="28" s="1"/>
  <c r="CB51" i="28"/>
  <c r="BY51" i="28"/>
  <c r="BH51" i="28"/>
  <c r="BF51" i="28"/>
  <c r="AL51" i="28"/>
  <c r="AO50" i="28" s="1"/>
  <c r="AO54" i="28" s="1"/>
  <c r="AJ51" i="28"/>
  <c r="AA51" i="28"/>
  <c r="Y51" i="28"/>
  <c r="P51" i="28"/>
  <c r="S50" i="28" s="1"/>
  <c r="S54" i="28" s="1"/>
  <c r="N51" i="28"/>
  <c r="EM50" i="28"/>
  <c r="EB50" i="28"/>
  <c r="DQ50" i="28"/>
  <c r="DF50" i="28"/>
  <c r="CU50" i="28"/>
  <c r="CJ50" i="28"/>
  <c r="BQ50" i="28"/>
  <c r="BY47" i="28" s="1"/>
  <c r="BN50" i="28"/>
  <c r="AR50" i="28"/>
  <c r="AG50" i="28"/>
  <c r="V50" i="28"/>
  <c r="DT49" i="28"/>
  <c r="EB46" i="28" s="1"/>
  <c r="DI49" i="28"/>
  <c r="DQ46" i="28" s="1"/>
  <c r="CX49" i="28"/>
  <c r="DF46" i="28" s="1"/>
  <c r="CM49" i="28"/>
  <c r="CU46" i="28" s="1"/>
  <c r="CB49" i="28"/>
  <c r="CJ46" i="28" s="1"/>
  <c r="BF49" i="28"/>
  <c r="BN46" i="28" s="1"/>
  <c r="AJ49" i="28"/>
  <c r="AR46" i="28" s="1"/>
  <c r="Y49" i="28"/>
  <c r="AG46" i="28" s="1"/>
  <c r="N49" i="28"/>
  <c r="V46" i="28" s="1"/>
  <c r="BV47" i="28"/>
  <c r="BT47" i="28"/>
  <c r="EM46" i="28"/>
  <c r="EJ46" i="28"/>
  <c r="EH46" i="28"/>
  <c r="DY46" i="28"/>
  <c r="DW46" i="28"/>
  <c r="DN46" i="28"/>
  <c r="DL46" i="28"/>
  <c r="DC46" i="28"/>
  <c r="DA46" i="28"/>
  <c r="CR46" i="28"/>
  <c r="CP46" i="28"/>
  <c r="CG46" i="28"/>
  <c r="CE46" i="28"/>
  <c r="CJ48" i="28" s="1"/>
  <c r="BS46" i="28"/>
  <c r="BR47" i="28" s="1"/>
  <c r="BQ46" i="28"/>
  <c r="BK46" i="28"/>
  <c r="BI46" i="28"/>
  <c r="AO46" i="28"/>
  <c r="AM46" i="28"/>
  <c r="AD46" i="28"/>
  <c r="AB46" i="28"/>
  <c r="S46" i="28"/>
  <c r="Q46" i="28"/>
  <c r="DV45" i="28"/>
  <c r="DU46" i="28" s="1"/>
  <c r="DT45" i="28"/>
  <c r="DK45" i="28"/>
  <c r="DJ46" i="28" s="1"/>
  <c r="DI45" i="28"/>
  <c r="CZ45" i="28"/>
  <c r="CY46" i="28" s="1"/>
  <c r="CX45" i="28"/>
  <c r="CO45" i="28"/>
  <c r="CN46" i="28" s="1"/>
  <c r="CM45" i="28"/>
  <c r="CD45" i="28"/>
  <c r="CC46" i="28" s="1"/>
  <c r="CB45" i="28"/>
  <c r="BH45" i="28"/>
  <c r="BG46" i="28" s="1"/>
  <c r="BF45" i="28"/>
  <c r="AL45" i="28"/>
  <c r="AK46" i="28" s="1"/>
  <c r="AJ45" i="28"/>
  <c r="AA45" i="28"/>
  <c r="Z46" i="28" s="1"/>
  <c r="Y45" i="28"/>
  <c r="P45" i="28"/>
  <c r="O46" i="28" s="1"/>
  <c r="N45" i="28"/>
  <c r="EJ39" i="28"/>
  <c r="EE39" i="28"/>
  <c r="EJ40" i="28" s="1"/>
  <c r="DY39" i="28"/>
  <c r="DV39" i="28"/>
  <c r="DT39" i="28"/>
  <c r="DN39" i="28"/>
  <c r="DK39" i="28"/>
  <c r="DI39" i="28"/>
  <c r="DC39" i="28"/>
  <c r="CZ39" i="28"/>
  <c r="CX39" i="28"/>
  <c r="CR39" i="28"/>
  <c r="CO39" i="28"/>
  <c r="CM39" i="28"/>
  <c r="CG39" i="28"/>
  <c r="CD39" i="28"/>
  <c r="CB39" i="28"/>
  <c r="BV39" i="28"/>
  <c r="BS39" i="28"/>
  <c r="BQ39" i="28"/>
  <c r="BH39" i="28"/>
  <c r="BF39" i="28"/>
  <c r="AZ39" i="28"/>
  <c r="AW39" i="28"/>
  <c r="AU39" i="28"/>
  <c r="AL39" i="28"/>
  <c r="AJ39" i="28"/>
  <c r="AD39" i="28"/>
  <c r="AA39" i="28"/>
  <c r="Y39" i="28"/>
  <c r="S39" i="28"/>
  <c r="P39" i="28"/>
  <c r="N39" i="28"/>
  <c r="EJ38" i="28"/>
  <c r="EE38" i="28"/>
  <c r="DV38" i="28"/>
  <c r="DT38" i="28"/>
  <c r="DK38" i="28"/>
  <c r="DI38" i="28"/>
  <c r="CZ38" i="28"/>
  <c r="DC37" i="28" s="1"/>
  <c r="CX38" i="28"/>
  <c r="CO38" i="28"/>
  <c r="CR37" i="28" s="1"/>
  <c r="CM38" i="28"/>
  <c r="CD38" i="28"/>
  <c r="CG37" i="28" s="1"/>
  <c r="CG41" i="28" s="1"/>
  <c r="CB38" i="28"/>
  <c r="BS38" i="28"/>
  <c r="BV37" i="28" s="1"/>
  <c r="BV41" i="28" s="1"/>
  <c r="BQ38" i="28"/>
  <c r="BH38" i="28"/>
  <c r="BK37" i="28" s="1"/>
  <c r="BK41" i="28" s="1"/>
  <c r="BN40" i="28" s="1"/>
  <c r="BF38" i="28"/>
  <c r="AW38" i="28"/>
  <c r="AZ37" i="28" s="1"/>
  <c r="AZ41" i="28" s="1"/>
  <c r="AU38" i="28"/>
  <c r="AL38" i="28"/>
  <c r="AO39" i="28" s="1"/>
  <c r="AJ38" i="28"/>
  <c r="AA38" i="28"/>
  <c r="AD37" i="28" s="1"/>
  <c r="AD41" i="28" s="1"/>
  <c r="Y38" i="28"/>
  <c r="P38" i="28"/>
  <c r="S37" i="28" s="1"/>
  <c r="S41" i="28" s="1"/>
  <c r="N38" i="28"/>
  <c r="EM37" i="28"/>
  <c r="EJ37" i="28"/>
  <c r="EB37" i="28"/>
  <c r="DQ37" i="28"/>
  <c r="DF37" i="28"/>
  <c r="CU37" i="28"/>
  <c r="CJ37" i="28"/>
  <c r="BY37" i="28"/>
  <c r="BN37" i="28"/>
  <c r="BC37" i="28"/>
  <c r="AR37" i="28"/>
  <c r="AG37" i="28"/>
  <c r="V37" i="28"/>
  <c r="EE36" i="28"/>
  <c r="EM33" i="28" s="1"/>
  <c r="DT36" i="28"/>
  <c r="EB33" i="28" s="1"/>
  <c r="DI36" i="28"/>
  <c r="DQ33" i="28" s="1"/>
  <c r="CX36" i="28"/>
  <c r="DF33" i="28" s="1"/>
  <c r="CM36" i="28"/>
  <c r="CU33" i="28" s="1"/>
  <c r="CB36" i="28"/>
  <c r="CJ33" i="28" s="1"/>
  <c r="BQ36" i="28"/>
  <c r="BY33" i="28" s="1"/>
  <c r="BF36" i="28"/>
  <c r="BN33" i="28" s="1"/>
  <c r="AU36" i="28"/>
  <c r="BC33" i="28" s="1"/>
  <c r="AJ36" i="28"/>
  <c r="AR33" i="28" s="1"/>
  <c r="Y36" i="28"/>
  <c r="AG33" i="28" s="1"/>
  <c r="N36" i="28"/>
  <c r="V33" i="28" s="1"/>
  <c r="EJ33" i="28"/>
  <c r="EH33" i="28"/>
  <c r="DY33" i="28"/>
  <c r="DW33" i="28"/>
  <c r="DN33" i="28"/>
  <c r="DL33" i="28"/>
  <c r="DC33" i="28"/>
  <c r="DA33" i="28"/>
  <c r="CR33" i="28"/>
  <c r="CP33" i="28"/>
  <c r="CG33" i="28"/>
  <c r="CE33" i="28"/>
  <c r="BV33" i="28"/>
  <c r="BT33" i="28"/>
  <c r="BK33" i="28"/>
  <c r="BI33" i="28"/>
  <c r="AZ33" i="28"/>
  <c r="AX33" i="28"/>
  <c r="AO33" i="28"/>
  <c r="AM33" i="28"/>
  <c r="AD33" i="28"/>
  <c r="AB33" i="28"/>
  <c r="S33" i="28"/>
  <c r="Q33" i="28"/>
  <c r="EG32" i="28"/>
  <c r="EF33" i="28" s="1"/>
  <c r="EE32" i="28"/>
  <c r="DV32" i="28"/>
  <c r="DU33" i="28" s="1"/>
  <c r="DT32" i="28"/>
  <c r="DK32" i="28"/>
  <c r="DJ33" i="28" s="1"/>
  <c r="DI32" i="28"/>
  <c r="CZ32" i="28"/>
  <c r="CY33" i="28" s="1"/>
  <c r="CX32" i="28"/>
  <c r="CO32" i="28"/>
  <c r="CN33" i="28" s="1"/>
  <c r="CM32" i="28"/>
  <c r="CD32" i="28"/>
  <c r="CC33" i="28" s="1"/>
  <c r="CB32" i="28"/>
  <c r="BS32" i="28"/>
  <c r="BR33" i="28" s="1"/>
  <c r="BQ32" i="28"/>
  <c r="BH32" i="28"/>
  <c r="BG33" i="28" s="1"/>
  <c r="BF32" i="28"/>
  <c r="AW32" i="28"/>
  <c r="AV33" i="28" s="1"/>
  <c r="AU32" i="28"/>
  <c r="AL32" i="28"/>
  <c r="AK33" i="28" s="1"/>
  <c r="AJ32" i="28"/>
  <c r="AA32" i="28"/>
  <c r="Z33" i="28" s="1"/>
  <c r="Y32" i="28"/>
  <c r="P32" i="28"/>
  <c r="O33" i="28" s="1"/>
  <c r="N32" i="28"/>
  <c r="AL28" i="28"/>
  <c r="AJ28" i="28"/>
  <c r="CZ27" i="28"/>
  <c r="CX27" i="28"/>
  <c r="AL27" i="28"/>
  <c r="AJ27" i="28"/>
  <c r="EG26" i="28"/>
  <c r="EE26" i="28"/>
  <c r="DY26" i="28"/>
  <c r="DV26" i="28"/>
  <c r="DT26" i="28"/>
  <c r="DN26" i="28"/>
  <c r="DK26" i="28"/>
  <c r="DI26" i="28"/>
  <c r="CZ26" i="28"/>
  <c r="CX26" i="28"/>
  <c r="CO26" i="28"/>
  <c r="CM26" i="28"/>
  <c r="CG26" i="28"/>
  <c r="CD26" i="28"/>
  <c r="CB26" i="28"/>
  <c r="BV26" i="28"/>
  <c r="BS26" i="28"/>
  <c r="BQ26" i="28"/>
  <c r="BK26" i="28"/>
  <c r="BH26" i="28"/>
  <c r="BF26" i="28"/>
  <c r="AZ26" i="28"/>
  <c r="AW26" i="28"/>
  <c r="AU26" i="28"/>
  <c r="AZ27" i="28" s="1"/>
  <c r="AL26" i="28"/>
  <c r="AJ26" i="28"/>
  <c r="AD26" i="28"/>
  <c r="AA26" i="28"/>
  <c r="Y26" i="28"/>
  <c r="S26" i="28"/>
  <c r="P26" i="28"/>
  <c r="N26" i="28"/>
  <c r="H26" i="28"/>
  <c r="E26" i="28"/>
  <c r="C26" i="28"/>
  <c r="EG25" i="28"/>
  <c r="EJ24" i="28" s="1"/>
  <c r="EE25" i="28"/>
  <c r="DV25" i="28"/>
  <c r="DY24" i="28" s="1"/>
  <c r="DT25" i="28"/>
  <c r="DK25" i="28"/>
  <c r="DN24" i="28" s="1"/>
  <c r="DI25" i="28"/>
  <c r="CZ25" i="28"/>
  <c r="DC26" i="28" s="1"/>
  <c r="CX25" i="28"/>
  <c r="CO25" i="28"/>
  <c r="CR26" i="28" s="1"/>
  <c r="CM25" i="28"/>
  <c r="CD25" i="28"/>
  <c r="CB25" i="28"/>
  <c r="BS25" i="28"/>
  <c r="BV24" i="28" s="1"/>
  <c r="BV28" i="28" s="1"/>
  <c r="BQ25" i="28"/>
  <c r="BH25" i="28"/>
  <c r="BK24" i="28" s="1"/>
  <c r="BK28" i="28" s="1"/>
  <c r="BF25" i="28"/>
  <c r="AW25" i="28"/>
  <c r="AZ24" i="28" s="1"/>
  <c r="AZ28" i="28" s="1"/>
  <c r="AU25" i="28"/>
  <c r="AL25" i="28"/>
  <c r="AO24" i="28" s="1"/>
  <c r="AO28" i="28" s="1"/>
  <c r="AR27" i="28" s="1"/>
  <c r="AJ25" i="28"/>
  <c r="AA25" i="28"/>
  <c r="AD24" i="28" s="1"/>
  <c r="AD28" i="28" s="1"/>
  <c r="Y25" i="28"/>
  <c r="P25" i="28"/>
  <c r="N25" i="28"/>
  <c r="E25" i="28"/>
  <c r="H24" i="28" s="1"/>
  <c r="C25" i="28"/>
  <c r="EM24" i="28"/>
  <c r="EB24" i="28"/>
  <c r="DQ24" i="28"/>
  <c r="DF24" i="28"/>
  <c r="CU24" i="28"/>
  <c r="CJ24" i="28"/>
  <c r="BY24" i="28"/>
  <c r="BN24" i="28"/>
  <c r="BC24" i="28"/>
  <c r="AR24" i="28"/>
  <c r="AG24" i="28"/>
  <c r="V24" i="28"/>
  <c r="K24" i="28"/>
  <c r="EE23" i="28"/>
  <c r="EM20" i="28" s="1"/>
  <c r="DT23" i="28"/>
  <c r="EB20" i="28" s="1"/>
  <c r="DI23" i="28"/>
  <c r="DQ20" i="28" s="1"/>
  <c r="CX23" i="28"/>
  <c r="DF20" i="28" s="1"/>
  <c r="CM23" i="28"/>
  <c r="CU20" i="28" s="1"/>
  <c r="CB23" i="28"/>
  <c r="CJ20" i="28" s="1"/>
  <c r="BQ23" i="28"/>
  <c r="BY20" i="28" s="1"/>
  <c r="BF23" i="28"/>
  <c r="BN20" i="28" s="1"/>
  <c r="AU23" i="28"/>
  <c r="BC20" i="28" s="1"/>
  <c r="AJ23" i="28"/>
  <c r="AR20" i="28" s="1"/>
  <c r="Y23" i="28"/>
  <c r="AG20" i="28" s="1"/>
  <c r="N23" i="28"/>
  <c r="V20" i="28" s="1"/>
  <c r="C23" i="28"/>
  <c r="K20" i="28" s="1"/>
  <c r="EJ20" i="28"/>
  <c r="EH20" i="28"/>
  <c r="DY20" i="28"/>
  <c r="DW20" i="28"/>
  <c r="DN20" i="28"/>
  <c r="DL20" i="28"/>
  <c r="DC20" i="28"/>
  <c r="DA20" i="28"/>
  <c r="CR20" i="28"/>
  <c r="CP20" i="28"/>
  <c r="CG20" i="28"/>
  <c r="CE20" i="28"/>
  <c r="BV20" i="28"/>
  <c r="BT20" i="28"/>
  <c r="BK20" i="28"/>
  <c r="BI20" i="28"/>
  <c r="AZ20" i="28"/>
  <c r="AX20" i="28"/>
  <c r="AO20" i="28"/>
  <c r="AM20" i="28"/>
  <c r="AD20" i="28"/>
  <c r="AB20" i="28"/>
  <c r="S20" i="28"/>
  <c r="Q20" i="28"/>
  <c r="H20" i="28"/>
  <c r="F20" i="28"/>
  <c r="EG19" i="28"/>
  <c r="EF20" i="28" s="1"/>
  <c r="EE19" i="28"/>
  <c r="DV19" i="28"/>
  <c r="DU20" i="28" s="1"/>
  <c r="DT19" i="28"/>
  <c r="DK19" i="28"/>
  <c r="DJ20" i="28" s="1"/>
  <c r="DI19" i="28"/>
  <c r="CZ19" i="28"/>
  <c r="CY20" i="28" s="1"/>
  <c r="CX19" i="28"/>
  <c r="CO19" i="28"/>
  <c r="CN20" i="28" s="1"/>
  <c r="CM19" i="28"/>
  <c r="CD19" i="28"/>
  <c r="CC20" i="28" s="1"/>
  <c r="CB19" i="28"/>
  <c r="BS19" i="28"/>
  <c r="BR20" i="28" s="1"/>
  <c r="BQ19" i="28"/>
  <c r="BH19" i="28"/>
  <c r="BG20" i="28" s="1"/>
  <c r="BF19" i="28"/>
  <c r="AW19" i="28"/>
  <c r="AV20" i="28" s="1"/>
  <c r="AU19" i="28"/>
  <c r="AL19" i="28"/>
  <c r="AK20" i="28" s="1"/>
  <c r="AJ19" i="28"/>
  <c r="AA19" i="28"/>
  <c r="Z20" i="28" s="1"/>
  <c r="Y19" i="28"/>
  <c r="P19" i="28"/>
  <c r="O20" i="28" s="1"/>
  <c r="N19" i="28"/>
  <c r="C19" i="28"/>
  <c r="CO14" i="28"/>
  <c r="CM14" i="28"/>
  <c r="P14" i="28"/>
  <c r="N14" i="28"/>
  <c r="EG13" i="28"/>
  <c r="EE13" i="28"/>
  <c r="DV13" i="28"/>
  <c r="DT13" i="28"/>
  <c r="DN13" i="28"/>
  <c r="DK13" i="28"/>
  <c r="DI13" i="28"/>
  <c r="CZ13" i="28"/>
  <c r="CX13" i="28"/>
  <c r="CO13" i="28"/>
  <c r="CM13" i="28"/>
  <c r="CG13" i="28"/>
  <c r="CD13" i="28"/>
  <c r="CB13" i="28"/>
  <c r="BV13" i="28"/>
  <c r="BS13" i="28"/>
  <c r="BQ13" i="28"/>
  <c r="BK13" i="28"/>
  <c r="BH13" i="28"/>
  <c r="BF13" i="28"/>
  <c r="AZ13" i="28"/>
  <c r="AW13" i="28"/>
  <c r="AU13" i="28"/>
  <c r="AZ14" i="28" s="1"/>
  <c r="AO13" i="28"/>
  <c r="AL13" i="28"/>
  <c r="AJ13" i="28"/>
  <c r="AO14" i="28" s="1"/>
  <c r="AD13" i="28"/>
  <c r="AA13" i="28"/>
  <c r="Y13" i="28"/>
  <c r="P13" i="28"/>
  <c r="N13" i="28"/>
  <c r="E13" i="28"/>
  <c r="C13" i="28"/>
  <c r="EG12" i="28"/>
  <c r="EJ13" i="28" s="1"/>
  <c r="EE12" i="28"/>
  <c r="DV12" i="28"/>
  <c r="DT12" i="28"/>
  <c r="DK12" i="28"/>
  <c r="DN11" i="28" s="1"/>
  <c r="DI12" i="28"/>
  <c r="CZ12" i="28"/>
  <c r="DC13" i="28" s="1"/>
  <c r="CX12" i="28"/>
  <c r="CO12" i="28"/>
  <c r="CR13" i="28" s="1"/>
  <c r="CM12" i="28"/>
  <c r="CD12" i="28"/>
  <c r="CG11" i="28" s="1"/>
  <c r="CG15" i="28" s="1"/>
  <c r="CJ14" i="28" s="1"/>
  <c r="CB12" i="28"/>
  <c r="BS12" i="28"/>
  <c r="BV11" i="28" s="1"/>
  <c r="BV15" i="28" s="1"/>
  <c r="BQ12" i="28"/>
  <c r="BH12" i="28"/>
  <c r="BK11" i="28" s="1"/>
  <c r="BK15" i="28" s="1"/>
  <c r="BF12" i="28"/>
  <c r="AW12" i="28"/>
  <c r="AZ11" i="28" s="1"/>
  <c r="AZ15" i="28" s="1"/>
  <c r="AU12" i="28"/>
  <c r="AL12" i="28"/>
  <c r="AJ12" i="28"/>
  <c r="AA12" i="28"/>
  <c r="AD11" i="28" s="1"/>
  <c r="AD15" i="28" s="1"/>
  <c r="Y12" i="28"/>
  <c r="P12" i="28"/>
  <c r="S11" i="28" s="1"/>
  <c r="S15" i="28" s="1"/>
  <c r="V14" i="28" s="1"/>
  <c r="N12" i="28"/>
  <c r="E12" i="28"/>
  <c r="H11" i="28" s="1"/>
  <c r="C12" i="28"/>
  <c r="EM11" i="28"/>
  <c r="EB11" i="28"/>
  <c r="DQ11" i="28"/>
  <c r="DF11" i="28"/>
  <c r="CU11" i="28"/>
  <c r="CJ11" i="28"/>
  <c r="BY11" i="28"/>
  <c r="BN11" i="28"/>
  <c r="BC11" i="28"/>
  <c r="AR11" i="28"/>
  <c r="AG11" i="28"/>
  <c r="V11" i="28"/>
  <c r="EE10" i="28"/>
  <c r="EM7" i="28" s="1"/>
  <c r="DT10" i="28"/>
  <c r="EB7" i="28" s="1"/>
  <c r="DI10" i="28"/>
  <c r="DQ7" i="28" s="1"/>
  <c r="CX10" i="28"/>
  <c r="DF7" i="28" s="1"/>
  <c r="CM10" i="28"/>
  <c r="CU7" i="28" s="1"/>
  <c r="CB10" i="28"/>
  <c r="CJ7" i="28" s="1"/>
  <c r="BQ10" i="28"/>
  <c r="BY7" i="28" s="1"/>
  <c r="BF10" i="28"/>
  <c r="BN7" i="28" s="1"/>
  <c r="AU10" i="28"/>
  <c r="BC7" i="28" s="1"/>
  <c r="AJ10" i="28"/>
  <c r="AR7" i="28" s="1"/>
  <c r="Y10" i="28"/>
  <c r="AG7" i="28" s="1"/>
  <c r="N10" i="28"/>
  <c r="V7" i="28" s="1"/>
  <c r="EJ7" i="28"/>
  <c r="EH7" i="28"/>
  <c r="DY7" i="28"/>
  <c r="DW7" i="28"/>
  <c r="DN7" i="28"/>
  <c r="DL7" i="28"/>
  <c r="DC7" i="28"/>
  <c r="DA7" i="28"/>
  <c r="CR7" i="28"/>
  <c r="CP7" i="28"/>
  <c r="CG7" i="28"/>
  <c r="CE7" i="28"/>
  <c r="BV7" i="28"/>
  <c r="BT7" i="28"/>
  <c r="BK7" i="28"/>
  <c r="BI7" i="28"/>
  <c r="AZ7" i="28"/>
  <c r="AX7" i="28"/>
  <c r="AO7" i="28"/>
  <c r="AM7" i="28"/>
  <c r="AD7" i="28"/>
  <c r="AB7" i="28"/>
  <c r="S7" i="28"/>
  <c r="Q7" i="28"/>
  <c r="EG6" i="28"/>
  <c r="EF7" i="28" s="1"/>
  <c r="EE6" i="28"/>
  <c r="DV6" i="28"/>
  <c r="DU7" i="28" s="1"/>
  <c r="DT6" i="28"/>
  <c r="DK6" i="28"/>
  <c r="DJ7" i="28" s="1"/>
  <c r="DI6" i="28"/>
  <c r="CZ6" i="28"/>
  <c r="CY7" i="28" s="1"/>
  <c r="CX6" i="28"/>
  <c r="CO6" i="28"/>
  <c r="CN7" i="28" s="1"/>
  <c r="CM6" i="28"/>
  <c r="CD6" i="28"/>
  <c r="CC7" i="28" s="1"/>
  <c r="CB6" i="28"/>
  <c r="BS6" i="28"/>
  <c r="BR7" i="28" s="1"/>
  <c r="BQ6" i="28"/>
  <c r="BH6" i="28"/>
  <c r="BG7" i="28" s="1"/>
  <c r="BF6" i="28"/>
  <c r="AW6" i="28"/>
  <c r="AV7" i="28" s="1"/>
  <c r="AU6" i="28"/>
  <c r="AL6" i="28"/>
  <c r="AK7" i="28" s="1"/>
  <c r="AJ6" i="28"/>
  <c r="AA6" i="28"/>
  <c r="Z7" i="28" s="1"/>
  <c r="Y6" i="28"/>
  <c r="P6" i="28"/>
  <c r="O7" i="28" s="1"/>
  <c r="N6" i="28"/>
  <c r="S25" i="28" l="1"/>
  <c r="BV14" i="28"/>
  <c r="CJ22" i="28"/>
  <c r="EM61" i="28"/>
  <c r="AD27" i="28"/>
  <c r="DF61" i="28"/>
  <c r="BC9" i="28"/>
  <c r="BC10" i="28" s="1"/>
  <c r="BC13" i="28" s="1"/>
  <c r="BC16" i="28" s="1"/>
  <c r="DF35" i="28"/>
  <c r="S27" i="28"/>
  <c r="BK51" i="28"/>
  <c r="CR12" i="28"/>
  <c r="EM35" i="28"/>
  <c r="BK53" i="28"/>
  <c r="AO12" i="28"/>
  <c r="CG12" i="28"/>
  <c r="V9" i="28"/>
  <c r="V10" i="28" s="1"/>
  <c r="V13" i="28" s="1"/>
  <c r="V16" i="28" s="1"/>
  <c r="S13" i="28"/>
  <c r="DC14" i="28"/>
  <c r="AG22" i="28"/>
  <c r="AG23" i="28" s="1"/>
  <c r="AG26" i="28" s="1"/>
  <c r="AG29" i="28" s="1"/>
  <c r="DY64" i="28"/>
  <c r="BN9" i="28"/>
  <c r="BN10" i="28" s="1"/>
  <c r="BN13" i="28" s="1"/>
  <c r="BN16" i="28" s="1"/>
  <c r="H27" i="28"/>
  <c r="CU35" i="28"/>
  <c r="DC40" i="28"/>
  <c r="AO37" i="28"/>
  <c r="AO41" i="28" s="1"/>
  <c r="AR40" i="28" s="1"/>
  <c r="CU48" i="28"/>
  <c r="BN61" i="28"/>
  <c r="BN62" i="28" s="1"/>
  <c r="BN65" i="28" s="1"/>
  <c r="BN68" i="28" s="1"/>
  <c r="CG25" i="28"/>
  <c r="BC22" i="28"/>
  <c r="AZ25" i="28"/>
  <c r="DY12" i="28"/>
  <c r="CJ9" i="28"/>
  <c r="BK25" i="28"/>
  <c r="BK14" i="28"/>
  <c r="DF9" i="28"/>
  <c r="DF10" i="28" s="1"/>
  <c r="DF13" i="28" s="1"/>
  <c r="BK50" i="28"/>
  <c r="BK54" i="28" s="1"/>
  <c r="AZ12" i="28"/>
  <c r="BV27" i="28"/>
  <c r="AG9" i="28"/>
  <c r="AG10" i="28" s="1"/>
  <c r="AG13" i="28" s="1"/>
  <c r="AG16" i="28" s="1"/>
  <c r="AR48" i="28"/>
  <c r="AD14" i="28"/>
  <c r="BN48" i="28"/>
  <c r="DC50" i="28"/>
  <c r="BV53" i="28"/>
  <c r="CR40" i="28"/>
  <c r="EB22" i="28"/>
  <c r="EB23" i="28" s="1"/>
  <c r="EB26" i="28" s="1"/>
  <c r="EB29" i="28" s="1"/>
  <c r="CG53" i="28"/>
  <c r="AO64" i="28"/>
  <c r="AD38" i="28"/>
  <c r="BK64" i="28"/>
  <c r="BY9" i="28"/>
  <c r="BY10" i="28" s="1"/>
  <c r="BY13" i="28" s="1"/>
  <c r="BY16" i="28" s="1"/>
  <c r="AG35" i="28"/>
  <c r="AG36" i="28" s="1"/>
  <c r="AG39" i="28" s="1"/>
  <c r="AG42" i="28" s="1"/>
  <c r="DN67" i="28"/>
  <c r="BN22" i="28"/>
  <c r="BN23" i="28" s="1"/>
  <c r="BN26" i="28" s="1"/>
  <c r="BN29" i="28" s="1"/>
  <c r="DN50" i="28"/>
  <c r="DC66" i="28"/>
  <c r="AR35" i="28"/>
  <c r="BC35" i="28"/>
  <c r="BC36" i="28" s="1"/>
  <c r="BC39" i="28" s="1"/>
  <c r="BC42" i="28" s="1"/>
  <c r="DF48" i="28"/>
  <c r="DF49" i="28" s="1"/>
  <c r="DF52" i="28" s="1"/>
  <c r="CR53" i="28"/>
  <c r="DF22" i="28"/>
  <c r="CJ35" i="28"/>
  <c r="CJ36" i="28" s="1"/>
  <c r="CJ39" i="28" s="1"/>
  <c r="CJ42" i="28" s="1"/>
  <c r="BV40" i="28"/>
  <c r="S51" i="28"/>
  <c r="BK66" i="28"/>
  <c r="CJ49" i="28"/>
  <c r="CJ52" i="28" s="1"/>
  <c r="CJ55" i="28" s="1"/>
  <c r="AO25" i="28"/>
  <c r="BV67" i="28"/>
  <c r="CG40" i="28"/>
  <c r="DY53" i="28"/>
  <c r="AR61" i="28"/>
  <c r="BY62" i="28"/>
  <c r="DY11" i="28"/>
  <c r="AO51" i="28"/>
  <c r="EJ51" i="28"/>
  <c r="S12" i="28"/>
  <c r="DC27" i="28"/>
  <c r="V35" i="28"/>
  <c r="S40" i="28"/>
  <c r="DQ62" i="28"/>
  <c r="DQ63" i="28" s="1"/>
  <c r="DQ66" i="28" s="1"/>
  <c r="DQ69" i="28" s="1"/>
  <c r="F57" i="35"/>
  <c r="M57" i="35" s="1"/>
  <c r="S57" i="35" s="1"/>
  <c r="F57" i="16"/>
  <c r="M57" i="16" s="1"/>
  <c r="S57" i="16" s="1"/>
  <c r="DN27" i="28"/>
  <c r="AR22" i="28"/>
  <c r="AR23" i="28" s="1"/>
  <c r="AR26" i="28" s="1"/>
  <c r="AR29" i="28" s="1"/>
  <c r="AO66" i="28"/>
  <c r="DN40" i="28"/>
  <c r="S24" i="28"/>
  <c r="S28" i="28" s="1"/>
  <c r="BK40" i="28"/>
  <c r="K56" i="35"/>
  <c r="K56" i="16"/>
  <c r="CU9" i="28"/>
  <c r="CU10" i="28" s="1"/>
  <c r="CU13" i="28" s="1"/>
  <c r="AO40" i="28"/>
  <c r="DN14" i="28"/>
  <c r="DQ35" i="28"/>
  <c r="DQ36" i="28" s="1"/>
  <c r="DQ39" i="28" s="1"/>
  <c r="DQ42" i="28" s="1"/>
  <c r="S38" i="28"/>
  <c r="DC51" i="28"/>
  <c r="BV52" i="28"/>
  <c r="EM87" i="28"/>
  <c r="EM88" i="28" s="1"/>
  <c r="EM91" i="28" s="1"/>
  <c r="K58" i="35"/>
  <c r="K58" i="16"/>
  <c r="S14" i="28"/>
  <c r="BV54" i="28"/>
  <c r="EM9" i="28"/>
  <c r="EM10" i="28" s="1"/>
  <c r="EM13" i="28" s="1"/>
  <c r="BY22" i="28"/>
  <c r="BY23" i="28" s="1"/>
  <c r="BY26" i="28" s="1"/>
  <c r="BY29" i="28" s="1"/>
  <c r="AD25" i="28"/>
  <c r="AD40" i="28"/>
  <c r="F58" i="35"/>
  <c r="M58" i="35" s="1"/>
  <c r="S58" i="35" s="1"/>
  <c r="F58" i="16"/>
  <c r="M58" i="16" s="1"/>
  <c r="S58" i="16" s="1"/>
  <c r="D49" i="31"/>
  <c r="D24" i="29"/>
  <c r="DQ22" i="28"/>
  <c r="DQ23" i="28" s="1"/>
  <c r="DQ26" i="28" s="1"/>
  <c r="DQ29" i="28" s="1"/>
  <c r="EJ66" i="28"/>
  <c r="DY40" i="28"/>
  <c r="AR9" i="28"/>
  <c r="AR10" i="28" s="1"/>
  <c r="AR13" i="28" s="1"/>
  <c r="AR16" i="28" s="1"/>
  <c r="AO11" i="28"/>
  <c r="AO15" i="28" s="1"/>
  <c r="BK27" i="28"/>
  <c r="V48" i="28"/>
  <c r="V49" i="28" s="1"/>
  <c r="V52" i="28" s="1"/>
  <c r="V55" i="28" s="1"/>
  <c r="D50" i="31"/>
  <c r="D23" i="29"/>
  <c r="D61" i="31"/>
  <c r="BY49" i="28"/>
  <c r="BY50" i="28" s="1"/>
  <c r="BY53" i="28" s="1"/>
  <c r="BY56" i="28" s="1"/>
  <c r="DY27" i="28"/>
  <c r="AZ40" i="28"/>
  <c r="DY13" i="28"/>
  <c r="DY38" i="28"/>
  <c r="DY51" i="28"/>
  <c r="BK12" i="28"/>
  <c r="CG38" i="28"/>
  <c r="CG27" i="28"/>
  <c r="AO38" i="28"/>
  <c r="AD12" i="28"/>
  <c r="V22" i="28"/>
  <c r="BN35" i="28"/>
  <c r="BN36" i="28" s="1"/>
  <c r="BN39" i="28" s="1"/>
  <c r="BN42" i="28" s="1"/>
  <c r="BN45" i="28" s="1"/>
  <c r="AG48" i="28"/>
  <c r="AG49" i="28" s="1"/>
  <c r="AG52" i="28" s="1"/>
  <c r="AG55" i="28" s="1"/>
  <c r="EB48" i="28"/>
  <c r="EB49" i="28" s="1"/>
  <c r="EB52" i="28" s="1"/>
  <c r="EB55" i="28" s="1"/>
  <c r="AD51" i="28"/>
  <c r="CR64" i="28"/>
  <c r="H14" i="28"/>
  <c r="AO27" i="28"/>
  <c r="DY63" i="28"/>
  <c r="DQ9" i="28"/>
  <c r="DQ10" i="28" s="1"/>
  <c r="DQ13" i="28" s="1"/>
  <c r="DQ16" i="28" s="1"/>
  <c r="DC12" i="28"/>
  <c r="CU22" i="28"/>
  <c r="CG24" i="28"/>
  <c r="CG28" i="28" s="1"/>
  <c r="K22" i="16"/>
  <c r="K22" i="35"/>
  <c r="BV12" i="28"/>
  <c r="AZ38" i="28"/>
  <c r="K53" i="16"/>
  <c r="K53" i="35"/>
  <c r="D62" i="31"/>
  <c r="BV38" i="28"/>
  <c r="CR14" i="28"/>
  <c r="DN53" i="28"/>
  <c r="EB61" i="28"/>
  <c r="EB62" i="28" s="1"/>
  <c r="EB65" i="28" s="1"/>
  <c r="EB68" i="28" s="1"/>
  <c r="EM74" i="28"/>
  <c r="K55" i="16"/>
  <c r="K55" i="35"/>
  <c r="K57" i="16"/>
  <c r="K57" i="35"/>
  <c r="BY35" i="28"/>
  <c r="BY36" i="28" s="1"/>
  <c r="BY39" i="28" s="1"/>
  <c r="BY42" i="28" s="1"/>
  <c r="AD53" i="28"/>
  <c r="K54" i="16"/>
  <c r="K54" i="35"/>
  <c r="CR24" i="28"/>
  <c r="EB9" i="28"/>
  <c r="EB10" i="28" s="1"/>
  <c r="EB13" i="28" s="1"/>
  <c r="EB16" i="28" s="1"/>
  <c r="EM22" i="28"/>
  <c r="EJ26" i="28"/>
  <c r="EJ41" i="28"/>
  <c r="DC38" i="28"/>
  <c r="DC64" i="28"/>
  <c r="CR66" i="28"/>
  <c r="DY66" i="28"/>
  <c r="EJ77" i="28"/>
  <c r="EJ79" i="28"/>
  <c r="DY14" i="28"/>
  <c r="DN38" i="28"/>
  <c r="DQ48" i="28"/>
  <c r="DQ49" i="28" s="1"/>
  <c r="DQ52" i="28" s="1"/>
  <c r="DQ55" i="28" s="1"/>
  <c r="CR25" i="28"/>
  <c r="DN12" i="28"/>
  <c r="EJ14" i="28"/>
  <c r="K22" i="28"/>
  <c r="H25" i="28"/>
  <c r="EB35" i="28"/>
  <c r="EB36" i="28" s="1"/>
  <c r="EB39" i="28" s="1"/>
  <c r="EB42" i="28" s="1"/>
  <c r="DN37" i="28"/>
  <c r="EM48" i="28"/>
  <c r="CU61" i="28"/>
  <c r="EJ64" i="28"/>
  <c r="DN65" i="28"/>
  <c r="EJ25" i="28"/>
  <c r="DC53" i="28"/>
  <c r="K7" i="28"/>
  <c r="K6" i="28" s="1"/>
  <c r="BC23" i="28"/>
  <c r="BC26" i="28" s="1"/>
  <c r="BC29" i="28" s="1"/>
  <c r="EJ11" i="28"/>
  <c r="EJ27" i="28"/>
  <c r="BK39" i="28"/>
  <c r="CR63" i="28"/>
  <c r="DC25" i="28"/>
  <c r="S53" i="28"/>
  <c r="H13" i="28"/>
  <c r="DC24" i="28"/>
  <c r="DC28" i="28" s="1"/>
  <c r="DF27" i="28" s="1"/>
  <c r="DN25" i="28"/>
  <c r="CG51" i="28"/>
  <c r="BV65" i="28"/>
  <c r="BK38" i="28"/>
  <c r="H12" i="28"/>
  <c r="CG14" i="28"/>
  <c r="AO26" i="28"/>
  <c r="DY37" i="28"/>
  <c r="CR52" i="28"/>
  <c r="AO53" i="28"/>
  <c r="DY25" i="28"/>
  <c r="CR51" i="28"/>
  <c r="EJ89" i="28"/>
  <c r="EJ12" i="28"/>
  <c r="AD50" i="28"/>
  <c r="AD54" i="28" s="1"/>
  <c r="EJ63" i="28"/>
  <c r="CR38" i="28"/>
  <c r="CR11" i="28"/>
  <c r="DN51" i="28"/>
  <c r="EG91" i="28"/>
  <c r="CR27" i="28"/>
  <c r="DC11" i="28"/>
  <c r="DC15" i="28" s="1"/>
  <c r="DF14" i="28" s="1"/>
  <c r="BV25" i="28"/>
  <c r="EJ53" i="28"/>
  <c r="DY54" i="28" l="1"/>
  <c r="DY67" i="28"/>
  <c r="DC67" i="28"/>
  <c r="H28" i="28"/>
  <c r="DF16" i="28"/>
  <c r="DF19" i="28" s="1"/>
  <c r="DC41" i="28"/>
  <c r="CR41" i="28"/>
  <c r="DN68" i="28"/>
  <c r="DF23" i="28"/>
  <c r="DF26" i="28" s="1"/>
  <c r="DF29" i="28" s="1"/>
  <c r="DF32" i="28" s="1"/>
  <c r="DF36" i="28" s="1"/>
  <c r="DF39" i="28" s="1"/>
  <c r="DF42" i="28" s="1"/>
  <c r="DN28" i="28"/>
  <c r="DY15" i="28"/>
  <c r="DC54" i="28"/>
  <c r="DF53" i="28" s="1"/>
  <c r="DF55" i="28" s="1"/>
  <c r="DF58" i="28" s="1"/>
  <c r="DF62" i="28" s="1"/>
  <c r="DF65" i="28" s="1"/>
  <c r="DF68" i="28" s="1"/>
  <c r="EJ54" i="28"/>
  <c r="DY28" i="28"/>
  <c r="BN49" i="28"/>
  <c r="BN52" i="28" s="1"/>
  <c r="BN55" i="28" s="1"/>
  <c r="EJ80" i="28"/>
  <c r="EM79" i="28" s="1"/>
  <c r="DY41" i="28"/>
  <c r="EJ67" i="28"/>
  <c r="EM66" i="28" s="1"/>
  <c r="H61" i="31"/>
  <c r="H62" i="31" s="1"/>
  <c r="F56" i="35"/>
  <c r="M56" i="35" s="1"/>
  <c r="S56" i="35" s="1"/>
  <c r="F56" i="16"/>
  <c r="M56" i="16" s="1"/>
  <c r="S56" i="16" s="1"/>
  <c r="DN15" i="28"/>
  <c r="CR28" i="28"/>
  <c r="CU27" i="28" s="1"/>
  <c r="DN54" i="28"/>
  <c r="H49" i="31"/>
  <c r="H50" i="31" s="1"/>
  <c r="CR15" i="28"/>
  <c r="CU14" i="28" s="1"/>
  <c r="CU16" i="28" s="1"/>
  <c r="CR67" i="28"/>
  <c r="O58" i="35"/>
  <c r="W58" i="35" s="1"/>
  <c r="O58" i="16"/>
  <c r="W58" i="16" s="1"/>
  <c r="O57" i="35"/>
  <c r="W57" i="35" s="1"/>
  <c r="O57" i="16"/>
  <c r="W57" i="16" s="1"/>
  <c r="EJ15" i="28"/>
  <c r="EM14" i="28" s="1"/>
  <c r="EM16" i="28" s="1"/>
  <c r="EM19" i="28" s="1"/>
  <c r="EM23" i="28" s="1"/>
  <c r="EM26" i="28" s="1"/>
  <c r="DN41" i="28"/>
  <c r="H15" i="28"/>
  <c r="K14" i="28" s="1"/>
  <c r="CR54" i="28"/>
  <c r="CU53" i="28" s="1"/>
  <c r="EJ28" i="28"/>
  <c r="EM27" i="28" s="1"/>
  <c r="CJ6" i="28"/>
  <c r="CJ10" i="28" s="1"/>
  <c r="CJ13" i="28" s="1"/>
  <c r="CJ16" i="28" s="1"/>
  <c r="CJ19" i="28" s="1"/>
  <c r="CJ23" i="28" s="1"/>
  <c r="CJ26" i="28" s="1"/>
  <c r="CJ29" i="28" s="1"/>
  <c r="BY59" i="28"/>
  <c r="BY63" i="28" s="1"/>
  <c r="BY66" i="28" s="1"/>
  <c r="BY69" i="28" s="1"/>
  <c r="AR32" i="28"/>
  <c r="AR36" i="28" s="1"/>
  <c r="AR39" i="28" s="1"/>
  <c r="AR42" i="28" s="1"/>
  <c r="AR45" i="28" s="1"/>
  <c r="AR49" i="28" s="1"/>
  <c r="AR52" i="28" s="1"/>
  <c r="AR55" i="28" s="1"/>
  <c r="AR58" i="28"/>
  <c r="AR62" i="28" s="1"/>
  <c r="AR65" i="28" s="1"/>
  <c r="AR68" i="28" s="1"/>
  <c r="EJ90" i="28"/>
  <c r="EJ92" i="28"/>
  <c r="V32" i="28"/>
  <c r="V36" i="28" s="1"/>
  <c r="V39" i="28" s="1"/>
  <c r="V42" i="28" s="1"/>
  <c r="V19" i="28"/>
  <c r="V23" i="28" s="1"/>
  <c r="V26" i="28" s="1"/>
  <c r="V29" i="28" s="1"/>
  <c r="E50" i="31" l="1"/>
  <c r="F50" i="31" s="1"/>
  <c r="E23" i="29"/>
  <c r="F23" i="29" s="1"/>
  <c r="E24" i="29"/>
  <c r="F24" i="29" s="1"/>
  <c r="H24" i="29" s="1"/>
  <c r="K24" i="29" s="1"/>
  <c r="E49" i="31"/>
  <c r="F49" i="31" s="1"/>
  <c r="I49" i="31" s="1"/>
  <c r="EJ93" i="28"/>
  <c r="EM92" i="28" s="1"/>
  <c r="EM94" i="28" s="1"/>
  <c r="EM29" i="28"/>
  <c r="EM32" i="28" s="1"/>
  <c r="EM36" i="28" s="1"/>
  <c r="EM39" i="28" s="1"/>
  <c r="EM42" i="28" s="1"/>
  <c r="EM45" i="28" s="1"/>
  <c r="EM49" i="28" s="1"/>
  <c r="EM52" i="28" s="1"/>
  <c r="EM55" i="28" s="1"/>
  <c r="EM58" i="28" s="1"/>
  <c r="EM62" i="28" s="1"/>
  <c r="EM65" i="28" s="1"/>
  <c r="EM68" i="28" s="1"/>
  <c r="EM71" i="28" s="1"/>
  <c r="EM75" i="28" s="1"/>
  <c r="EM78" i="28" s="1"/>
  <c r="EM81" i="28" s="1"/>
  <c r="CU45" i="28"/>
  <c r="CU49" i="28" s="1"/>
  <c r="CU52" i="28" s="1"/>
  <c r="CU55" i="28" s="1"/>
  <c r="CU58" i="28" s="1"/>
  <c r="CU62" i="28" s="1"/>
  <c r="CU65" i="28" s="1"/>
  <c r="CU68" i="28" s="1"/>
  <c r="CU19" i="28"/>
  <c r="CU23" i="28" s="1"/>
  <c r="CU26" i="28" s="1"/>
  <c r="CU29" i="28" s="1"/>
  <c r="CU32" i="28" s="1"/>
  <c r="CU36" i="28" s="1"/>
  <c r="CU39" i="28" s="1"/>
  <c r="CU42" i="28" s="1"/>
  <c r="E61" i="31"/>
  <c r="F61" i="31" s="1"/>
  <c r="I61" i="31" s="1"/>
  <c r="O56" i="35"/>
  <c r="W56" i="35" s="1"/>
  <c r="O56" i="16"/>
  <c r="W56" i="16" s="1"/>
  <c r="E62" i="31"/>
  <c r="F62" i="31" s="1"/>
  <c r="U18" i="16"/>
  <c r="U17" i="16"/>
  <c r="U15" i="16"/>
  <c r="U16" i="16"/>
  <c r="U14" i="16"/>
  <c r="U13" i="16"/>
  <c r="U12" i="16"/>
  <c r="U20" i="16"/>
  <c r="U23" i="16"/>
  <c r="U22" i="16"/>
  <c r="U27" i="16"/>
  <c r="U26" i="16"/>
  <c r="U25" i="16"/>
  <c r="U29" i="16"/>
  <c r="U31" i="16"/>
  <c r="U30" i="16"/>
  <c r="U32" i="16"/>
  <c r="U35" i="16"/>
  <c r="U34" i="16"/>
  <c r="U37" i="16"/>
  <c r="U38" i="16"/>
  <c r="U39" i="16"/>
  <c r="U40" i="16"/>
  <c r="U41" i="16"/>
  <c r="U42" i="16"/>
  <c r="U43" i="16"/>
  <c r="U44" i="16"/>
  <c r="U46" i="16"/>
  <c r="U48" i="16"/>
  <c r="U50" i="16"/>
  <c r="U54" i="16"/>
  <c r="U53" i="16"/>
  <c r="U55" i="16"/>
  <c r="U52" i="16"/>
  <c r="AG34" i="16"/>
  <c r="AG35" i="16"/>
  <c r="AG37" i="16"/>
  <c r="AG38" i="16"/>
  <c r="AG39" i="16"/>
  <c r="AG40" i="16"/>
  <c r="AG41" i="16"/>
  <c r="AG42" i="16"/>
  <c r="AG43" i="16"/>
  <c r="AG44" i="16"/>
  <c r="AG46" i="16"/>
  <c r="AG48" i="16"/>
  <c r="AG50" i="16"/>
  <c r="AG52" i="16"/>
  <c r="AG53" i="16"/>
  <c r="AG54" i="16"/>
  <c r="AG55" i="16"/>
  <c r="Q48" i="16"/>
  <c r="Q32" i="16"/>
  <c r="Q29" i="16"/>
  <c r="P29" i="16"/>
  <c r="P30" i="16"/>
  <c r="P31" i="16"/>
  <c r="O32" i="16"/>
  <c r="P32" i="16"/>
  <c r="P34" i="16"/>
  <c r="P35" i="16"/>
  <c r="P37" i="16"/>
  <c r="P38" i="16"/>
  <c r="P39" i="16"/>
  <c r="P40" i="16"/>
  <c r="P41" i="16"/>
  <c r="P42" i="16"/>
  <c r="P43" i="16"/>
  <c r="P44" i="16"/>
  <c r="P46" i="16"/>
  <c r="O48" i="16"/>
  <c r="P48" i="16"/>
  <c r="P50" i="16"/>
  <c r="P52" i="16"/>
  <c r="P53" i="16"/>
  <c r="P54" i="16"/>
  <c r="P55" i="16"/>
  <c r="D13" i="14"/>
  <c r="J46" i="35" s="1"/>
  <c r="H48" i="16"/>
  <c r="H32" i="16"/>
  <c r="H29" i="16"/>
  <c r="D11" i="14"/>
  <c r="J15" i="35" s="1"/>
  <c r="G44" i="16"/>
  <c r="H44" i="16" s="1"/>
  <c r="C50" i="16"/>
  <c r="D50" i="16"/>
  <c r="G50" i="16"/>
  <c r="H50" i="16" s="1"/>
  <c r="C52" i="16"/>
  <c r="D52" i="16"/>
  <c r="G52" i="16"/>
  <c r="H52" i="16" s="1"/>
  <c r="C53" i="16"/>
  <c r="D53" i="16"/>
  <c r="G53" i="16"/>
  <c r="H53" i="16" s="1"/>
  <c r="C54" i="16"/>
  <c r="D54" i="16"/>
  <c r="G54" i="16"/>
  <c r="H54" i="16" s="1"/>
  <c r="C55" i="16"/>
  <c r="D55" i="16"/>
  <c r="G55" i="16"/>
  <c r="Q55" i="16" s="1"/>
  <c r="C44" i="16"/>
  <c r="D44" i="16"/>
  <c r="C46" i="16"/>
  <c r="D46" i="16"/>
  <c r="G46" i="16"/>
  <c r="H46" i="16" s="1"/>
  <c r="C48" i="16"/>
  <c r="D48" i="16"/>
  <c r="F48" i="16"/>
  <c r="M48" i="16" s="1"/>
  <c r="G48" i="16"/>
  <c r="C31" i="16"/>
  <c r="D31" i="16"/>
  <c r="G31" i="16"/>
  <c r="Q31" i="16" s="1"/>
  <c r="C32" i="16"/>
  <c r="D32" i="16"/>
  <c r="F32" i="16"/>
  <c r="M32" i="16" s="1"/>
  <c r="G32" i="16"/>
  <c r="C34" i="16"/>
  <c r="D34" i="16"/>
  <c r="G34" i="16"/>
  <c r="H34" i="16" s="1"/>
  <c r="C35" i="16"/>
  <c r="D35" i="16"/>
  <c r="G35" i="16"/>
  <c r="Q35" i="16" s="1"/>
  <c r="C37" i="16"/>
  <c r="D37" i="16"/>
  <c r="G37" i="16"/>
  <c r="H37" i="16" s="1"/>
  <c r="C38" i="16"/>
  <c r="D38" i="16"/>
  <c r="G38" i="16"/>
  <c r="H38" i="16" s="1"/>
  <c r="C39" i="16"/>
  <c r="D39" i="16"/>
  <c r="G39" i="16"/>
  <c r="Q39" i="16" s="1"/>
  <c r="C40" i="16"/>
  <c r="D40" i="16"/>
  <c r="G40" i="16"/>
  <c r="H40" i="16" s="1"/>
  <c r="C41" i="16"/>
  <c r="D41" i="16"/>
  <c r="G41" i="16"/>
  <c r="H41" i="16" s="1"/>
  <c r="C42" i="16"/>
  <c r="D42" i="16"/>
  <c r="G42" i="16"/>
  <c r="Q42" i="16" s="1"/>
  <c r="C43" i="16"/>
  <c r="D43" i="16"/>
  <c r="G43" i="16"/>
  <c r="Q43" i="16" s="1"/>
  <c r="C13" i="16"/>
  <c r="D13" i="16"/>
  <c r="G13" i="16"/>
  <c r="H13" i="16" s="1"/>
  <c r="P13" i="16"/>
  <c r="C14" i="16"/>
  <c r="D14" i="16"/>
  <c r="G14" i="16"/>
  <c r="H14" i="16" s="1"/>
  <c r="P14" i="16"/>
  <c r="C15" i="16"/>
  <c r="D15" i="16"/>
  <c r="G15" i="16"/>
  <c r="Q15" i="16" s="1"/>
  <c r="P15" i="16"/>
  <c r="C16" i="16"/>
  <c r="D16" i="16"/>
  <c r="G16" i="16"/>
  <c r="Q16" i="16" s="1"/>
  <c r="P16" i="16"/>
  <c r="C17" i="16"/>
  <c r="D17" i="16"/>
  <c r="G17" i="16"/>
  <c r="H17" i="16" s="1"/>
  <c r="P17" i="16"/>
  <c r="C18" i="16"/>
  <c r="D18" i="16"/>
  <c r="G18" i="16"/>
  <c r="H18" i="16" s="1"/>
  <c r="P18" i="16"/>
  <c r="C20" i="16"/>
  <c r="D20" i="16"/>
  <c r="G20" i="16"/>
  <c r="H20" i="16" s="1"/>
  <c r="P20" i="16"/>
  <c r="C22" i="16"/>
  <c r="D22" i="16"/>
  <c r="G22" i="16"/>
  <c r="H22" i="16" s="1"/>
  <c r="P22" i="16"/>
  <c r="C23" i="16"/>
  <c r="D23" i="16"/>
  <c r="G23" i="16"/>
  <c r="Q23" i="16" s="1"/>
  <c r="P23" i="16"/>
  <c r="C25" i="16"/>
  <c r="D25" i="16"/>
  <c r="G25" i="16"/>
  <c r="H25" i="16" s="1"/>
  <c r="P25" i="16"/>
  <c r="C26" i="16"/>
  <c r="D26" i="16"/>
  <c r="G26" i="16"/>
  <c r="H26" i="16" s="1"/>
  <c r="P26" i="16"/>
  <c r="C27" i="16"/>
  <c r="D27" i="16"/>
  <c r="G27" i="16"/>
  <c r="Q27" i="16" s="1"/>
  <c r="P27" i="16"/>
  <c r="C29" i="16"/>
  <c r="D29" i="16"/>
  <c r="G29" i="16"/>
  <c r="C30" i="16"/>
  <c r="D30" i="16"/>
  <c r="G30" i="16"/>
  <c r="H30" i="16" s="1"/>
  <c r="P12" i="16"/>
  <c r="AG13" i="16"/>
  <c r="AG14" i="16"/>
  <c r="AG15" i="16"/>
  <c r="AG16" i="16"/>
  <c r="AG17" i="16"/>
  <c r="AG18" i="16"/>
  <c r="AG20" i="16"/>
  <c r="AG22" i="16"/>
  <c r="AG23" i="16"/>
  <c r="AG25" i="16"/>
  <c r="AG26" i="16"/>
  <c r="AG27" i="16"/>
  <c r="AG29" i="16"/>
  <c r="AG30" i="16"/>
  <c r="AG31" i="16"/>
  <c r="AG12" i="16"/>
  <c r="G12" i="16"/>
  <c r="D12" i="16"/>
  <c r="C12" i="16"/>
  <c r="D15" i="14"/>
  <c r="J48" i="35" s="1"/>
  <c r="D14" i="14"/>
  <c r="T27" i="25"/>
  <c r="T26" i="25"/>
  <c r="T23" i="25"/>
  <c r="T14" i="25"/>
  <c r="T18" i="25"/>
  <c r="T20" i="25"/>
  <c r="AC23" i="25" l="1"/>
  <c r="X23" i="25"/>
  <c r="I50" i="31"/>
  <c r="P51" i="30"/>
  <c r="L49" i="31"/>
  <c r="AD49" i="31" s="1"/>
  <c r="AG49" i="31" s="1"/>
  <c r="W32" i="16"/>
  <c r="H16" i="16"/>
  <c r="J48" i="16"/>
  <c r="D57" i="31"/>
  <c r="K12" i="16"/>
  <c r="K12" i="35"/>
  <c r="K39" i="16"/>
  <c r="K39" i="35"/>
  <c r="K18" i="16"/>
  <c r="K18" i="35"/>
  <c r="K38" i="16"/>
  <c r="K38" i="35"/>
  <c r="K42" i="16"/>
  <c r="K42" i="35"/>
  <c r="K17" i="16"/>
  <c r="K17" i="35"/>
  <c r="K13" i="16"/>
  <c r="K13" i="35"/>
  <c r="W24" i="29"/>
  <c r="X24" i="29" s="1"/>
  <c r="Z24" i="29" s="1"/>
  <c r="Y24" i="29" s="1"/>
  <c r="AA24" i="29" s="1"/>
  <c r="AB24" i="29" s="1"/>
  <c r="Q52" i="29"/>
  <c r="L52" i="29" s="1"/>
  <c r="P52" i="29"/>
  <c r="K41" i="16"/>
  <c r="K41" i="35"/>
  <c r="K48" i="16"/>
  <c r="K48" i="35"/>
  <c r="K15" i="16"/>
  <c r="K15" i="35"/>
  <c r="J32" i="16"/>
  <c r="J29" i="35"/>
  <c r="J32" i="35"/>
  <c r="K43" i="16"/>
  <c r="K43" i="35"/>
  <c r="K44" i="16"/>
  <c r="K44" i="35"/>
  <c r="K52" i="16"/>
  <c r="K52" i="35"/>
  <c r="K27" i="16"/>
  <c r="K27" i="35"/>
  <c r="W24" i="30"/>
  <c r="X24" i="30" s="1"/>
  <c r="Z24" i="30" s="1"/>
  <c r="Y24" i="30" s="1"/>
  <c r="AA24" i="30" s="1"/>
  <c r="AB24" i="30" s="1"/>
  <c r="P52" i="30"/>
  <c r="Q52" i="30"/>
  <c r="L52" i="30" s="1"/>
  <c r="K46" i="16"/>
  <c r="K46" i="35"/>
  <c r="K25" i="16"/>
  <c r="K25" i="35"/>
  <c r="K23" i="16"/>
  <c r="K23" i="35"/>
  <c r="I62" i="31"/>
  <c r="L61" i="31"/>
  <c r="K20" i="16"/>
  <c r="K20" i="35"/>
  <c r="K29" i="16"/>
  <c r="K29" i="35"/>
  <c r="K32" i="16"/>
  <c r="K32" i="35"/>
  <c r="K40" i="16"/>
  <c r="K40" i="35"/>
  <c r="K37" i="16"/>
  <c r="K37" i="35"/>
  <c r="K30" i="16"/>
  <c r="K30" i="35"/>
  <c r="K34" i="16"/>
  <c r="K34" i="35"/>
  <c r="K31" i="16"/>
  <c r="K31" i="35"/>
  <c r="R24" i="29"/>
  <c r="K35" i="16"/>
  <c r="K35" i="35"/>
  <c r="S48" i="16"/>
  <c r="Q41" i="16"/>
  <c r="S32" i="16"/>
  <c r="W48" i="16"/>
  <c r="Q50" i="16"/>
  <c r="H23" i="16"/>
  <c r="J46" i="16"/>
  <c r="Q38" i="16"/>
  <c r="Q34" i="16"/>
  <c r="X23" i="16"/>
  <c r="AB23" i="16"/>
  <c r="AC23" i="16" s="1"/>
  <c r="AB17" i="16"/>
  <c r="X17" i="16"/>
  <c r="X54" i="16"/>
  <c r="Y54" i="16" s="1"/>
  <c r="AA54" i="16" s="1"/>
  <c r="AB54" i="16"/>
  <c r="AC54" i="16" s="1"/>
  <c r="AB16" i="16"/>
  <c r="X16" i="16"/>
  <c r="X42" i="16"/>
  <c r="Y42" i="16" s="1"/>
  <c r="AA42" i="16" s="1"/>
  <c r="AB42" i="16"/>
  <c r="AC42" i="16" s="1"/>
  <c r="AB37" i="16"/>
  <c r="AC37" i="16" s="1"/>
  <c r="X37" i="16"/>
  <c r="AB31" i="16"/>
  <c r="AC31" i="16" s="1"/>
  <c r="X31" i="16"/>
  <c r="Y31" i="16" s="1"/>
  <c r="AA31" i="16" s="1"/>
  <c r="Q40" i="16"/>
  <c r="X22" i="16"/>
  <c r="AB22" i="16"/>
  <c r="AC22" i="16" s="1"/>
  <c r="X53" i="16"/>
  <c r="Y53" i="16" s="1"/>
  <c r="AA53" i="16" s="1"/>
  <c r="AB53" i="16"/>
  <c r="AC53" i="16" s="1"/>
  <c r="H27" i="16"/>
  <c r="AB15" i="16"/>
  <c r="X15" i="16"/>
  <c r="AB41" i="16"/>
  <c r="AC41" i="16" s="1"/>
  <c r="X41" i="16"/>
  <c r="Y41" i="16" s="1"/>
  <c r="AA41" i="16" s="1"/>
  <c r="Q46" i="16"/>
  <c r="AB32" i="16"/>
  <c r="AC32" i="16" s="1"/>
  <c r="X32" i="16"/>
  <c r="Y32" i="16" s="1"/>
  <c r="AA32" i="16" s="1"/>
  <c r="AB35" i="16"/>
  <c r="AC35" i="16" s="1"/>
  <c r="X35" i="16"/>
  <c r="X48" i="16"/>
  <c r="Y48" i="16" s="1"/>
  <c r="AA48" i="16" s="1"/>
  <c r="AB48" i="16"/>
  <c r="AC48" i="16" s="1"/>
  <c r="X43" i="16"/>
  <c r="Y43" i="16" s="1"/>
  <c r="AA43" i="16" s="1"/>
  <c r="AB43" i="16"/>
  <c r="AC43" i="16" s="1"/>
  <c r="X27" i="16"/>
  <c r="AB27" i="16"/>
  <c r="AC27" i="16" s="1"/>
  <c r="X20" i="16"/>
  <c r="Y20" i="16" s="1"/>
  <c r="AA20" i="16" s="1"/>
  <c r="AB20" i="16"/>
  <c r="AC20" i="16" s="1"/>
  <c r="Q54" i="16"/>
  <c r="AB30" i="16"/>
  <c r="AC30" i="16" s="1"/>
  <c r="X30" i="16"/>
  <c r="Y30" i="16" s="1"/>
  <c r="AA30" i="16" s="1"/>
  <c r="AB14" i="16"/>
  <c r="X14" i="16"/>
  <c r="X40" i="16"/>
  <c r="Y40" i="16" s="1"/>
  <c r="AA40" i="16" s="1"/>
  <c r="AB40" i="16"/>
  <c r="AC40" i="16" s="1"/>
  <c r="Q44" i="16"/>
  <c r="X26" i="16"/>
  <c r="AB26" i="16"/>
  <c r="AC26" i="16" s="1"/>
  <c r="AB34" i="16"/>
  <c r="AC34" i="16" s="1"/>
  <c r="X34" i="16"/>
  <c r="X46" i="16"/>
  <c r="Y46" i="16" s="1"/>
  <c r="AA46" i="16" s="1"/>
  <c r="AB46" i="16"/>
  <c r="AC46" i="16" s="1"/>
  <c r="Q53" i="16"/>
  <c r="X18" i="16"/>
  <c r="Y18" i="16" s="1"/>
  <c r="AA18" i="16" s="1"/>
  <c r="AB18" i="16"/>
  <c r="AC18" i="16" s="1"/>
  <c r="X52" i="16"/>
  <c r="Y52" i="16" s="1"/>
  <c r="AA52" i="16" s="1"/>
  <c r="AB52" i="16"/>
  <c r="AC52" i="16" s="1"/>
  <c r="X50" i="16"/>
  <c r="Y50" i="16" s="1"/>
  <c r="AA50" i="16" s="1"/>
  <c r="AB50" i="16"/>
  <c r="AC50" i="16" s="1"/>
  <c r="Q52" i="16"/>
  <c r="AB55" i="16"/>
  <c r="AC55" i="16" s="1"/>
  <c r="X55" i="16"/>
  <c r="Y55" i="16" s="1"/>
  <c r="AA55" i="16" s="1"/>
  <c r="AB38" i="16"/>
  <c r="AC38" i="16" s="1"/>
  <c r="X38" i="16"/>
  <c r="AB29" i="16"/>
  <c r="AC29" i="16" s="1"/>
  <c r="X29" i="16"/>
  <c r="Y29" i="16" s="1"/>
  <c r="AA29" i="16" s="1"/>
  <c r="Q30" i="16"/>
  <c r="AB12" i="16"/>
  <c r="AC12" i="16" s="1"/>
  <c r="X12" i="16"/>
  <c r="AB13" i="16"/>
  <c r="X13" i="16"/>
  <c r="AB39" i="16"/>
  <c r="AC39" i="16" s="1"/>
  <c r="X39" i="16"/>
  <c r="X44" i="16"/>
  <c r="Y44" i="16" s="1"/>
  <c r="Z44" i="16" s="1"/>
  <c r="AA44" i="16" s="1"/>
  <c r="AB44" i="16"/>
  <c r="AC44" i="16" s="1"/>
  <c r="H42" i="16"/>
  <c r="X25" i="16"/>
  <c r="AB25" i="16"/>
  <c r="AC25" i="16" s="1"/>
  <c r="Q37" i="16"/>
  <c r="J29" i="16"/>
  <c r="H39" i="16"/>
  <c r="J15" i="16"/>
  <c r="H15" i="16"/>
  <c r="H31" i="16"/>
  <c r="H43" i="16"/>
  <c r="Q20" i="16"/>
  <c r="H35" i="16"/>
  <c r="H55" i="16"/>
  <c r="Q25" i="16"/>
  <c r="Q17" i="16"/>
  <c r="Q13" i="16"/>
  <c r="Q26" i="16"/>
  <c r="Q14" i="16"/>
  <c r="Q22" i="16"/>
  <c r="Q18" i="16"/>
  <c r="K27" i="25"/>
  <c r="K26" i="25"/>
  <c r="X27" i="25"/>
  <c r="X26" i="25"/>
  <c r="F30" i="35"/>
  <c r="M30" i="35" s="1"/>
  <c r="S30" i="35" s="1"/>
  <c r="F15" i="35"/>
  <c r="M15" i="35" s="1"/>
  <c r="S15" i="35" s="1"/>
  <c r="J21" i="25"/>
  <c r="K14" i="25"/>
  <c r="AE49" i="25"/>
  <c r="AD49" i="25"/>
  <c r="AC49" i="25"/>
  <c r="AB49" i="25"/>
  <c r="AE48" i="25"/>
  <c r="AD48" i="25"/>
  <c r="AC48" i="25"/>
  <c r="AB48" i="25"/>
  <c r="AE47" i="25"/>
  <c r="AD47" i="25"/>
  <c r="AC47" i="25"/>
  <c r="AB47" i="25"/>
  <c r="AE46" i="25"/>
  <c r="AD46" i="25"/>
  <c r="AC46" i="25"/>
  <c r="AB46" i="25"/>
  <c r="AE45" i="25"/>
  <c r="AD45" i="25"/>
  <c r="AC45" i="25"/>
  <c r="AB45" i="25"/>
  <c r="AE44" i="25"/>
  <c r="AD44" i="25"/>
  <c r="AC44" i="25"/>
  <c r="AB44" i="25"/>
  <c r="AE43" i="25"/>
  <c r="AD43" i="25"/>
  <c r="AC43" i="25"/>
  <c r="AB43" i="25"/>
  <c r="AE42" i="25"/>
  <c r="AD42" i="25"/>
  <c r="AC42" i="25"/>
  <c r="AB42" i="25"/>
  <c r="AE41" i="25"/>
  <c r="AD41" i="25"/>
  <c r="AC41" i="25"/>
  <c r="AB41" i="25"/>
  <c r="AE40" i="25"/>
  <c r="AD40" i="25"/>
  <c r="AC40" i="25"/>
  <c r="AB40" i="25"/>
  <c r="AE39" i="25"/>
  <c r="AD39" i="25"/>
  <c r="AC39" i="25"/>
  <c r="AB39" i="25"/>
  <c r="AE38" i="25"/>
  <c r="AD38" i="25"/>
  <c r="AC38" i="25"/>
  <c r="AB38" i="25"/>
  <c r="AE37" i="25"/>
  <c r="AD37" i="25"/>
  <c r="AC37" i="25"/>
  <c r="AB37" i="25"/>
  <c r="AE36" i="25"/>
  <c r="AD36" i="25"/>
  <c r="AC36" i="25"/>
  <c r="AB36" i="25"/>
  <c r="AE35" i="25"/>
  <c r="AD35" i="25"/>
  <c r="AC35" i="25"/>
  <c r="AB35" i="25"/>
  <c r="AE34" i="25"/>
  <c r="AD34" i="25"/>
  <c r="AC34" i="25"/>
  <c r="AB34" i="25"/>
  <c r="AE33" i="25"/>
  <c r="AD33" i="25"/>
  <c r="AC33" i="25"/>
  <c r="AB33" i="25"/>
  <c r="AE32" i="25"/>
  <c r="AD32" i="25"/>
  <c r="AC32" i="25"/>
  <c r="AB32" i="25"/>
  <c r="AE31" i="25"/>
  <c r="AD31" i="25"/>
  <c r="AC31" i="25"/>
  <c r="AB31" i="25"/>
  <c r="AE30" i="25"/>
  <c r="AD30" i="25"/>
  <c r="AC30" i="25"/>
  <c r="AB30" i="25"/>
  <c r="AE29" i="25"/>
  <c r="AD29" i="25"/>
  <c r="AC29" i="25"/>
  <c r="AB29" i="25"/>
  <c r="AE54" i="25"/>
  <c r="AD54" i="25"/>
  <c r="AC54" i="25"/>
  <c r="AB54" i="25"/>
  <c r="AE53" i="25"/>
  <c r="AD53" i="25"/>
  <c r="AC53" i="25"/>
  <c r="AB53" i="25"/>
  <c r="AE52" i="25"/>
  <c r="AD52" i="25"/>
  <c r="AC52" i="25"/>
  <c r="AB52" i="25"/>
  <c r="AE51" i="25"/>
  <c r="AD51" i="25"/>
  <c r="AC51" i="25"/>
  <c r="AB51" i="25"/>
  <c r="AE50" i="25"/>
  <c r="AD50" i="25"/>
  <c r="AC50" i="25"/>
  <c r="AB50" i="25"/>
  <c r="AE28" i="25"/>
  <c r="AD28" i="25"/>
  <c r="AC28" i="25"/>
  <c r="AB28" i="25"/>
  <c r="AE27" i="25"/>
  <c r="AC27" i="25"/>
  <c r="AB27" i="25"/>
  <c r="AE26" i="25"/>
  <c r="AC26" i="25"/>
  <c r="AB26" i="25"/>
  <c r="Q10" i="23"/>
  <c r="V23" i="25" l="1"/>
  <c r="F29" i="35"/>
  <c r="M29" i="35" s="1"/>
  <c r="S29" i="35" s="1"/>
  <c r="F29" i="16"/>
  <c r="M29" i="16" s="1"/>
  <c r="S29" i="16" s="1"/>
  <c r="Z49" i="31"/>
  <c r="Q51" i="30"/>
  <c r="L51" i="30" s="1"/>
  <c r="W23" i="30"/>
  <c r="X23" i="30" s="1"/>
  <c r="Z23" i="30" s="1"/>
  <c r="Y23" i="30" s="1"/>
  <c r="AA23" i="30" s="1"/>
  <c r="AB23" i="30" s="1"/>
  <c r="R51" i="30" s="1"/>
  <c r="W29" i="30"/>
  <c r="X29" i="30" s="1"/>
  <c r="Z29" i="30" s="1"/>
  <c r="Y29" i="30" s="1"/>
  <c r="AA29" i="30" s="1"/>
  <c r="AB29" i="30" s="1"/>
  <c r="R52" i="30"/>
  <c r="F41" i="16"/>
  <c r="M41" i="16" s="1"/>
  <c r="S41" i="16" s="1"/>
  <c r="F41" i="35"/>
  <c r="M41" i="35" s="1"/>
  <c r="S41" i="35" s="1"/>
  <c r="F40" i="16"/>
  <c r="M40" i="16" s="1"/>
  <c r="S40" i="16" s="1"/>
  <c r="F40" i="35"/>
  <c r="M40" i="35" s="1"/>
  <c r="S40" i="35" s="1"/>
  <c r="F38" i="16"/>
  <c r="M38" i="16" s="1"/>
  <c r="S38" i="16" s="1"/>
  <c r="F38" i="35"/>
  <c r="M38" i="35" s="1"/>
  <c r="S38" i="35" s="1"/>
  <c r="F46" i="16"/>
  <c r="M46" i="16" s="1"/>
  <c r="H7" i="28" s="1"/>
  <c r="K9" i="28" s="1"/>
  <c r="K10" i="28" s="1"/>
  <c r="F46" i="35"/>
  <c r="M46" i="35" s="1"/>
  <c r="S46" i="35" s="1"/>
  <c r="F52" i="16"/>
  <c r="M52" i="16" s="1"/>
  <c r="S52" i="16" s="1"/>
  <c r="F52" i="35"/>
  <c r="M52" i="35" s="1"/>
  <c r="S52" i="35" s="1"/>
  <c r="W28" i="30"/>
  <c r="X28" i="30" s="1"/>
  <c r="Z28" i="30" s="1"/>
  <c r="Y28" i="30" s="1"/>
  <c r="AA28" i="30" s="1"/>
  <c r="AB28" i="30" s="1"/>
  <c r="F50" i="16"/>
  <c r="M50" i="16" s="1"/>
  <c r="S50" i="16" s="1"/>
  <c r="F50" i="35"/>
  <c r="M50" i="35" s="1"/>
  <c r="S50" i="35" s="1"/>
  <c r="F55" i="16"/>
  <c r="M55" i="16" s="1"/>
  <c r="S55" i="16" s="1"/>
  <c r="F55" i="35"/>
  <c r="M55" i="35" s="1"/>
  <c r="S55" i="35" s="1"/>
  <c r="E57" i="31"/>
  <c r="F57" i="31" s="1"/>
  <c r="I57" i="31" s="1"/>
  <c r="L57" i="31" s="1"/>
  <c r="F54" i="16"/>
  <c r="M54" i="16" s="1"/>
  <c r="S54" i="16" s="1"/>
  <c r="F54" i="35"/>
  <c r="M54" i="35" s="1"/>
  <c r="S54" i="35" s="1"/>
  <c r="R52" i="29"/>
  <c r="F53" i="16"/>
  <c r="M53" i="16" s="1"/>
  <c r="S53" i="16" s="1"/>
  <c r="F53" i="35"/>
  <c r="M53" i="35" s="1"/>
  <c r="S53" i="35" s="1"/>
  <c r="F44" i="16"/>
  <c r="M44" i="16" s="1"/>
  <c r="S44" i="16" s="1"/>
  <c r="F44" i="35"/>
  <c r="M44" i="35" s="1"/>
  <c r="S44" i="35" s="1"/>
  <c r="D58" i="31"/>
  <c r="D59" i="31"/>
  <c r="F31" i="16"/>
  <c r="M31" i="16" s="1"/>
  <c r="S31" i="16" s="1"/>
  <c r="F31" i="35"/>
  <c r="M31" i="35" s="1"/>
  <c r="S31" i="35" s="1"/>
  <c r="AD61" i="31"/>
  <c r="AG61" i="31" s="1"/>
  <c r="Z61" i="31"/>
  <c r="AH49" i="31"/>
  <c r="AI49" i="31" s="1"/>
  <c r="Y49" i="31" s="1"/>
  <c r="AJ49" i="31"/>
  <c r="AK49" i="31" s="1"/>
  <c r="AL49" i="31" s="1"/>
  <c r="U49" i="31" s="1"/>
  <c r="W49" i="31" s="1"/>
  <c r="J50" i="31" s="1"/>
  <c r="K50" i="31" s="1"/>
  <c r="H57" i="31"/>
  <c r="F39" i="16"/>
  <c r="M39" i="16" s="1"/>
  <c r="S39" i="16" s="1"/>
  <c r="F39" i="35"/>
  <c r="M39" i="35" s="1"/>
  <c r="S39" i="35" s="1"/>
  <c r="D36" i="31"/>
  <c r="D25" i="29"/>
  <c r="F42" i="16"/>
  <c r="M42" i="16" s="1"/>
  <c r="S42" i="16" s="1"/>
  <c r="F42" i="35"/>
  <c r="M42" i="35" s="1"/>
  <c r="S42" i="35" s="1"/>
  <c r="D39" i="31"/>
  <c r="F35" i="16"/>
  <c r="M35" i="16" s="1"/>
  <c r="S35" i="16" s="1"/>
  <c r="F35" i="35"/>
  <c r="M35" i="35" s="1"/>
  <c r="S35" i="35" s="1"/>
  <c r="F43" i="16"/>
  <c r="M43" i="16" s="1"/>
  <c r="S43" i="16" s="1"/>
  <c r="F43" i="35"/>
  <c r="M43" i="35" s="1"/>
  <c r="S43" i="35" s="1"/>
  <c r="F34" i="16"/>
  <c r="M34" i="16" s="1"/>
  <c r="S34" i="16" s="1"/>
  <c r="F34" i="35"/>
  <c r="M34" i="35" s="1"/>
  <c r="S34" i="35" s="1"/>
  <c r="D24" i="31"/>
  <c r="H24" i="31" s="1"/>
  <c r="D19" i="29"/>
  <c r="D37" i="31"/>
  <c r="D26" i="29"/>
  <c r="F37" i="16"/>
  <c r="M37" i="16" s="1"/>
  <c r="S37" i="16" s="1"/>
  <c r="F37" i="35"/>
  <c r="M37" i="35" s="1"/>
  <c r="S37" i="35" s="1"/>
  <c r="E56" i="16"/>
  <c r="L56" i="16" s="1"/>
  <c r="R56" i="16" s="1"/>
  <c r="AD56" i="16" s="1"/>
  <c r="AE56" i="16" s="1"/>
  <c r="E56" i="35"/>
  <c r="L56" i="35" s="1"/>
  <c r="R56" i="35" s="1"/>
  <c r="AD56" i="35" s="1"/>
  <c r="AE56" i="35" s="1"/>
  <c r="AF56" i="35" s="1"/>
  <c r="AH56" i="35" s="1"/>
  <c r="AI56" i="35" s="1"/>
  <c r="F15" i="16"/>
  <c r="M15" i="16" s="1"/>
  <c r="S15" i="16" s="1"/>
  <c r="F30" i="16"/>
  <c r="M30" i="16" s="1"/>
  <c r="S30" i="16" s="1"/>
  <c r="AG34" i="25"/>
  <c r="AG44" i="25"/>
  <c r="V27" i="25"/>
  <c r="V26" i="25"/>
  <c r="AG38" i="25"/>
  <c r="AG48" i="25"/>
  <c r="AG30" i="25"/>
  <c r="AG40" i="25"/>
  <c r="AG36" i="25"/>
  <c r="AG46" i="25"/>
  <c r="AG32" i="25"/>
  <c r="AG42" i="25"/>
  <c r="AG29" i="25"/>
  <c r="AG31" i="25"/>
  <c r="AG33" i="25"/>
  <c r="AG35" i="25"/>
  <c r="AG37" i="25"/>
  <c r="AG39" i="25"/>
  <c r="AG41" i="25"/>
  <c r="AG43" i="25"/>
  <c r="AG45" i="25"/>
  <c r="AG47" i="25"/>
  <c r="AG49" i="25"/>
  <c r="AG53" i="25"/>
  <c r="AG54" i="25"/>
  <c r="AG51" i="25"/>
  <c r="AG52" i="25"/>
  <c r="AG50" i="25"/>
  <c r="AG28" i="25"/>
  <c r="Z11" i="24"/>
  <c r="X11" i="24"/>
  <c r="Q12" i="24"/>
  <c r="O12" i="24"/>
  <c r="Q11" i="24"/>
  <c r="O11" i="24"/>
  <c r="H12" i="24"/>
  <c r="F12" i="24"/>
  <c r="H11" i="24"/>
  <c r="F11" i="24"/>
  <c r="O29" i="35" l="1"/>
  <c r="W29" i="35" s="1"/>
  <c r="O29" i="16"/>
  <c r="W29" i="16" s="1"/>
  <c r="Z57" i="31"/>
  <c r="AD57" i="31"/>
  <c r="AG57" i="31" s="1"/>
  <c r="O43" i="16"/>
  <c r="W43" i="16" s="1"/>
  <c r="O43" i="35"/>
  <c r="W43" i="35" s="1"/>
  <c r="O38" i="16"/>
  <c r="W38" i="16" s="1"/>
  <c r="O38" i="35"/>
  <c r="W38" i="35" s="1"/>
  <c r="O41" i="16"/>
  <c r="W41" i="16" s="1"/>
  <c r="O41" i="35"/>
  <c r="W41" i="35" s="1"/>
  <c r="J32" i="31"/>
  <c r="I22" i="29"/>
  <c r="O31" i="16"/>
  <c r="W31" i="16" s="1"/>
  <c r="O31" i="35"/>
  <c r="W31" i="35" s="1"/>
  <c r="H36" i="31"/>
  <c r="H37" i="31" s="1"/>
  <c r="O37" i="16"/>
  <c r="W37" i="16" s="1"/>
  <c r="O37" i="35"/>
  <c r="W37" i="35" s="1"/>
  <c r="O35" i="16"/>
  <c r="W35" i="16" s="1"/>
  <c r="O35" i="35"/>
  <c r="W35" i="35" s="1"/>
  <c r="O39" i="16"/>
  <c r="W39" i="16" s="1"/>
  <c r="O39" i="35"/>
  <c r="W39" i="35" s="1"/>
  <c r="O42" i="16"/>
  <c r="W42" i="16" s="1"/>
  <c r="O42" i="35"/>
  <c r="W42" i="35" s="1"/>
  <c r="J53" i="31"/>
  <c r="K53" i="31" s="1"/>
  <c r="I11" i="29"/>
  <c r="O40" i="16"/>
  <c r="W40" i="16" s="1"/>
  <c r="O40" i="35"/>
  <c r="W40" i="35" s="1"/>
  <c r="E24" i="31"/>
  <c r="F24" i="31" s="1"/>
  <c r="E19" i="29"/>
  <c r="F19" i="29" s="1"/>
  <c r="F17" i="25"/>
  <c r="I17" i="25" s="1"/>
  <c r="O53" i="16"/>
  <c r="W53" i="16" s="1"/>
  <c r="O53" i="35"/>
  <c r="W53" i="35" s="1"/>
  <c r="S46" i="16"/>
  <c r="O54" i="16"/>
  <c r="W54" i="16" s="1"/>
  <c r="O54" i="35"/>
  <c r="W54" i="35" s="1"/>
  <c r="E52" i="16"/>
  <c r="E52" i="35"/>
  <c r="L52" i="35" s="1"/>
  <c r="R52" i="35" s="1"/>
  <c r="AD52" i="35" s="1"/>
  <c r="AE52" i="35" s="1"/>
  <c r="AF52" i="35" s="1"/>
  <c r="AH52" i="35" s="1"/>
  <c r="AI52" i="35" s="1"/>
  <c r="E36" i="31"/>
  <c r="F36" i="31" s="1"/>
  <c r="I36" i="31" s="1"/>
  <c r="E25" i="29"/>
  <c r="F25" i="29" s="1"/>
  <c r="F26" i="25"/>
  <c r="I26" i="25" s="1"/>
  <c r="O30" i="16"/>
  <c r="W30" i="16" s="1"/>
  <c r="O30" i="35"/>
  <c r="W30" i="35" s="1"/>
  <c r="O55" i="16"/>
  <c r="W55" i="16" s="1"/>
  <c r="O55" i="35"/>
  <c r="W55" i="35" s="1"/>
  <c r="H58" i="31"/>
  <c r="O50" i="16"/>
  <c r="W50" i="16" s="1"/>
  <c r="O50" i="35"/>
  <c r="W50" i="35" s="1"/>
  <c r="AJ61" i="31"/>
  <c r="AK61" i="31" s="1"/>
  <c r="AL61" i="31" s="1"/>
  <c r="U61" i="31" s="1"/>
  <c r="W61" i="31" s="1"/>
  <c r="J62" i="31" s="1"/>
  <c r="K62" i="31" s="1"/>
  <c r="AH61" i="31"/>
  <c r="AI61" i="31" s="1"/>
  <c r="Y61" i="31" s="1"/>
  <c r="O52" i="16"/>
  <c r="W52" i="16" s="1"/>
  <c r="O52" i="35"/>
  <c r="W52" i="35" s="1"/>
  <c r="O46" i="16"/>
  <c r="W46" i="16" s="1"/>
  <c r="O46" i="35"/>
  <c r="W46" i="35" s="1"/>
  <c r="O15" i="16"/>
  <c r="W15" i="16" s="1"/>
  <c r="O15" i="35"/>
  <c r="W15" i="35" s="1"/>
  <c r="O34" i="16"/>
  <c r="W34" i="16" s="1"/>
  <c r="O34" i="35"/>
  <c r="W34" i="35" s="1"/>
  <c r="O44" i="16"/>
  <c r="W44" i="16" s="1"/>
  <c r="O44" i="35"/>
  <c r="W44" i="35" s="1"/>
  <c r="F39" i="31"/>
  <c r="I39" i="31" s="1"/>
  <c r="I40" i="31" s="1"/>
  <c r="I41" i="31" s="1"/>
  <c r="I42" i="31" s="1"/>
  <c r="I43" i="31" s="1"/>
  <c r="I44" i="31" s="1"/>
  <c r="I45" i="31" s="1"/>
  <c r="I46" i="31" s="1"/>
  <c r="H39" i="31"/>
  <c r="H40" i="31" s="1"/>
  <c r="H41" i="31" s="1"/>
  <c r="H42" i="31" s="1"/>
  <c r="H43" i="31" s="1"/>
  <c r="H44" i="31" s="1"/>
  <c r="H45" i="31" s="1"/>
  <c r="H46" i="31" s="1"/>
  <c r="H59" i="31"/>
  <c r="AH35" i="25"/>
  <c r="AI35" i="25" s="1"/>
  <c r="AJ35" i="25"/>
  <c r="AK35" i="25" s="1"/>
  <c r="AL35" i="25" s="1"/>
  <c r="AJ46" i="25"/>
  <c r="AK46" i="25" s="1"/>
  <c r="AL46" i="25" s="1"/>
  <c r="AH46" i="25"/>
  <c r="AI46" i="25" s="1"/>
  <c r="AH34" i="25"/>
  <c r="AI34" i="25" s="1"/>
  <c r="AJ34" i="25"/>
  <c r="AK34" i="25" s="1"/>
  <c r="AL34" i="25" s="1"/>
  <c r="AH31" i="25"/>
  <c r="AI31" i="25" s="1"/>
  <c r="AJ31" i="25"/>
  <c r="AK31" i="25" s="1"/>
  <c r="AL31" i="25" s="1"/>
  <c r="AH50" i="25"/>
  <c r="AI50" i="25" s="1"/>
  <c r="AJ50" i="25"/>
  <c r="AK50" i="25" s="1"/>
  <c r="AL50" i="25" s="1"/>
  <c r="AH30" i="25"/>
  <c r="AI30" i="25" s="1"/>
  <c r="AJ30" i="25"/>
  <c r="AK30" i="25" s="1"/>
  <c r="AL30" i="25" s="1"/>
  <c r="AJ29" i="25"/>
  <c r="AK29" i="25" s="1"/>
  <c r="AL29" i="25" s="1"/>
  <c r="AH29" i="25"/>
  <c r="AI29" i="25" s="1"/>
  <c r="AJ44" i="25"/>
  <c r="AK44" i="25" s="1"/>
  <c r="AL44" i="25" s="1"/>
  <c r="AH44" i="25"/>
  <c r="AI44" i="25" s="1"/>
  <c r="AH28" i="25"/>
  <c r="AI28" i="25" s="1"/>
  <c r="AJ28" i="25"/>
  <c r="AK28" i="25" s="1"/>
  <c r="AL28" i="25" s="1"/>
  <c r="AH36" i="25"/>
  <c r="AI36" i="25" s="1"/>
  <c r="AJ36" i="25"/>
  <c r="AK36" i="25" s="1"/>
  <c r="AL36" i="25" s="1"/>
  <c r="AJ40" i="25"/>
  <c r="AK40" i="25" s="1"/>
  <c r="AL40" i="25" s="1"/>
  <c r="AH40" i="25"/>
  <c r="AI40" i="25" s="1"/>
  <c r="AH51" i="25"/>
  <c r="AI51" i="25" s="1"/>
  <c r="AJ51" i="25"/>
  <c r="AK51" i="25" s="1"/>
  <c r="AL51" i="25" s="1"/>
  <c r="AJ48" i="25"/>
  <c r="AK48" i="25" s="1"/>
  <c r="AL48" i="25" s="1"/>
  <c r="AH48" i="25"/>
  <c r="AI48" i="25" s="1"/>
  <c r="AJ37" i="25"/>
  <c r="AK37" i="25" s="1"/>
  <c r="AL37" i="25" s="1"/>
  <c r="AH37" i="25"/>
  <c r="AI37" i="25" s="1"/>
  <c r="AH33" i="25"/>
  <c r="AI33" i="25" s="1"/>
  <c r="AJ33" i="25"/>
  <c r="AK33" i="25" s="1"/>
  <c r="AL33" i="25" s="1"/>
  <c r="AH52" i="25"/>
  <c r="AI52" i="25" s="1"/>
  <c r="AJ52" i="25"/>
  <c r="AK52" i="25" s="1"/>
  <c r="AL52" i="25" s="1"/>
  <c r="AH54" i="25"/>
  <c r="AI54" i="25" s="1"/>
  <c r="AJ54" i="25"/>
  <c r="AK54" i="25" s="1"/>
  <c r="AL54" i="25" s="1"/>
  <c r="AH38" i="25"/>
  <c r="AI38" i="25" s="1"/>
  <c r="AJ38" i="25"/>
  <c r="AK38" i="25" s="1"/>
  <c r="AL38" i="25" s="1"/>
  <c r="AH53" i="25"/>
  <c r="AI53" i="25" s="1"/>
  <c r="AJ53" i="25"/>
  <c r="AK53" i="25" s="1"/>
  <c r="AL53" i="25" s="1"/>
  <c r="AJ42" i="25"/>
  <c r="AK42" i="25" s="1"/>
  <c r="AL42" i="25" s="1"/>
  <c r="AH42" i="25"/>
  <c r="AI42" i="25" s="1"/>
  <c r="AJ47" i="25"/>
  <c r="AK47" i="25" s="1"/>
  <c r="AL47" i="25" s="1"/>
  <c r="AH47" i="25"/>
  <c r="AI47" i="25" s="1"/>
  <c r="AJ45" i="25"/>
  <c r="AK45" i="25" s="1"/>
  <c r="AL45" i="25" s="1"/>
  <c r="AH45" i="25"/>
  <c r="AI45" i="25" s="1"/>
  <c r="AJ39" i="25"/>
  <c r="AK39" i="25" s="1"/>
  <c r="AL39" i="25" s="1"/>
  <c r="AH39" i="25"/>
  <c r="AI39" i="25" s="1"/>
  <c r="AJ49" i="25"/>
  <c r="AK49" i="25" s="1"/>
  <c r="AL49" i="25" s="1"/>
  <c r="AH49" i="25"/>
  <c r="AI49" i="25" s="1"/>
  <c r="AH32" i="25"/>
  <c r="AI32" i="25" s="1"/>
  <c r="AJ32" i="25"/>
  <c r="AK32" i="25" s="1"/>
  <c r="AL32" i="25" s="1"/>
  <c r="AJ43" i="25"/>
  <c r="AK43" i="25" s="1"/>
  <c r="AL43" i="25" s="1"/>
  <c r="AH43" i="25"/>
  <c r="AI43" i="25" s="1"/>
  <c r="AJ41" i="25"/>
  <c r="AK41" i="25" s="1"/>
  <c r="AL41" i="25" s="1"/>
  <c r="AH41" i="25"/>
  <c r="AI41" i="25" s="1"/>
  <c r="E37" i="16"/>
  <c r="L37" i="16" s="1"/>
  <c r="R37" i="16" s="1"/>
  <c r="F27" i="35"/>
  <c r="M27" i="35" s="1"/>
  <c r="S27" i="35" s="1"/>
  <c r="K17" i="25"/>
  <c r="AB14" i="25"/>
  <c r="AC14" i="25"/>
  <c r="AE14" i="25"/>
  <c r="AB17" i="25"/>
  <c r="AC17" i="25"/>
  <c r="AE17" i="25"/>
  <c r="AB18" i="25"/>
  <c r="AC18" i="25"/>
  <c r="AE18" i="25"/>
  <c r="AB20" i="25"/>
  <c r="AC20" i="25"/>
  <c r="AE20" i="25"/>
  <c r="AB21" i="25"/>
  <c r="AC21" i="25"/>
  <c r="AE21" i="25"/>
  <c r="F16" i="35"/>
  <c r="M16" i="35" s="1"/>
  <c r="S16" i="35" s="1"/>
  <c r="F17" i="35"/>
  <c r="M17" i="35" s="1"/>
  <c r="S17" i="35" s="1"/>
  <c r="F18" i="35"/>
  <c r="M18" i="35" s="1"/>
  <c r="S18" i="35" s="1"/>
  <c r="X14" i="25"/>
  <c r="F20" i="35" s="1"/>
  <c r="M20" i="35" s="1"/>
  <c r="S20" i="35" s="1"/>
  <c r="X17" i="25"/>
  <c r="F22" i="35" s="1"/>
  <c r="M22" i="35" s="1"/>
  <c r="S22" i="35" s="1"/>
  <c r="X18" i="25"/>
  <c r="F23" i="35" s="1"/>
  <c r="M23" i="35" s="1"/>
  <c r="S23" i="35" s="1"/>
  <c r="X20" i="25"/>
  <c r="F25" i="35" s="1"/>
  <c r="M25" i="35" s="1"/>
  <c r="S25" i="35" s="1"/>
  <c r="X21" i="25"/>
  <c r="F26" i="35" s="1"/>
  <c r="M26" i="35" s="1"/>
  <c r="S26" i="35" s="1"/>
  <c r="F13" i="35"/>
  <c r="M13" i="35" s="1"/>
  <c r="S13" i="35" s="1"/>
  <c r="C183" i="21"/>
  <c r="C173" i="21"/>
  <c r="C163" i="21"/>
  <c r="C153" i="21"/>
  <c r="C143" i="21"/>
  <c r="C133" i="21"/>
  <c r="C123" i="21"/>
  <c r="C113" i="21"/>
  <c r="C103" i="21"/>
  <c r="C93" i="21"/>
  <c r="C83" i="21"/>
  <c r="C73" i="21"/>
  <c r="C63" i="21"/>
  <c r="F14" i="35"/>
  <c r="M14" i="35" s="1"/>
  <c r="S14" i="35" s="1"/>
  <c r="F12" i="35"/>
  <c r="M12" i="35" s="1"/>
  <c r="S12" i="35" s="1"/>
  <c r="AD26" i="25" l="1"/>
  <c r="AG26" i="25" s="1"/>
  <c r="C116" i="21"/>
  <c r="C141" i="21"/>
  <c r="C71" i="21"/>
  <c r="C91" i="21"/>
  <c r="C162" i="21"/>
  <c r="N52" i="16"/>
  <c r="V52" i="16" s="1"/>
  <c r="C75" i="21"/>
  <c r="C76" i="21"/>
  <c r="C132" i="21"/>
  <c r="C172" i="21"/>
  <c r="W19" i="30"/>
  <c r="X19" i="30" s="1"/>
  <c r="C119" i="21"/>
  <c r="C152" i="21"/>
  <c r="C118" i="21"/>
  <c r="C167" i="21"/>
  <c r="C179" i="21"/>
  <c r="C177" i="21"/>
  <c r="C100" i="21"/>
  <c r="C55" i="21"/>
  <c r="C67" i="21"/>
  <c r="C69" i="21"/>
  <c r="C165" i="21"/>
  <c r="BC25" i="30"/>
  <c r="BD25" i="30" s="1"/>
  <c r="BD40" i="30" s="1"/>
  <c r="C90" i="21"/>
  <c r="C92" i="21"/>
  <c r="C114" i="21"/>
  <c r="C120" i="21"/>
  <c r="C79" i="21"/>
  <c r="C117" i="21"/>
  <c r="C78" i="21"/>
  <c r="C127" i="21"/>
  <c r="C171" i="21"/>
  <c r="C142" i="21"/>
  <c r="E22" i="16"/>
  <c r="L22" i="16" s="1"/>
  <c r="R22" i="16" s="1"/>
  <c r="C136" i="21"/>
  <c r="C54" i="21"/>
  <c r="C77" i="21"/>
  <c r="C178" i="21"/>
  <c r="K32" i="31"/>
  <c r="C101" i="21"/>
  <c r="C57" i="21"/>
  <c r="C80" i="21"/>
  <c r="C105" i="21"/>
  <c r="C146" i="21"/>
  <c r="Q53" i="30"/>
  <c r="L53" i="30" s="1"/>
  <c r="P53" i="30"/>
  <c r="W25" i="30"/>
  <c r="X25" i="30" s="1"/>
  <c r="Z25" i="30" s="1"/>
  <c r="Y25" i="30" s="1"/>
  <c r="AA25" i="30" s="1"/>
  <c r="AB25" i="30" s="1"/>
  <c r="N60" i="35"/>
  <c r="V60" i="35" s="1"/>
  <c r="N60" i="16"/>
  <c r="V60" i="16" s="1"/>
  <c r="C56" i="21"/>
  <c r="C104" i="21"/>
  <c r="D25" i="31"/>
  <c r="H25" i="31" s="1"/>
  <c r="D20" i="29"/>
  <c r="C60" i="21"/>
  <c r="C82" i="21"/>
  <c r="C148" i="21"/>
  <c r="C86" i="21"/>
  <c r="C61" i="21"/>
  <c r="C84" i="21"/>
  <c r="C108" i="21"/>
  <c r="C149" i="21"/>
  <c r="H60" i="31"/>
  <c r="H63" i="31" s="1"/>
  <c r="I24" i="31"/>
  <c r="L24" i="31"/>
  <c r="C59" i="21"/>
  <c r="C81" i="21"/>
  <c r="C106" i="21"/>
  <c r="D28" i="31"/>
  <c r="D17" i="29"/>
  <c r="E37" i="31"/>
  <c r="F37" i="31" s="1"/>
  <c r="I37" i="31" s="1"/>
  <c r="L37" i="31" s="1"/>
  <c r="E26" i="29"/>
  <c r="F27" i="25"/>
  <c r="I27" i="25" s="1"/>
  <c r="C107" i="21"/>
  <c r="D27" i="31"/>
  <c r="H27" i="31" s="1"/>
  <c r="D16" i="29"/>
  <c r="C64" i="21"/>
  <c r="C110" i="21"/>
  <c r="D18" i="31"/>
  <c r="D15" i="29"/>
  <c r="C147" i="21"/>
  <c r="C62" i="21"/>
  <c r="C85" i="21"/>
  <c r="C109" i="21"/>
  <c r="C150" i="21"/>
  <c r="C87" i="21"/>
  <c r="C151" i="21"/>
  <c r="C65" i="21"/>
  <c r="C88" i="21"/>
  <c r="C111" i="21"/>
  <c r="C126" i="21"/>
  <c r="C66" i="21"/>
  <c r="C89" i="21"/>
  <c r="C112" i="21"/>
  <c r="C154" i="21"/>
  <c r="C145" i="21"/>
  <c r="E59" i="31"/>
  <c r="F59" i="31" s="1"/>
  <c r="I59" i="31" s="1"/>
  <c r="L59" i="31" s="1"/>
  <c r="L36" i="31"/>
  <c r="C68" i="21"/>
  <c r="C115" i="21"/>
  <c r="C166" i="21"/>
  <c r="C98" i="21"/>
  <c r="C99" i="21"/>
  <c r="C180" i="21"/>
  <c r="D15" i="31"/>
  <c r="D14" i="29"/>
  <c r="C168" i="21"/>
  <c r="C169" i="21"/>
  <c r="D14" i="31"/>
  <c r="AJ57" i="31"/>
  <c r="AK57" i="31" s="1"/>
  <c r="AL57" i="31" s="1"/>
  <c r="U57" i="31" s="1"/>
  <c r="W57" i="31" s="1"/>
  <c r="J58" i="31" s="1"/>
  <c r="K58" i="31" s="1"/>
  <c r="AH57" i="31"/>
  <c r="AI57" i="31" s="1"/>
  <c r="Y57" i="31" s="1"/>
  <c r="N56" i="35"/>
  <c r="V56" i="35" s="1"/>
  <c r="N56" i="16"/>
  <c r="V56" i="16" s="1"/>
  <c r="C72" i="21"/>
  <c r="C96" i="21"/>
  <c r="C170" i="21"/>
  <c r="H25" i="29"/>
  <c r="R25" i="29" s="1"/>
  <c r="D55" i="31"/>
  <c r="H55" i="31" s="1"/>
  <c r="D16" i="31"/>
  <c r="D13" i="29"/>
  <c r="C70" i="21"/>
  <c r="C94" i="21"/>
  <c r="C95" i="21"/>
  <c r="C74" i="21"/>
  <c r="C97" i="21"/>
  <c r="E58" i="31"/>
  <c r="F58" i="31" s="1"/>
  <c r="I58" i="31" s="1"/>
  <c r="L50" i="31"/>
  <c r="L62" i="31"/>
  <c r="L40" i="31"/>
  <c r="Z40" i="31" s="1"/>
  <c r="D12" i="29"/>
  <c r="F18" i="16"/>
  <c r="M18" i="16" s="1"/>
  <c r="S18" i="16" s="1"/>
  <c r="F17" i="16"/>
  <c r="M17" i="16" s="1"/>
  <c r="S17" i="16" s="1"/>
  <c r="F27" i="16"/>
  <c r="M27" i="16" s="1"/>
  <c r="S27" i="16" s="1"/>
  <c r="F16" i="16"/>
  <c r="M16" i="16" s="1"/>
  <c r="S16" i="16" s="1"/>
  <c r="F14" i="16"/>
  <c r="M14" i="16" s="1"/>
  <c r="S14" i="16" s="1"/>
  <c r="F22" i="16"/>
  <c r="M22" i="16" s="1"/>
  <c r="S22" i="16" s="1"/>
  <c r="V17" i="25"/>
  <c r="F23" i="16"/>
  <c r="M23" i="16" s="1"/>
  <c r="S23" i="16" s="1"/>
  <c r="V18" i="25"/>
  <c r="F13" i="16"/>
  <c r="M13" i="16" s="1"/>
  <c r="F20" i="16"/>
  <c r="M20" i="16" s="1"/>
  <c r="S20" i="16" s="1"/>
  <c r="V14" i="25"/>
  <c r="V21" i="25"/>
  <c r="F26" i="16"/>
  <c r="M26" i="16" s="1"/>
  <c r="S26" i="16" s="1"/>
  <c r="F12" i="16"/>
  <c r="F25" i="16"/>
  <c r="M25" i="16" s="1"/>
  <c r="S25" i="16" s="1"/>
  <c r="V20" i="25"/>
  <c r="C174" i="21"/>
  <c r="C175" i="21"/>
  <c r="C176" i="21"/>
  <c r="C182" i="21"/>
  <c r="C181" i="21"/>
  <c r="C164" i="21"/>
  <c r="C160" i="21"/>
  <c r="C155" i="21"/>
  <c r="C156" i="21"/>
  <c r="C157" i="21"/>
  <c r="C158" i="21"/>
  <c r="C159" i="21"/>
  <c r="C161" i="21"/>
  <c r="C144" i="21"/>
  <c r="C128" i="21"/>
  <c r="C129" i="21"/>
  <c r="C130" i="21"/>
  <c r="C131" i="21"/>
  <c r="C134" i="21"/>
  <c r="C135" i="21"/>
  <c r="C137" i="21"/>
  <c r="C138" i="21"/>
  <c r="C139" i="21"/>
  <c r="C140" i="21"/>
  <c r="C125" i="21"/>
  <c r="C121" i="21"/>
  <c r="C122" i="21"/>
  <c r="C124" i="21"/>
  <c r="C102" i="21"/>
  <c r="C58" i="21"/>
  <c r="Z26" i="25" l="1"/>
  <c r="E34" i="16"/>
  <c r="E34" i="35"/>
  <c r="L34" i="35" s="1"/>
  <c r="R34" i="35" s="1"/>
  <c r="AD34" i="35" s="1"/>
  <c r="AE34" i="35" s="1"/>
  <c r="AF34" i="35" s="1"/>
  <c r="AH34" i="35" s="1"/>
  <c r="AI34" i="35" s="1"/>
  <c r="AH26" i="25"/>
  <c r="AI26" i="25" s="1"/>
  <c r="Y26" i="25" s="1"/>
  <c r="AJ26" i="25"/>
  <c r="AK26" i="25" s="1"/>
  <c r="AL26" i="25" s="1"/>
  <c r="AD27" i="25"/>
  <c r="AG27" i="25" s="1"/>
  <c r="E22" i="35"/>
  <c r="L22" i="35" s="1"/>
  <c r="R22" i="35" s="1"/>
  <c r="AD22" i="35" s="1"/>
  <c r="AE22" i="35" s="1"/>
  <c r="AF22" i="35" s="1"/>
  <c r="AH22" i="35" s="1"/>
  <c r="AI22" i="35" s="1"/>
  <c r="N52" i="35"/>
  <c r="V52" i="35" s="1"/>
  <c r="L58" i="31"/>
  <c r="Z58" i="31" s="1"/>
  <c r="E57" i="35"/>
  <c r="L57" i="35" s="1"/>
  <c r="R57" i="35" s="1"/>
  <c r="AD57" i="35" s="1"/>
  <c r="AE57" i="35" s="1"/>
  <c r="AF57" i="35" s="1"/>
  <c r="AH57" i="35" s="1"/>
  <c r="AI57" i="35" s="1"/>
  <c r="E57" i="16"/>
  <c r="L57" i="16" s="1"/>
  <c r="R57" i="16" s="1"/>
  <c r="AD57" i="16" s="1"/>
  <c r="AE57" i="16" s="1"/>
  <c r="H16" i="31"/>
  <c r="H14" i="31"/>
  <c r="O14" i="16"/>
  <c r="W14" i="16" s="1"/>
  <c r="O14" i="35"/>
  <c r="W14" i="35" s="1"/>
  <c r="Z24" i="31"/>
  <c r="AD24" i="31"/>
  <c r="AG24" i="31" s="1"/>
  <c r="E28" i="31"/>
  <c r="F28" i="31" s="1"/>
  <c r="I28" i="31" s="1"/>
  <c r="L28" i="31" s="1"/>
  <c r="E17" i="29"/>
  <c r="F17" i="29" s="1"/>
  <c r="F21" i="25"/>
  <c r="O16" i="16"/>
  <c r="W16" i="16" s="1"/>
  <c r="O16" i="35"/>
  <c r="W16" i="35" s="1"/>
  <c r="E16" i="31"/>
  <c r="F16" i="31" s="1"/>
  <c r="E13" i="29"/>
  <c r="F13" i="29" s="1"/>
  <c r="O23" i="16"/>
  <c r="W23" i="16" s="1"/>
  <c r="O23" i="35"/>
  <c r="W23" i="35" s="1"/>
  <c r="E14" i="31"/>
  <c r="F14" i="31" s="1"/>
  <c r="O27" i="16"/>
  <c r="W27" i="16" s="1"/>
  <c r="O27" i="35"/>
  <c r="W27" i="35" s="1"/>
  <c r="Z19" i="30"/>
  <c r="Y19" i="30" s="1"/>
  <c r="AA19" i="30" s="1"/>
  <c r="AB19" i="30" s="1"/>
  <c r="H28" i="31"/>
  <c r="H29" i="31" s="1"/>
  <c r="O12" i="16"/>
  <c r="W12" i="16" s="1"/>
  <c r="O12" i="35"/>
  <c r="W12" i="35" s="1"/>
  <c r="Z36" i="31"/>
  <c r="AD36" i="31"/>
  <c r="AG36" i="31" s="1"/>
  <c r="E50" i="16"/>
  <c r="L50" i="16" s="1"/>
  <c r="R50" i="16" s="1"/>
  <c r="AD50" i="16" s="1"/>
  <c r="AE50" i="16" s="1"/>
  <c r="E55" i="31"/>
  <c r="F55" i="31" s="1"/>
  <c r="I55" i="31" s="1"/>
  <c r="L55" i="31" s="1"/>
  <c r="O17" i="16"/>
  <c r="W17" i="16" s="1"/>
  <c r="O17" i="35"/>
  <c r="W17" i="35" s="1"/>
  <c r="AD37" i="31"/>
  <c r="AG37" i="31" s="1"/>
  <c r="Z37" i="31"/>
  <c r="AU26" i="30"/>
  <c r="AV26" i="30" s="1"/>
  <c r="AD59" i="31"/>
  <c r="AG59" i="31" s="1"/>
  <c r="Z59" i="31"/>
  <c r="E15" i="31"/>
  <c r="F15" i="31" s="1"/>
  <c r="I15" i="31" s="1"/>
  <c r="L15" i="31" s="1"/>
  <c r="E14" i="29"/>
  <c r="F14" i="30"/>
  <c r="H14" i="30" s="1"/>
  <c r="R14" i="30" s="1"/>
  <c r="O20" i="16"/>
  <c r="W20" i="16" s="1"/>
  <c r="O20" i="35"/>
  <c r="W20" i="35" s="1"/>
  <c r="O22" i="16"/>
  <c r="W22" i="16" s="1"/>
  <c r="O22" i="35"/>
  <c r="W22" i="35" s="1"/>
  <c r="O25" i="16"/>
  <c r="W25" i="16" s="1"/>
  <c r="O25" i="35"/>
  <c r="W25" i="35" s="1"/>
  <c r="E27" i="31"/>
  <c r="F27" i="31" s="1"/>
  <c r="I27" i="31" s="1"/>
  <c r="E16" i="29"/>
  <c r="F16" i="29" s="1"/>
  <c r="H16" i="29" s="1"/>
  <c r="R53" i="30"/>
  <c r="E25" i="31"/>
  <c r="F25" i="31" s="1"/>
  <c r="I25" i="31" s="1"/>
  <c r="E20" i="29"/>
  <c r="F20" i="29" s="1"/>
  <c r="F18" i="25"/>
  <c r="O26" i="16"/>
  <c r="W26" i="16" s="1"/>
  <c r="O26" i="35"/>
  <c r="W26" i="35" s="1"/>
  <c r="F26" i="29"/>
  <c r="O18" i="16"/>
  <c r="W18" i="16" s="1"/>
  <c r="O18" i="35"/>
  <c r="W18" i="35" s="1"/>
  <c r="I60" i="31"/>
  <c r="I63" i="31" s="1"/>
  <c r="G26" i="29"/>
  <c r="BC25" i="29"/>
  <c r="BD25" i="29" s="1"/>
  <c r="BD40" i="29" s="1"/>
  <c r="E54" i="16"/>
  <c r="E54" i="35"/>
  <c r="L54" i="35" s="1"/>
  <c r="R54" i="35" s="1"/>
  <c r="AD54" i="35" s="1"/>
  <c r="AE54" i="35" s="1"/>
  <c r="AF54" i="35" s="1"/>
  <c r="AH54" i="35" s="1"/>
  <c r="AI54" i="35" s="1"/>
  <c r="H18" i="31"/>
  <c r="H19" i="31" s="1"/>
  <c r="E18" i="31"/>
  <c r="F18" i="31" s="1"/>
  <c r="E15" i="29"/>
  <c r="F15" i="29" s="1"/>
  <c r="O13" i="16"/>
  <c r="W13" i="16" s="1"/>
  <c r="O13" i="35"/>
  <c r="W13" i="35" s="1"/>
  <c r="H15" i="31"/>
  <c r="K25" i="29"/>
  <c r="AD40" i="31"/>
  <c r="AG40" i="31" s="1"/>
  <c r="AJ40" i="31" s="1"/>
  <c r="AK40" i="31" s="1"/>
  <c r="AL40" i="31" s="1"/>
  <c r="U40" i="31" s="1"/>
  <c r="W40" i="31" s="1"/>
  <c r="J41" i="31" s="1"/>
  <c r="Z62" i="31"/>
  <c r="AD62" i="31"/>
  <c r="AG62" i="31" s="1"/>
  <c r="AD50" i="31"/>
  <c r="AG50" i="31" s="1"/>
  <c r="Z50" i="31"/>
  <c r="E12" i="29"/>
  <c r="F12" i="29" s="1"/>
  <c r="H12" i="29" s="1"/>
  <c r="U26" i="25" l="1"/>
  <c r="N34" i="16" s="1"/>
  <c r="E35" i="35"/>
  <c r="L35" i="35" s="1"/>
  <c r="R35" i="35" s="1"/>
  <c r="AD35" i="35" s="1"/>
  <c r="AE35" i="35" s="1"/>
  <c r="AF35" i="35" s="1"/>
  <c r="AH35" i="35" s="1"/>
  <c r="AI35" i="35" s="1"/>
  <c r="Z27" i="25"/>
  <c r="E35" i="16"/>
  <c r="L35" i="16" s="1"/>
  <c r="R35" i="16" s="1"/>
  <c r="AJ27" i="25"/>
  <c r="AK27" i="25" s="1"/>
  <c r="AL27" i="25" s="1"/>
  <c r="U27" i="25" s="1"/>
  <c r="AH27" i="25"/>
  <c r="AI27" i="25" s="1"/>
  <c r="Y27" i="25" s="1"/>
  <c r="AD58" i="31"/>
  <c r="AG58" i="31" s="1"/>
  <c r="H26" i="29"/>
  <c r="R26" i="29" s="1"/>
  <c r="AU26" i="29" s="1"/>
  <c r="AV26" i="29" s="1"/>
  <c r="E53" i="35"/>
  <c r="L53" i="35" s="1"/>
  <c r="R53" i="35" s="1"/>
  <c r="AD53" i="35" s="1"/>
  <c r="AE53" i="35" s="1"/>
  <c r="AF53" i="35" s="1"/>
  <c r="AH53" i="35" s="1"/>
  <c r="AI53" i="35" s="1"/>
  <c r="E53" i="16"/>
  <c r="F14" i="29"/>
  <c r="H14" i="29" s="1"/>
  <c r="K14" i="30"/>
  <c r="W14" i="30" s="1"/>
  <c r="X14" i="30" s="1"/>
  <c r="Z14" i="30" s="1"/>
  <c r="Y14" i="30" s="1"/>
  <c r="AA14" i="30" s="1"/>
  <c r="AB14" i="30" s="1"/>
  <c r="N50" i="35"/>
  <c r="V50" i="35" s="1"/>
  <c r="W30" i="30"/>
  <c r="X30" i="30" s="1"/>
  <c r="Z30" i="30" s="1"/>
  <c r="Y30" i="30" s="1"/>
  <c r="AA30" i="30" s="1"/>
  <c r="AB30" i="30" s="1"/>
  <c r="P48" i="30"/>
  <c r="AU20" i="30"/>
  <c r="AV20" i="30" s="1"/>
  <c r="K26" i="29"/>
  <c r="P54" i="29" s="1"/>
  <c r="H17" i="31"/>
  <c r="H20" i="31" s="1"/>
  <c r="K16" i="29"/>
  <c r="W16" i="29" s="1"/>
  <c r="X16" i="29" s="1"/>
  <c r="Y16" i="29" s="1"/>
  <c r="AA16" i="29" s="1"/>
  <c r="AB16" i="29" s="1"/>
  <c r="R16" i="29"/>
  <c r="G17" i="29" s="1"/>
  <c r="H17" i="29" s="1"/>
  <c r="K17" i="29" s="1"/>
  <c r="AO15" i="30"/>
  <c r="AP15" i="30" s="1"/>
  <c r="I18" i="31"/>
  <c r="I19" i="31" s="1"/>
  <c r="L18" i="31"/>
  <c r="I14" i="31"/>
  <c r="L14" i="31"/>
  <c r="AH36" i="31"/>
  <c r="AI36" i="31" s="1"/>
  <c r="Y36" i="31" s="1"/>
  <c r="AJ36" i="31"/>
  <c r="AK36" i="31" s="1"/>
  <c r="AL36" i="31" s="1"/>
  <c r="U36" i="31" s="1"/>
  <c r="W36" i="31" s="1"/>
  <c r="AJ24" i="31"/>
  <c r="AK24" i="31" s="1"/>
  <c r="AL24" i="31" s="1"/>
  <c r="U24" i="31" s="1"/>
  <c r="W24" i="31" s="1"/>
  <c r="J25" i="31" s="1"/>
  <c r="K25" i="31" s="1"/>
  <c r="L25" i="31" s="1"/>
  <c r="AH24" i="31"/>
  <c r="AI24" i="31" s="1"/>
  <c r="Y24" i="31" s="1"/>
  <c r="AD15" i="31"/>
  <c r="AG15" i="31" s="1"/>
  <c r="Z15" i="31"/>
  <c r="E16" i="16"/>
  <c r="L16" i="16" s="1"/>
  <c r="R16" i="16" s="1"/>
  <c r="E16" i="35"/>
  <c r="L16" i="35" s="1"/>
  <c r="R16" i="35" s="1"/>
  <c r="AD16" i="35" s="1"/>
  <c r="AE16" i="35" s="1"/>
  <c r="AF16" i="35" s="1"/>
  <c r="AH16" i="35" s="1"/>
  <c r="AI16" i="35" s="1"/>
  <c r="L27" i="31"/>
  <c r="I29" i="31"/>
  <c r="H15" i="29"/>
  <c r="K15" i="29" s="1"/>
  <c r="AJ37" i="31"/>
  <c r="AK37" i="31" s="1"/>
  <c r="AL37" i="31" s="1"/>
  <c r="U37" i="31" s="1"/>
  <c r="W37" i="31" s="1"/>
  <c r="AH37" i="31"/>
  <c r="AI37" i="31" s="1"/>
  <c r="Y37" i="31" s="1"/>
  <c r="I16" i="31"/>
  <c r="L16" i="31"/>
  <c r="AH59" i="31"/>
  <c r="AI59" i="31" s="1"/>
  <c r="Y59" i="31" s="1"/>
  <c r="AJ59" i="31"/>
  <c r="AK59" i="31" s="1"/>
  <c r="AL59" i="31" s="1"/>
  <c r="U59" i="31" s="1"/>
  <c r="W59" i="31" s="1"/>
  <c r="J60" i="31" s="1"/>
  <c r="K60" i="31" s="1"/>
  <c r="L60" i="31" s="1"/>
  <c r="N54" i="16"/>
  <c r="V54" i="16" s="1"/>
  <c r="N54" i="35"/>
  <c r="V54" i="35" s="1"/>
  <c r="Z28" i="31"/>
  <c r="AD28" i="31"/>
  <c r="AG28" i="31" s="1"/>
  <c r="N37" i="16"/>
  <c r="N37" i="35"/>
  <c r="V37" i="35" s="1"/>
  <c r="W25" i="29"/>
  <c r="X25" i="29" s="1"/>
  <c r="Z25" i="29" s="1"/>
  <c r="Y25" i="29" s="1"/>
  <c r="AA25" i="29" s="1"/>
  <c r="AB25" i="29" s="1"/>
  <c r="P53" i="29"/>
  <c r="Q53" i="29"/>
  <c r="E50" i="35"/>
  <c r="L50" i="35" s="1"/>
  <c r="R50" i="35" s="1"/>
  <c r="AD50" i="35" s="1"/>
  <c r="AE50" i="35" s="1"/>
  <c r="AF50" i="35" s="1"/>
  <c r="AH50" i="35" s="1"/>
  <c r="AI50" i="35" s="1"/>
  <c r="AD55" i="31"/>
  <c r="AG55" i="31" s="1"/>
  <c r="Z55" i="31"/>
  <c r="N53" i="16"/>
  <c r="V53" i="16" s="1"/>
  <c r="N53" i="35"/>
  <c r="V53" i="35" s="1"/>
  <c r="K41" i="31"/>
  <c r="L41" i="31" s="1"/>
  <c r="AH40" i="31"/>
  <c r="AI40" i="31" s="1"/>
  <c r="Y40" i="31" s="1"/>
  <c r="AJ62" i="31"/>
  <c r="AK62" i="31" s="1"/>
  <c r="AL62" i="31" s="1"/>
  <c r="U62" i="31" s="1"/>
  <c r="W62" i="31" s="1"/>
  <c r="J63" i="31" s="1"/>
  <c r="AH62" i="31"/>
  <c r="AI62" i="31" s="1"/>
  <c r="Y62" i="31" s="1"/>
  <c r="AH50" i="31"/>
  <c r="AI50" i="31" s="1"/>
  <c r="Y50" i="31" s="1"/>
  <c r="AJ50" i="31"/>
  <c r="AK50" i="31" s="1"/>
  <c r="AL50" i="31" s="1"/>
  <c r="U50" i="31" s="1"/>
  <c r="W50" i="31" s="1"/>
  <c r="AH58" i="31"/>
  <c r="AI58" i="31" s="1"/>
  <c r="Y58" i="31" s="1"/>
  <c r="AJ58" i="31"/>
  <c r="AK58" i="31" s="1"/>
  <c r="AL58" i="31" s="1"/>
  <c r="U58" i="31" s="1"/>
  <c r="W58" i="31" s="1"/>
  <c r="R12" i="29"/>
  <c r="G13" i="29" s="1"/>
  <c r="H13" i="29" s="1"/>
  <c r="K12" i="29"/>
  <c r="W12" i="29" s="1"/>
  <c r="X12" i="29" s="1"/>
  <c r="Z12" i="29" s="1"/>
  <c r="Y12" i="29" s="1"/>
  <c r="AA12" i="29" s="1"/>
  <c r="AB12" i="29" s="1"/>
  <c r="AD17" i="25"/>
  <c r="AG17" i="25" s="1"/>
  <c r="Z17" i="25"/>
  <c r="W26" i="25" l="1"/>
  <c r="N34" i="35"/>
  <c r="V34" i="35" s="1"/>
  <c r="W27" i="25"/>
  <c r="N35" i="35"/>
  <c r="V35" i="35" s="1"/>
  <c r="N35" i="16"/>
  <c r="W20" i="30"/>
  <c r="X20" i="30" s="1"/>
  <c r="Q48" i="30"/>
  <c r="L48" i="30" s="1"/>
  <c r="Q54" i="29"/>
  <c r="L54" i="29" s="1"/>
  <c r="K14" i="29"/>
  <c r="W14" i="29" s="1"/>
  <c r="X14" i="29" s="1"/>
  <c r="Z14" i="29" s="1"/>
  <c r="Y14" i="29" s="1"/>
  <c r="AA14" i="29" s="1"/>
  <c r="AB14" i="29" s="1"/>
  <c r="R14" i="29"/>
  <c r="R17" i="29"/>
  <c r="AO17" i="29" s="1"/>
  <c r="AP17" i="29" s="1"/>
  <c r="W26" i="29"/>
  <c r="X26" i="29" s="1"/>
  <c r="Z26" i="29" s="1"/>
  <c r="Y26" i="29" s="1"/>
  <c r="AA26" i="29" s="1"/>
  <c r="AB26" i="29" s="1"/>
  <c r="R54" i="29" s="1"/>
  <c r="R15" i="29"/>
  <c r="AO15" i="29" s="1"/>
  <c r="AP15" i="29" s="1"/>
  <c r="W15" i="29"/>
  <c r="X15" i="29" s="1"/>
  <c r="Z15" i="29" s="1"/>
  <c r="Y15" i="29" s="1"/>
  <c r="AA15" i="29" s="1"/>
  <c r="AB15" i="29" s="1"/>
  <c r="Q44" i="29"/>
  <c r="L44" i="29" s="1"/>
  <c r="P44" i="29"/>
  <c r="Z16" i="31"/>
  <c r="AD16" i="31"/>
  <c r="AG16" i="31" s="1"/>
  <c r="I17" i="31"/>
  <c r="I20" i="31" s="1"/>
  <c r="R48" i="30"/>
  <c r="AJ15" i="31"/>
  <c r="AK15" i="31" s="1"/>
  <c r="AL15" i="31" s="1"/>
  <c r="U15" i="31" s="1"/>
  <c r="W15" i="31" s="1"/>
  <c r="AH15" i="31"/>
  <c r="AI15" i="31" s="1"/>
  <c r="Y15" i="31" s="1"/>
  <c r="N57" i="16"/>
  <c r="V57" i="16" s="1"/>
  <c r="N57" i="35"/>
  <c r="V57" i="35" s="1"/>
  <c r="Z16" i="29"/>
  <c r="E38" i="16"/>
  <c r="E38" i="35"/>
  <c r="L38" i="35" s="1"/>
  <c r="R38" i="35" s="1"/>
  <c r="AD38" i="35" s="1"/>
  <c r="AE38" i="35" s="1"/>
  <c r="AF38" i="35" s="1"/>
  <c r="AH38" i="35" s="1"/>
  <c r="AI38" i="35" s="1"/>
  <c r="E55" i="16"/>
  <c r="E55" i="35"/>
  <c r="L55" i="35" s="1"/>
  <c r="R55" i="35" s="1"/>
  <c r="AD55" i="35" s="1"/>
  <c r="AE55" i="35" s="1"/>
  <c r="AF55" i="35" s="1"/>
  <c r="AH55" i="35" s="1"/>
  <c r="AI55" i="35" s="1"/>
  <c r="Q54" i="30"/>
  <c r="L54" i="30" s="1"/>
  <c r="P54" i="30"/>
  <c r="W26" i="30"/>
  <c r="X26" i="30" s="1"/>
  <c r="Z26" i="30" s="1"/>
  <c r="Y26" i="30" s="1"/>
  <c r="AA26" i="30" s="1"/>
  <c r="AB26" i="30" s="1"/>
  <c r="Z25" i="31"/>
  <c r="AD25" i="31"/>
  <c r="AG25" i="31" s="1"/>
  <c r="AD14" i="31"/>
  <c r="AG14" i="31" s="1"/>
  <c r="Z14" i="31"/>
  <c r="AH28" i="31"/>
  <c r="AI28" i="31" s="1"/>
  <c r="Y28" i="31" s="1"/>
  <c r="AJ28" i="31"/>
  <c r="AK28" i="31" s="1"/>
  <c r="AL28" i="31" s="1"/>
  <c r="U28" i="31" s="1"/>
  <c r="W28" i="31" s="1"/>
  <c r="J29" i="31" s="1"/>
  <c r="K29" i="31" s="1"/>
  <c r="L29" i="31" s="1"/>
  <c r="W16" i="30"/>
  <c r="X16" i="30" s="1"/>
  <c r="Z16" i="30" s="1"/>
  <c r="AD18" i="31"/>
  <c r="AG18" i="31" s="1"/>
  <c r="Z18" i="31"/>
  <c r="E14" i="16"/>
  <c r="L14" i="16" s="1"/>
  <c r="R14" i="16" s="1"/>
  <c r="E14" i="35"/>
  <c r="L14" i="35" s="1"/>
  <c r="R14" i="35" s="1"/>
  <c r="AD14" i="35" s="1"/>
  <c r="AE14" i="35" s="1"/>
  <c r="AF14" i="35" s="1"/>
  <c r="AH14" i="35" s="1"/>
  <c r="AI14" i="35" s="1"/>
  <c r="Z20" i="30"/>
  <c r="Z27" i="31"/>
  <c r="AD27" i="31"/>
  <c r="AG27" i="31" s="1"/>
  <c r="AJ55" i="31"/>
  <c r="AK55" i="31" s="1"/>
  <c r="AL55" i="31" s="1"/>
  <c r="U55" i="31" s="1"/>
  <c r="W55" i="31" s="1"/>
  <c r="AH55" i="31"/>
  <c r="AI55" i="31" s="1"/>
  <c r="Y55" i="31" s="1"/>
  <c r="P44" i="30"/>
  <c r="M44" i="30" s="1"/>
  <c r="Q44" i="30"/>
  <c r="W15" i="30"/>
  <c r="X15" i="30" s="1"/>
  <c r="Z60" i="31"/>
  <c r="AD60" i="31"/>
  <c r="AG60" i="31" s="1"/>
  <c r="Q46" i="29"/>
  <c r="L46" i="29" s="1"/>
  <c r="P46" i="29"/>
  <c r="W17" i="29"/>
  <c r="X17" i="29" s="1"/>
  <c r="Z17" i="29" s="1"/>
  <c r="Y17" i="29" s="1"/>
  <c r="AA17" i="29" s="1"/>
  <c r="AB17" i="29" s="1"/>
  <c r="M53" i="29"/>
  <c r="L53" i="29" s="1"/>
  <c r="R53" i="29"/>
  <c r="K63" i="31"/>
  <c r="L63" i="31" s="1"/>
  <c r="AD41" i="31"/>
  <c r="AG41" i="31" s="1"/>
  <c r="AJ41" i="31" s="1"/>
  <c r="AK41" i="31" s="1"/>
  <c r="AL41" i="31" s="1"/>
  <c r="U41" i="31" s="1"/>
  <c r="W41" i="31" s="1"/>
  <c r="J42" i="31" s="1"/>
  <c r="Z41" i="31"/>
  <c r="R13" i="29"/>
  <c r="K13" i="29"/>
  <c r="N50" i="16"/>
  <c r="V50" i="16" s="1"/>
  <c r="AH17" i="25"/>
  <c r="AI17" i="25" s="1"/>
  <c r="Y17" i="25" s="1"/>
  <c r="AJ17" i="25"/>
  <c r="AK17" i="25" s="1"/>
  <c r="AL17" i="25" s="1"/>
  <c r="N16" i="35"/>
  <c r="V16" i="35" s="1"/>
  <c r="L52" i="16"/>
  <c r="R52" i="16" s="1"/>
  <c r="AD52" i="16" s="1"/>
  <c r="AE52" i="16" s="1"/>
  <c r="U17" i="25" l="1"/>
  <c r="N22" i="35" s="1"/>
  <c r="V22" i="35" s="1"/>
  <c r="L44" i="30"/>
  <c r="Y20" i="30"/>
  <c r="AA20" i="30" s="1"/>
  <c r="AB20" i="30" s="1"/>
  <c r="G18" i="29"/>
  <c r="AP40" i="29"/>
  <c r="AH41" i="31"/>
  <c r="AI41" i="31" s="1"/>
  <c r="Y41" i="31" s="1"/>
  <c r="Z15" i="30"/>
  <c r="Y15" i="30" s="1"/>
  <c r="AA15" i="30" s="1"/>
  <c r="AB15" i="30" s="1"/>
  <c r="R44" i="30" s="1"/>
  <c r="R46" i="29"/>
  <c r="AH27" i="31"/>
  <c r="AI27" i="31" s="1"/>
  <c r="Y27" i="31" s="1"/>
  <c r="AJ27" i="31"/>
  <c r="AK27" i="31" s="1"/>
  <c r="AL27" i="31" s="1"/>
  <c r="U27" i="31" s="1"/>
  <c r="W27" i="31" s="1"/>
  <c r="Y16" i="30"/>
  <c r="AA16" i="30" s="1"/>
  <c r="AB16" i="30" s="1"/>
  <c r="E58" i="16"/>
  <c r="L58" i="16" s="1"/>
  <c r="R58" i="16" s="1"/>
  <c r="AD58" i="16" s="1"/>
  <c r="AE58" i="16" s="1"/>
  <c r="E58" i="35"/>
  <c r="L58" i="35" s="1"/>
  <c r="R58" i="35" s="1"/>
  <c r="AD58" i="35" s="1"/>
  <c r="AE58" i="35" s="1"/>
  <c r="AF58" i="35" s="1"/>
  <c r="AH58" i="35" s="1"/>
  <c r="AI58" i="35" s="1"/>
  <c r="Z29" i="31"/>
  <c r="AD29" i="31"/>
  <c r="AG29" i="31" s="1"/>
  <c r="AH60" i="31"/>
  <c r="AI60" i="31" s="1"/>
  <c r="Y60" i="31" s="1"/>
  <c r="AJ60" i="31"/>
  <c r="AK60" i="31" s="1"/>
  <c r="AL60" i="31" s="1"/>
  <c r="U60" i="31" s="1"/>
  <c r="W60" i="31" s="1"/>
  <c r="AS13" i="30"/>
  <c r="AT13" i="30" s="1"/>
  <c r="AT40" i="30" s="1"/>
  <c r="R54" i="30"/>
  <c r="AO17" i="30"/>
  <c r="AP17" i="30" s="1"/>
  <c r="AP40" i="30" s="1"/>
  <c r="Q46" i="30"/>
  <c r="P46" i="30"/>
  <c r="M46" i="30" s="1"/>
  <c r="W17" i="30"/>
  <c r="X17" i="30" s="1"/>
  <c r="AJ16" i="31"/>
  <c r="AK16" i="31" s="1"/>
  <c r="AL16" i="31" s="1"/>
  <c r="U16" i="31" s="1"/>
  <c r="W16" i="31" s="1"/>
  <c r="J17" i="31" s="1"/>
  <c r="K17" i="31" s="1"/>
  <c r="L17" i="31" s="1"/>
  <c r="AH16" i="31"/>
  <c r="AI16" i="31" s="1"/>
  <c r="Y16" i="31" s="1"/>
  <c r="AJ25" i="31"/>
  <c r="AK25" i="31" s="1"/>
  <c r="AL25" i="31" s="1"/>
  <c r="U25" i="31" s="1"/>
  <c r="W25" i="31" s="1"/>
  <c r="AH25" i="31"/>
  <c r="AI25" i="31" s="1"/>
  <c r="Y25" i="31" s="1"/>
  <c r="R44" i="29"/>
  <c r="AH18" i="31"/>
  <c r="AI18" i="31" s="1"/>
  <c r="Y18" i="31" s="1"/>
  <c r="AJ18" i="31"/>
  <c r="AK18" i="31" s="1"/>
  <c r="AL18" i="31" s="1"/>
  <c r="U18" i="31" s="1"/>
  <c r="W18" i="31" s="1"/>
  <c r="J19" i="31" s="1"/>
  <c r="K19" i="31" s="1"/>
  <c r="L19" i="31" s="1"/>
  <c r="AH14" i="31"/>
  <c r="AI14" i="31" s="1"/>
  <c r="Y14" i="31" s="1"/>
  <c r="AJ14" i="31"/>
  <c r="AK14" i="31" s="1"/>
  <c r="AL14" i="31" s="1"/>
  <c r="U14" i="31" s="1"/>
  <c r="W14" i="31" s="1"/>
  <c r="Z63" i="31"/>
  <c r="AD63" i="31"/>
  <c r="AG63" i="31" s="1"/>
  <c r="AH63" i="31" s="1"/>
  <c r="AI63" i="31" s="1"/>
  <c r="Y63" i="31" s="1"/>
  <c r="K42" i="31"/>
  <c r="L42" i="31" s="1"/>
  <c r="G21" i="29"/>
  <c r="AS13" i="29"/>
  <c r="AT13" i="29" s="1"/>
  <c r="AT40" i="29" s="1"/>
  <c r="W13" i="29"/>
  <c r="X13" i="29" s="1"/>
  <c r="Z13" i="29" s="1"/>
  <c r="Y13" i="29" s="1"/>
  <c r="AA13" i="29" s="1"/>
  <c r="AB13" i="29" s="1"/>
  <c r="Q43" i="29"/>
  <c r="L43" i="29" s="1"/>
  <c r="P43" i="29"/>
  <c r="N16" i="16"/>
  <c r="N22" i="16" l="1"/>
  <c r="W17" i="25"/>
  <c r="J18" i="25" s="1"/>
  <c r="L46" i="30"/>
  <c r="AJ63" i="31"/>
  <c r="AK63" i="31" s="1"/>
  <c r="AL63" i="31" s="1"/>
  <c r="U63" i="31" s="1"/>
  <c r="W63" i="31" s="1"/>
  <c r="AH29" i="31"/>
  <c r="AI29" i="31" s="1"/>
  <c r="Y29" i="31" s="1"/>
  <c r="AJ29" i="31"/>
  <c r="AK29" i="31" s="1"/>
  <c r="AL29" i="31" s="1"/>
  <c r="U29" i="31" s="1"/>
  <c r="W29" i="31" s="1"/>
  <c r="Z17" i="30"/>
  <c r="Y17" i="30" s="1"/>
  <c r="AA17" i="30" s="1"/>
  <c r="AB17" i="30" s="1"/>
  <c r="R46" i="30" s="1"/>
  <c r="N58" i="16"/>
  <c r="V58" i="16" s="1"/>
  <c r="N58" i="35"/>
  <c r="V58" i="35" s="1"/>
  <c r="N38" i="16"/>
  <c r="N38" i="35"/>
  <c r="V38" i="35" s="1"/>
  <c r="AD17" i="31"/>
  <c r="AG17" i="31" s="1"/>
  <c r="Z17" i="31"/>
  <c r="N55" i="16"/>
  <c r="V55" i="16" s="1"/>
  <c r="N55" i="35"/>
  <c r="V55" i="35" s="1"/>
  <c r="AD19" i="31"/>
  <c r="AG19" i="31" s="1"/>
  <c r="Z19" i="31"/>
  <c r="Z42" i="31"/>
  <c r="AD42" i="31"/>
  <c r="AG42" i="31" s="1"/>
  <c r="AJ42" i="31" s="1"/>
  <c r="AK42" i="31" s="1"/>
  <c r="AL42" i="31" s="1"/>
  <c r="U42" i="31" s="1"/>
  <c r="W42" i="31" s="1"/>
  <c r="J43" i="31" s="1"/>
  <c r="R43" i="29"/>
  <c r="AH42" i="31" l="1"/>
  <c r="AI42" i="31" s="1"/>
  <c r="Y42" i="31" s="1"/>
  <c r="E17" i="16"/>
  <c r="L17" i="16" s="1"/>
  <c r="R17" i="16" s="1"/>
  <c r="E17" i="35"/>
  <c r="L17" i="35" s="1"/>
  <c r="R17" i="35" s="1"/>
  <c r="AD17" i="35" s="1"/>
  <c r="AE17" i="35" s="1"/>
  <c r="AF17" i="35" s="1"/>
  <c r="AH17" i="35" s="1"/>
  <c r="AI17" i="35" s="1"/>
  <c r="AJ19" i="31"/>
  <c r="AK19" i="31" s="1"/>
  <c r="AL19" i="31" s="1"/>
  <c r="U19" i="31" s="1"/>
  <c r="W19" i="31" s="1"/>
  <c r="J20" i="31" s="1"/>
  <c r="K20" i="31" s="1"/>
  <c r="L20" i="31" s="1"/>
  <c r="AH19" i="31"/>
  <c r="AI19" i="31" s="1"/>
  <c r="Y19" i="31" s="1"/>
  <c r="E39" i="16"/>
  <c r="L39" i="16" s="1"/>
  <c r="R39" i="16" s="1"/>
  <c r="E39" i="35"/>
  <c r="L39" i="35" s="1"/>
  <c r="R39" i="35" s="1"/>
  <c r="AD39" i="35" s="1"/>
  <c r="AE39" i="35" s="1"/>
  <c r="AF39" i="35" s="1"/>
  <c r="AH39" i="35" s="1"/>
  <c r="AI39" i="35" s="1"/>
  <c r="AH17" i="31"/>
  <c r="AI17" i="31" s="1"/>
  <c r="Y17" i="31" s="1"/>
  <c r="AJ17" i="31"/>
  <c r="AK17" i="31" s="1"/>
  <c r="AL17" i="31" s="1"/>
  <c r="U17" i="31" s="1"/>
  <c r="W17" i="31" s="1"/>
  <c r="K43" i="31"/>
  <c r="L43" i="31" s="1"/>
  <c r="L53" i="16"/>
  <c r="R53" i="16" s="1"/>
  <c r="AD53" i="16" s="1"/>
  <c r="AE53" i="16" s="1"/>
  <c r="X20" i="24"/>
  <c r="Z20" i="24"/>
  <c r="V20" i="24"/>
  <c r="D13" i="30" s="1"/>
  <c r="M20" i="24"/>
  <c r="Q20" i="24"/>
  <c r="O20" i="24"/>
  <c r="D12" i="30" l="1"/>
  <c r="O28" i="24"/>
  <c r="M22" i="24"/>
  <c r="D33" i="31"/>
  <c r="H33" i="31" s="1"/>
  <c r="D18" i="29"/>
  <c r="D22" i="31"/>
  <c r="D21" i="29"/>
  <c r="Z20" i="31"/>
  <c r="AD20" i="31"/>
  <c r="AG20" i="31" s="1"/>
  <c r="D53" i="31"/>
  <c r="H53" i="31" s="1"/>
  <c r="D11" i="29"/>
  <c r="Z43" i="31"/>
  <c r="AD43" i="31"/>
  <c r="AG43" i="31" s="1"/>
  <c r="AH43" i="31" s="1"/>
  <c r="AI43" i="31" s="1"/>
  <c r="Y43" i="31" s="1"/>
  <c r="N17" i="35"/>
  <c r="V17" i="35" s="1"/>
  <c r="V23" i="24"/>
  <c r="X27" i="24"/>
  <c r="V22" i="24"/>
  <c r="E13" i="30" s="1"/>
  <c r="F13" i="30" s="1"/>
  <c r="X29" i="24"/>
  <c r="X28" i="24"/>
  <c r="O29" i="24"/>
  <c r="M23" i="24"/>
  <c r="O27" i="24"/>
  <c r="E12" i="30" l="1"/>
  <c r="F12" i="30"/>
  <c r="H12" i="30" s="1"/>
  <c r="R12" i="30" s="1"/>
  <c r="K12" i="30"/>
  <c r="W12" i="30" s="1"/>
  <c r="X12" i="30" s="1"/>
  <c r="Z12" i="30" s="1"/>
  <c r="Y12" i="30" s="1"/>
  <c r="AA12" i="30" s="1"/>
  <c r="AB12" i="30" s="1"/>
  <c r="H13" i="30"/>
  <c r="K13" i="30" s="1"/>
  <c r="AJ43" i="31"/>
  <c r="AK43" i="31" s="1"/>
  <c r="AL43" i="31" s="1"/>
  <c r="U43" i="31" s="1"/>
  <c r="W43" i="31" s="1"/>
  <c r="J44" i="31" s="1"/>
  <c r="N39" i="16"/>
  <c r="N39" i="35"/>
  <c r="V39" i="35" s="1"/>
  <c r="H22" i="31"/>
  <c r="H31" i="31" s="1"/>
  <c r="AH20" i="31"/>
  <c r="AI20" i="31" s="1"/>
  <c r="Y20" i="31" s="1"/>
  <c r="AJ20" i="31"/>
  <c r="AK20" i="31" s="1"/>
  <c r="AL20" i="31" s="1"/>
  <c r="U20" i="31" s="1"/>
  <c r="W20" i="31" s="1"/>
  <c r="J31" i="31" s="1"/>
  <c r="K31" i="31" s="1"/>
  <c r="H14" i="25"/>
  <c r="E22" i="31"/>
  <c r="F22" i="31" s="1"/>
  <c r="I22" i="31" s="1"/>
  <c r="E21" i="29"/>
  <c r="F21" i="29" s="1"/>
  <c r="F14" i="25"/>
  <c r="E53" i="31"/>
  <c r="F53" i="31" s="1"/>
  <c r="I53" i="31" s="1"/>
  <c r="L53" i="31" s="1"/>
  <c r="E11" i="29"/>
  <c r="F11" i="29" s="1"/>
  <c r="E33" i="31"/>
  <c r="F33" i="31" s="1"/>
  <c r="I33" i="31" s="1"/>
  <c r="L33" i="31" s="1"/>
  <c r="E18" i="29"/>
  <c r="F18" i="29" s="1"/>
  <c r="K44" i="31"/>
  <c r="L44" i="31" s="1"/>
  <c r="N17" i="16"/>
  <c r="K18" i="25"/>
  <c r="L18" i="25" s="1"/>
  <c r="F20" i="24"/>
  <c r="D20" i="24"/>
  <c r="I14" i="25" l="1"/>
  <c r="E20" i="16" s="1"/>
  <c r="L20" i="16" s="1"/>
  <c r="R20" i="16" s="1"/>
  <c r="AD20" i="16" s="1"/>
  <c r="AE20" i="16" s="1"/>
  <c r="AF20" i="16" s="1"/>
  <c r="AH20" i="16" s="1"/>
  <c r="AI20" i="16" s="1"/>
  <c r="I20" i="25"/>
  <c r="I21" i="25" s="1"/>
  <c r="I18" i="25"/>
  <c r="AD18" i="25"/>
  <c r="AG18" i="25" s="1"/>
  <c r="D11" i="30"/>
  <c r="P43" i="30"/>
  <c r="W13" i="30"/>
  <c r="X13" i="30" s="1"/>
  <c r="Z13" i="30" s="1"/>
  <c r="Y13" i="30" s="1"/>
  <c r="AA13" i="30" s="1"/>
  <c r="AB13" i="30" s="1"/>
  <c r="Q43" i="30"/>
  <c r="R13" i="30"/>
  <c r="H11" i="29"/>
  <c r="R11" i="29" s="1"/>
  <c r="L22" i="31"/>
  <c r="I31" i="31"/>
  <c r="L31" i="31" s="1"/>
  <c r="AE21" i="30"/>
  <c r="AF21" i="30" s="1"/>
  <c r="E31" i="16"/>
  <c r="L31" i="16" s="1"/>
  <c r="R31" i="16" s="1"/>
  <c r="AD31" i="16" s="1"/>
  <c r="AE31" i="16" s="1"/>
  <c r="E31" i="35"/>
  <c r="L31" i="35" s="1"/>
  <c r="R31" i="35" s="1"/>
  <c r="AD31" i="35" s="1"/>
  <c r="AE31" i="35" s="1"/>
  <c r="AF31" i="35" s="1"/>
  <c r="AH31" i="35" s="1"/>
  <c r="AI31" i="35" s="1"/>
  <c r="E23" i="16"/>
  <c r="L23" i="16" s="1"/>
  <c r="R23" i="16" s="1"/>
  <c r="E23" i="35"/>
  <c r="L23" i="35" s="1"/>
  <c r="R23" i="35" s="1"/>
  <c r="AD23" i="35" s="1"/>
  <c r="AE23" i="35" s="1"/>
  <c r="AF23" i="35" s="1"/>
  <c r="AH23" i="35" s="1"/>
  <c r="AI23" i="35" s="1"/>
  <c r="E48" i="16"/>
  <c r="L48" i="16" s="1"/>
  <c r="R48" i="16" s="1"/>
  <c r="AD48" i="16" s="1"/>
  <c r="AE48" i="16" s="1"/>
  <c r="E48" i="35"/>
  <c r="L48" i="35" s="1"/>
  <c r="R48" i="35" s="1"/>
  <c r="AD48" i="35" s="1"/>
  <c r="AE48" i="35" s="1"/>
  <c r="AF48" i="35" s="1"/>
  <c r="AH48" i="35" s="1"/>
  <c r="AI48" i="35" s="1"/>
  <c r="AD33" i="31"/>
  <c r="AG33" i="31" s="1"/>
  <c r="Z33" i="31"/>
  <c r="H21" i="29"/>
  <c r="K21" i="29" s="1"/>
  <c r="E40" i="16"/>
  <c r="E40" i="35"/>
  <c r="L40" i="35" s="1"/>
  <c r="R40" i="35" s="1"/>
  <c r="AD40" i="35" s="1"/>
  <c r="AE40" i="35" s="1"/>
  <c r="AF40" i="35" s="1"/>
  <c r="AH40" i="35" s="1"/>
  <c r="AI40" i="35" s="1"/>
  <c r="D32" i="31"/>
  <c r="H32" i="31" s="1"/>
  <c r="H34" i="31" s="1"/>
  <c r="H48" i="31" s="1"/>
  <c r="H51" i="31" s="1"/>
  <c r="Z53" i="31"/>
  <c r="AD53" i="31"/>
  <c r="H18" i="29"/>
  <c r="K18" i="29" s="1"/>
  <c r="Z44" i="31"/>
  <c r="AD44" i="31"/>
  <c r="AG44" i="31" s="1"/>
  <c r="AH44" i="31" s="1"/>
  <c r="AI44" i="31" s="1"/>
  <c r="Y44" i="31" s="1"/>
  <c r="D22" i="29"/>
  <c r="L54" i="16"/>
  <c r="R54" i="16" s="1"/>
  <c r="AD54" i="16" s="1"/>
  <c r="AE54" i="16" s="1"/>
  <c r="F28" i="24"/>
  <c r="F27" i="24"/>
  <c r="D22" i="24"/>
  <c r="H20" i="24"/>
  <c r="F29" i="24" s="1"/>
  <c r="Z18" i="25" l="1"/>
  <c r="AD14" i="25"/>
  <c r="AG14" i="25" s="1"/>
  <c r="AH14" i="25" s="1"/>
  <c r="AI14" i="25" s="1"/>
  <c r="Y14" i="25" s="1"/>
  <c r="Z14" i="25"/>
  <c r="E20" i="35"/>
  <c r="L20" i="35" s="1"/>
  <c r="R20" i="35" s="1"/>
  <c r="AD20" i="35" s="1"/>
  <c r="AE20" i="35" s="1"/>
  <c r="AF20" i="35" s="1"/>
  <c r="AH20" i="35" s="1"/>
  <c r="AI20" i="35" s="1"/>
  <c r="AG13" i="30"/>
  <c r="AH13" i="30" s="1"/>
  <c r="AH40" i="30" s="1"/>
  <c r="AE13" i="30"/>
  <c r="AF13" i="30" s="1"/>
  <c r="AF40" i="30" s="1"/>
  <c r="E11" i="30"/>
  <c r="F11" i="30" s="1"/>
  <c r="H11" i="30" s="1"/>
  <c r="K11" i="30" s="1"/>
  <c r="H15" i="25"/>
  <c r="H16" i="25" s="1"/>
  <c r="H18" i="25" s="1"/>
  <c r="I15" i="25"/>
  <c r="I16" i="25" s="1"/>
  <c r="M43" i="30"/>
  <c r="L43" i="30" s="1"/>
  <c r="R43" i="30"/>
  <c r="K11" i="29"/>
  <c r="P42" i="29" s="1"/>
  <c r="AJ44" i="31"/>
  <c r="AK44" i="31" s="1"/>
  <c r="AL44" i="31" s="1"/>
  <c r="U44" i="31" s="1"/>
  <c r="W44" i="31" s="1"/>
  <c r="J45" i="31" s="1"/>
  <c r="R21" i="29"/>
  <c r="AU21" i="29" s="1"/>
  <c r="AV21" i="29" s="1"/>
  <c r="P47" i="29"/>
  <c r="Q47" i="29"/>
  <c r="W18" i="29"/>
  <c r="X18" i="29" s="1"/>
  <c r="Z18" i="29" s="1"/>
  <c r="Y18" i="29" s="1"/>
  <c r="AA18" i="29" s="1"/>
  <c r="AB18" i="29" s="1"/>
  <c r="AJ33" i="31"/>
  <c r="AK33" i="31" s="1"/>
  <c r="AL33" i="31" s="1"/>
  <c r="U33" i="31" s="1"/>
  <c r="W33" i="31" s="1"/>
  <c r="AH33" i="31"/>
  <c r="AI33" i="31" s="1"/>
  <c r="Y33" i="31" s="1"/>
  <c r="Q49" i="30"/>
  <c r="L49" i="30" s="1"/>
  <c r="P49" i="30"/>
  <c r="W21" i="30"/>
  <c r="X21" i="30" s="1"/>
  <c r="Z21" i="30" s="1"/>
  <c r="AU21" i="30"/>
  <c r="AV21" i="30" s="1"/>
  <c r="AV40" i="30" s="1"/>
  <c r="R18" i="29"/>
  <c r="H19" i="29" s="1"/>
  <c r="Q47" i="30"/>
  <c r="W18" i="30"/>
  <c r="X18" i="30" s="1"/>
  <c r="Z18" i="30" s="1"/>
  <c r="P47" i="30"/>
  <c r="M47" i="30" s="1"/>
  <c r="L47" i="30" s="1"/>
  <c r="Q49" i="29"/>
  <c r="L49" i="29" s="1"/>
  <c r="P49" i="29"/>
  <c r="W21" i="29"/>
  <c r="X21" i="29" s="1"/>
  <c r="Z21" i="29" s="1"/>
  <c r="Y21" i="29" s="1"/>
  <c r="AA21" i="29" s="1"/>
  <c r="AB21" i="29" s="1"/>
  <c r="E32" i="31"/>
  <c r="F32" i="31" s="1"/>
  <c r="I32" i="31" s="1"/>
  <c r="L32" i="31" s="1"/>
  <c r="Z22" i="31"/>
  <c r="AD22" i="31"/>
  <c r="AG22" i="31" s="1"/>
  <c r="AG53" i="31"/>
  <c r="AL53" i="31"/>
  <c r="U53" i="31" s="1"/>
  <c r="W53" i="31" s="1"/>
  <c r="E12" i="16"/>
  <c r="L12" i="16" s="1"/>
  <c r="R12" i="16" s="1"/>
  <c r="E12" i="35"/>
  <c r="L12" i="35" s="1"/>
  <c r="R12" i="35" s="1"/>
  <c r="AD12" i="35" s="1"/>
  <c r="AE12" i="35" s="1"/>
  <c r="AF12" i="35" s="1"/>
  <c r="AH12" i="35" s="1"/>
  <c r="AI12" i="35" s="1"/>
  <c r="AD31" i="31"/>
  <c r="Z31" i="31"/>
  <c r="K45" i="31"/>
  <c r="L45" i="31" s="1"/>
  <c r="E22" i="29"/>
  <c r="F22" i="29" s="1"/>
  <c r="E30" i="35"/>
  <c r="L30" i="35" s="1"/>
  <c r="R30" i="35" s="1"/>
  <c r="AD30" i="35" s="1"/>
  <c r="AE30" i="35" s="1"/>
  <c r="AF30" i="35" s="1"/>
  <c r="AH30" i="35" s="1"/>
  <c r="AI30" i="35" s="1"/>
  <c r="AJ18" i="25"/>
  <c r="AK18" i="25" s="1"/>
  <c r="AL18" i="25" s="1"/>
  <c r="AH18" i="25"/>
  <c r="AI18" i="25" s="1"/>
  <c r="Y18" i="25" s="1"/>
  <c r="D23" i="24"/>
  <c r="U18" i="25" l="1"/>
  <c r="N23" i="35" s="1"/>
  <c r="V23" i="35" s="1"/>
  <c r="AJ14" i="25"/>
  <c r="AK14" i="25" s="1"/>
  <c r="AL14" i="25" s="1"/>
  <c r="U14" i="25" s="1"/>
  <c r="N20" i="16" s="1"/>
  <c r="V20" i="16" s="1"/>
  <c r="Q42" i="30"/>
  <c r="W11" i="30"/>
  <c r="X11" i="30" s="1"/>
  <c r="Z11" i="30" s="1"/>
  <c r="Y11" i="30" s="1"/>
  <c r="AA11" i="30" s="1"/>
  <c r="AB11" i="30" s="1"/>
  <c r="P42" i="30"/>
  <c r="R11" i="30"/>
  <c r="W11" i="29"/>
  <c r="X11" i="29" s="1"/>
  <c r="Z11" i="29" s="1"/>
  <c r="Y11" i="29" s="1"/>
  <c r="AA11" i="29" s="1"/>
  <c r="AB11" i="29" s="1"/>
  <c r="Q42" i="29"/>
  <c r="I34" i="31"/>
  <c r="I48" i="31" s="1"/>
  <c r="I51" i="31" s="1"/>
  <c r="Y18" i="30"/>
  <c r="AA18" i="30" s="1"/>
  <c r="AB18" i="30" s="1"/>
  <c r="R47" i="30" s="1"/>
  <c r="Y21" i="30"/>
  <c r="AA21" i="30" s="1"/>
  <c r="AB21" i="30" s="1"/>
  <c r="R49" i="30" s="1"/>
  <c r="E18" i="16"/>
  <c r="L18" i="16" s="1"/>
  <c r="R18" i="16" s="1"/>
  <c r="AD18" i="16" s="1"/>
  <c r="AE18" i="16" s="1"/>
  <c r="E18" i="35"/>
  <c r="L18" i="35" s="1"/>
  <c r="R18" i="35" s="1"/>
  <c r="AD18" i="35" s="1"/>
  <c r="AE18" i="35" s="1"/>
  <c r="AF18" i="35" s="1"/>
  <c r="AH18" i="35" s="1"/>
  <c r="AI18" i="35" s="1"/>
  <c r="N31" i="16"/>
  <c r="N31" i="35"/>
  <c r="V31" i="35" s="1"/>
  <c r="M42" i="29"/>
  <c r="L42" i="29" s="1"/>
  <c r="R42" i="29"/>
  <c r="AH22" i="31"/>
  <c r="AI22" i="31" s="1"/>
  <c r="Y22" i="31" s="1"/>
  <c r="AJ22" i="31"/>
  <c r="AK22" i="31" s="1"/>
  <c r="AL22" i="31" s="1"/>
  <c r="U22" i="31" s="1"/>
  <c r="W22" i="31" s="1"/>
  <c r="AD32" i="31"/>
  <c r="AG32" i="31" s="1"/>
  <c r="Z32" i="31"/>
  <c r="R19" i="29"/>
  <c r="G20" i="29" s="1"/>
  <c r="H20" i="29" s="1"/>
  <c r="K19" i="29"/>
  <c r="W19" i="29" s="1"/>
  <c r="X19" i="29" s="1"/>
  <c r="Z19" i="29" s="1"/>
  <c r="Y19" i="29" s="1"/>
  <c r="AA19" i="29" s="1"/>
  <c r="AB19" i="29" s="1"/>
  <c r="N40" i="16"/>
  <c r="V40" i="16" s="1"/>
  <c r="N40" i="35"/>
  <c r="V40" i="35" s="1"/>
  <c r="N48" i="16"/>
  <c r="V48" i="16" s="1"/>
  <c r="N48" i="35"/>
  <c r="V48" i="35" s="1"/>
  <c r="R49" i="29"/>
  <c r="AG31" i="31"/>
  <c r="AL31" i="31"/>
  <c r="U31" i="31" s="1"/>
  <c r="W31" i="31" s="1"/>
  <c r="M47" i="29"/>
  <c r="L47" i="29" s="1"/>
  <c r="R47" i="29"/>
  <c r="AJ53" i="31"/>
  <c r="AH53" i="31"/>
  <c r="AI53" i="31" s="1"/>
  <c r="AD45" i="31"/>
  <c r="AG45" i="31" s="1"/>
  <c r="AJ45" i="31" s="1"/>
  <c r="AK45" i="31" s="1"/>
  <c r="AL45" i="31" s="1"/>
  <c r="U45" i="31" s="1"/>
  <c r="W45" i="31" s="1"/>
  <c r="J46" i="31" s="1"/>
  <c r="Z45" i="31"/>
  <c r="E30" i="16"/>
  <c r="L30" i="16" s="1"/>
  <c r="R30" i="16" s="1"/>
  <c r="AD30" i="16" s="1"/>
  <c r="AE30" i="16" s="1"/>
  <c r="N14" i="35"/>
  <c r="V14" i="35" s="1"/>
  <c r="K21" i="25"/>
  <c r="Y23" i="16"/>
  <c r="AA23" i="16" s="1"/>
  <c r="W14" i="25" l="1"/>
  <c r="J15" i="25" s="1"/>
  <c r="K15" i="25" s="1"/>
  <c r="AD15" i="25" s="1"/>
  <c r="AG15" i="25" s="1"/>
  <c r="AJ15" i="25" s="1"/>
  <c r="AK15" i="25" s="1"/>
  <c r="AL15" i="25" s="1"/>
  <c r="N20" i="35"/>
  <c r="V20" i="35" s="1"/>
  <c r="N23" i="16"/>
  <c r="W18" i="25"/>
  <c r="K19" i="25"/>
  <c r="R42" i="30"/>
  <c r="M42" i="30"/>
  <c r="L42" i="30" s="1"/>
  <c r="AH45" i="31"/>
  <c r="AI45" i="31" s="1"/>
  <c r="Y45" i="31" s="1"/>
  <c r="K20" i="29"/>
  <c r="R20" i="29"/>
  <c r="E26" i="16"/>
  <c r="L26" i="16" s="1"/>
  <c r="R26" i="16" s="1"/>
  <c r="E26" i="35"/>
  <c r="L26" i="35" s="1"/>
  <c r="R26" i="35" s="1"/>
  <c r="AD26" i="35" s="1"/>
  <c r="AE26" i="35" s="1"/>
  <c r="AF26" i="35" s="1"/>
  <c r="AH26" i="35" s="1"/>
  <c r="AI26" i="35" s="1"/>
  <c r="AJ32" i="31"/>
  <c r="AK32" i="31" s="1"/>
  <c r="AL32" i="31" s="1"/>
  <c r="U32" i="31" s="1"/>
  <c r="W32" i="31" s="1"/>
  <c r="J34" i="31" s="1"/>
  <c r="K34" i="31" s="1"/>
  <c r="L34" i="31" s="1"/>
  <c r="AH32" i="31"/>
  <c r="AI32" i="31" s="1"/>
  <c r="Y32" i="31" s="1"/>
  <c r="AH31" i="31"/>
  <c r="AI31" i="31" s="1"/>
  <c r="AJ31" i="31"/>
  <c r="E41" i="16"/>
  <c r="L41" i="16" s="1"/>
  <c r="R41" i="16" s="1"/>
  <c r="AD41" i="16" s="1"/>
  <c r="AE41" i="16" s="1"/>
  <c r="E41" i="35"/>
  <c r="L41" i="35" s="1"/>
  <c r="R41" i="35" s="1"/>
  <c r="AD41" i="35" s="1"/>
  <c r="AE41" i="35" s="1"/>
  <c r="AF41" i="35" s="1"/>
  <c r="AH41" i="35" s="1"/>
  <c r="AI41" i="35" s="1"/>
  <c r="K46" i="31"/>
  <c r="L46" i="31" s="1"/>
  <c r="N30" i="35"/>
  <c r="V30" i="35" s="1"/>
  <c r="AD23" i="16"/>
  <c r="AE23" i="16" s="1"/>
  <c r="N14" i="16"/>
  <c r="L55" i="16"/>
  <c r="R55" i="16" s="1"/>
  <c r="AD55" i="16" s="1"/>
  <c r="AE55" i="16" s="1"/>
  <c r="N18" i="35"/>
  <c r="V18" i="35" s="1"/>
  <c r="N12" i="35"/>
  <c r="V12" i="35" s="1"/>
  <c r="AD21" i="25"/>
  <c r="AG21" i="25" s="1"/>
  <c r="Z21" i="25"/>
  <c r="Z15" i="25" l="1"/>
  <c r="U15" i="25"/>
  <c r="W15" i="25" s="1"/>
  <c r="J16" i="25" s="1"/>
  <c r="K16" i="25" s="1"/>
  <c r="L16" i="25" s="1"/>
  <c r="AD19" i="25"/>
  <c r="AG19" i="25" s="1"/>
  <c r="Z19" i="25"/>
  <c r="AH15" i="25"/>
  <c r="AI15" i="25" s="1"/>
  <c r="Y15" i="25" s="1"/>
  <c r="E15" i="16"/>
  <c r="L15" i="16" s="1"/>
  <c r="R15" i="16" s="1"/>
  <c r="E15" i="35"/>
  <c r="L15" i="35" s="1"/>
  <c r="R15" i="35" s="1"/>
  <c r="AD15" i="35" s="1"/>
  <c r="AE15" i="35" s="1"/>
  <c r="AF15" i="35" s="1"/>
  <c r="AH15" i="35" s="1"/>
  <c r="AI15" i="35" s="1"/>
  <c r="Q50" i="30"/>
  <c r="W22" i="30"/>
  <c r="X22" i="30" s="1"/>
  <c r="Z22" i="30" s="1"/>
  <c r="Y22" i="30" s="1"/>
  <c r="AA22" i="30" s="1"/>
  <c r="AB22" i="30" s="1"/>
  <c r="P50" i="30"/>
  <c r="AU20" i="29"/>
  <c r="AV20" i="29" s="1"/>
  <c r="AV40" i="29" s="1"/>
  <c r="G22" i="29"/>
  <c r="H22" i="29" s="1"/>
  <c r="AD34" i="31"/>
  <c r="Z34" i="31"/>
  <c r="W20" i="29"/>
  <c r="X20" i="29" s="1"/>
  <c r="Z20" i="29" s="1"/>
  <c r="Y20" i="29" s="1"/>
  <c r="AA20" i="29" s="1"/>
  <c r="AB20" i="29" s="1"/>
  <c r="Q48" i="29"/>
  <c r="L48" i="29" s="1"/>
  <c r="P48" i="29"/>
  <c r="AD46" i="31"/>
  <c r="AG46" i="31" s="1"/>
  <c r="AH46" i="31" s="1"/>
  <c r="AI46" i="31" s="1"/>
  <c r="Y46" i="31" s="1"/>
  <c r="Z46" i="31"/>
  <c r="N30" i="16"/>
  <c r="V30" i="16" s="1"/>
  <c r="N15" i="35"/>
  <c r="V15" i="35" s="1"/>
  <c r="AH21" i="25"/>
  <c r="AI21" i="25" s="1"/>
  <c r="Y21" i="25" s="1"/>
  <c r="AJ21" i="25"/>
  <c r="AK21" i="25" s="1"/>
  <c r="AL21" i="25" s="1"/>
  <c r="K23" i="25"/>
  <c r="N18" i="16"/>
  <c r="V18" i="16" s="1"/>
  <c r="N12" i="16"/>
  <c r="V12" i="16" s="1"/>
  <c r="L34" i="16"/>
  <c r="R34" i="16" s="1"/>
  <c r="AD16" i="25" l="1"/>
  <c r="AG16" i="25" s="1"/>
  <c r="AJ16" i="25" s="1"/>
  <c r="AK16" i="25" s="1"/>
  <c r="AL16" i="25" s="1"/>
  <c r="Z16" i="25"/>
  <c r="U21" i="25"/>
  <c r="N26" i="35" s="1"/>
  <c r="V26" i="35" s="1"/>
  <c r="AD23" i="25"/>
  <c r="Z23" i="25"/>
  <c r="AJ19" i="25"/>
  <c r="AK19" i="25" s="1"/>
  <c r="AL19" i="25" s="1"/>
  <c r="AH19" i="25"/>
  <c r="AI19" i="25" s="1"/>
  <c r="Y19" i="25" s="1"/>
  <c r="E32" i="35"/>
  <c r="L32" i="35" s="1"/>
  <c r="R32" i="35" s="1"/>
  <c r="AD32" i="35" s="1"/>
  <c r="AE32" i="35" s="1"/>
  <c r="AF32" i="35" s="1"/>
  <c r="AH32" i="35" s="1"/>
  <c r="AI32" i="35" s="1"/>
  <c r="E13" i="16"/>
  <c r="L13" i="16" s="1"/>
  <c r="R13" i="16" s="1"/>
  <c r="E13" i="35"/>
  <c r="L13" i="35" s="1"/>
  <c r="R13" i="35" s="1"/>
  <c r="AD13" i="35" s="1"/>
  <c r="AE13" i="35" s="1"/>
  <c r="AF13" i="35" s="1"/>
  <c r="AH13" i="35" s="1"/>
  <c r="AI13" i="35" s="1"/>
  <c r="AL34" i="31"/>
  <c r="U34" i="31" s="1"/>
  <c r="W34" i="31" s="1"/>
  <c r="J48" i="31" s="1"/>
  <c r="K48" i="31" s="1"/>
  <c r="L48" i="31" s="1"/>
  <c r="AG34" i="31"/>
  <c r="N41" i="16"/>
  <c r="N41" i="35"/>
  <c r="V41" i="35" s="1"/>
  <c r="R50" i="30"/>
  <c r="M50" i="30"/>
  <c r="L50" i="30" s="1"/>
  <c r="R48" i="29"/>
  <c r="K22" i="29"/>
  <c r="R22" i="29"/>
  <c r="AW22" i="29" s="1"/>
  <c r="AX22" i="29" s="1"/>
  <c r="AX40" i="29" s="1"/>
  <c r="H23" i="29" s="1"/>
  <c r="E29" i="35"/>
  <c r="L29" i="35" s="1"/>
  <c r="R29" i="35" s="1"/>
  <c r="AD29" i="35" s="1"/>
  <c r="AE29" i="35" s="1"/>
  <c r="AF29" i="35" s="1"/>
  <c r="AH29" i="35" s="1"/>
  <c r="AI29" i="35" s="1"/>
  <c r="AJ46" i="31"/>
  <c r="AK46" i="31" s="1"/>
  <c r="AL46" i="31" s="1"/>
  <c r="U46" i="31" s="1"/>
  <c r="W46" i="31" s="1"/>
  <c r="E32" i="16"/>
  <c r="L32" i="16" s="1"/>
  <c r="R32" i="16" s="1"/>
  <c r="AD32" i="16" s="1"/>
  <c r="AE32" i="16" s="1"/>
  <c r="N15" i="16"/>
  <c r="E29" i="16"/>
  <c r="L29" i="16" s="1"/>
  <c r="R29" i="16" s="1"/>
  <c r="AD29" i="16" s="1"/>
  <c r="AE29" i="16" s="1"/>
  <c r="AF29" i="16" s="1"/>
  <c r="AH29" i="16" s="1"/>
  <c r="AI29" i="16" s="1"/>
  <c r="W21" i="25"/>
  <c r="N26" i="16"/>
  <c r="Q9" i="23"/>
  <c r="Q7" i="23"/>
  <c r="AH16" i="25" l="1"/>
  <c r="AI16" i="25" s="1"/>
  <c r="Y16" i="25" s="1"/>
  <c r="U19" i="25"/>
  <c r="W19" i="25" s="1"/>
  <c r="K20" i="25" s="1"/>
  <c r="U16" i="25"/>
  <c r="W16" i="25" s="1"/>
  <c r="AG23" i="25"/>
  <c r="Q50" i="29"/>
  <c r="W22" i="29"/>
  <c r="X22" i="29" s="1"/>
  <c r="Z22" i="29" s="1"/>
  <c r="Y22" i="29" s="1"/>
  <c r="AA22" i="29" s="1"/>
  <c r="AB22" i="29" s="1"/>
  <c r="P50" i="29"/>
  <c r="M50" i="29" s="1"/>
  <c r="L50" i="29" s="1"/>
  <c r="E27" i="16"/>
  <c r="L27" i="16" s="1"/>
  <c r="R27" i="16" s="1"/>
  <c r="E27" i="35"/>
  <c r="L27" i="35" s="1"/>
  <c r="R27" i="35" s="1"/>
  <c r="AD27" i="35" s="1"/>
  <c r="AE27" i="35" s="1"/>
  <c r="AF27" i="35" s="1"/>
  <c r="AH27" i="35" s="1"/>
  <c r="AI27" i="35" s="1"/>
  <c r="E42" i="16"/>
  <c r="E42" i="35"/>
  <c r="L42" i="35" s="1"/>
  <c r="R42" i="35" s="1"/>
  <c r="AD42" i="35" s="1"/>
  <c r="AE42" i="35" s="1"/>
  <c r="AF42" i="35" s="1"/>
  <c r="AH42" i="35" s="1"/>
  <c r="AI42" i="35" s="1"/>
  <c r="K23" i="29"/>
  <c r="R23" i="29"/>
  <c r="AH34" i="31"/>
  <c r="AI34" i="31" s="1"/>
  <c r="AJ34" i="31"/>
  <c r="AD48" i="31"/>
  <c r="AG48" i="31" s="1"/>
  <c r="Z48" i="31"/>
  <c r="N32" i="35"/>
  <c r="V32" i="35" s="1"/>
  <c r="N13" i="35"/>
  <c r="V13" i="35" s="1"/>
  <c r="AD20" i="25" l="1"/>
  <c r="AG20" i="25" s="1"/>
  <c r="E25" i="35"/>
  <c r="L25" i="35" s="1"/>
  <c r="R25" i="35" s="1"/>
  <c r="AD25" i="35" s="1"/>
  <c r="AE25" i="35" s="1"/>
  <c r="AF25" i="35" s="1"/>
  <c r="AH25" i="35" s="1"/>
  <c r="AI25" i="35" s="1"/>
  <c r="E25" i="16"/>
  <c r="L25" i="16" s="1"/>
  <c r="R25" i="16" s="1"/>
  <c r="Z20" i="25"/>
  <c r="AJ23" i="25"/>
  <c r="AK23" i="25" s="1"/>
  <c r="AL23" i="25" s="1"/>
  <c r="U23" i="25" s="1"/>
  <c r="AH23" i="25"/>
  <c r="AI23" i="25" s="1"/>
  <c r="Y23" i="25" s="1"/>
  <c r="AJ20" i="25"/>
  <c r="AK20" i="25" s="1"/>
  <c r="AL20" i="25" s="1"/>
  <c r="U20" i="25" s="1"/>
  <c r="AH20" i="25"/>
  <c r="AI20" i="25" s="1"/>
  <c r="Y20" i="25" s="1"/>
  <c r="R50" i="29"/>
  <c r="AJ48" i="31"/>
  <c r="AK48" i="31" s="1"/>
  <c r="AL48" i="31" s="1"/>
  <c r="U48" i="31" s="1"/>
  <c r="W48" i="31" s="1"/>
  <c r="J51" i="31" s="1"/>
  <c r="K51" i="31" s="1"/>
  <c r="L51" i="31" s="1"/>
  <c r="AH48" i="31"/>
  <c r="AI48" i="31" s="1"/>
  <c r="Y48" i="31" s="1"/>
  <c r="W23" i="29"/>
  <c r="X23" i="29" s="1"/>
  <c r="Z23" i="29" s="1"/>
  <c r="Y23" i="29" s="1"/>
  <c r="AA23" i="29" s="1"/>
  <c r="AB23" i="29" s="1"/>
  <c r="Q51" i="29"/>
  <c r="L51" i="29" s="1"/>
  <c r="P51" i="29"/>
  <c r="N32" i="16"/>
  <c r="N13" i="16"/>
  <c r="N27" i="35"/>
  <c r="V27" i="35" s="1"/>
  <c r="L38" i="16"/>
  <c r="R38" i="16" s="1"/>
  <c r="Y35" i="16"/>
  <c r="AA35" i="16" s="1"/>
  <c r="Y37" i="16"/>
  <c r="AA37" i="16" s="1"/>
  <c r="AD37" i="16" s="1"/>
  <c r="AE37" i="16" s="1"/>
  <c r="Y39" i="16"/>
  <c r="AA39" i="16" s="1"/>
  <c r="Y38" i="16"/>
  <c r="AA38" i="16" s="1"/>
  <c r="AN10" i="16"/>
  <c r="AL10" i="16"/>
  <c r="AM10" i="16" s="1"/>
  <c r="W23" i="25" l="1"/>
  <c r="N29" i="16"/>
  <c r="N29" i="35"/>
  <c r="V29" i="35" s="1"/>
  <c r="N25" i="35"/>
  <c r="V25" i="35" s="1"/>
  <c r="W20" i="25"/>
  <c r="N25" i="16"/>
  <c r="E46" i="35"/>
  <c r="L46" i="35" s="1"/>
  <c r="R46" i="35" s="1"/>
  <c r="AD46" i="35" s="1"/>
  <c r="AE46" i="35" s="1"/>
  <c r="AF46" i="35" s="1"/>
  <c r="AH46" i="35" s="1"/>
  <c r="AI46" i="35" s="1"/>
  <c r="R51" i="29"/>
  <c r="N42" i="16"/>
  <c r="N42" i="35"/>
  <c r="V42" i="35" s="1"/>
  <c r="Z51" i="31"/>
  <c r="AD51" i="31"/>
  <c r="AG51" i="31" s="1"/>
  <c r="E46" i="16"/>
  <c r="AD39" i="16"/>
  <c r="AE39" i="16" s="1"/>
  <c r="AD38" i="16"/>
  <c r="AE38" i="16" s="1"/>
  <c r="AD35" i="16"/>
  <c r="AE35" i="16" s="1"/>
  <c r="AF35" i="16" s="1"/>
  <c r="AH35" i="16" s="1"/>
  <c r="AI35" i="16" s="1"/>
  <c r="N27" i="16"/>
  <c r="AO10" i="16"/>
  <c r="E43" i="16" l="1"/>
  <c r="L43" i="16" s="1"/>
  <c r="R43" i="16" s="1"/>
  <c r="AD43" i="16" s="1"/>
  <c r="AE43" i="16" s="1"/>
  <c r="E43" i="35"/>
  <c r="L43" i="35" s="1"/>
  <c r="R43" i="35" s="1"/>
  <c r="AD43" i="35" s="1"/>
  <c r="AE43" i="35" s="1"/>
  <c r="AF43" i="35" s="1"/>
  <c r="AH43" i="35" s="1"/>
  <c r="AI43" i="35" s="1"/>
  <c r="AJ51" i="31"/>
  <c r="AK51" i="31" s="1"/>
  <c r="AL51" i="31" s="1"/>
  <c r="U51" i="31" s="1"/>
  <c r="W51" i="31" s="1"/>
  <c r="AH51" i="31"/>
  <c r="AI51" i="31" s="1"/>
  <c r="Y51" i="31" s="1"/>
  <c r="N46" i="35"/>
  <c r="V46" i="35" s="1"/>
  <c r="K11" i="28"/>
  <c r="K13" i="28" s="1"/>
  <c r="K16" i="28" s="1"/>
  <c r="K19" i="28" s="1"/>
  <c r="K23" i="28" s="1"/>
  <c r="K26" i="28" s="1"/>
  <c r="K29" i="28" s="1"/>
  <c r="Y27" i="16"/>
  <c r="AA27" i="16" s="1"/>
  <c r="N46" i="16" l="1"/>
  <c r="V46" i="16" s="1"/>
  <c r="AD27" i="16"/>
  <c r="AE27" i="16" s="1"/>
  <c r="L42" i="16"/>
  <c r="R42" i="16" s="1"/>
  <c r="AD42" i="16" s="1"/>
  <c r="AE42" i="16" s="1"/>
  <c r="Y26" i="16"/>
  <c r="AA26" i="16" s="1"/>
  <c r="AD26" i="16" s="1"/>
  <c r="AE26" i="16" s="1"/>
  <c r="AF26" i="16" s="1"/>
  <c r="AH26" i="16" s="1"/>
  <c r="AI26" i="16" s="1"/>
  <c r="Y34" i="16"/>
  <c r="AA34" i="16" s="1"/>
  <c r="AD34" i="16" s="1"/>
  <c r="AE34" i="16" s="1"/>
  <c r="AF34" i="16" s="1"/>
  <c r="AH34" i="16" s="1"/>
  <c r="AI34" i="16" s="1"/>
  <c r="Y22" i="16"/>
  <c r="AA22" i="16" s="1"/>
  <c r="AD22" i="16" s="1"/>
  <c r="AE22" i="16" s="1"/>
  <c r="AF22" i="16" s="1"/>
  <c r="AH22" i="16" s="1"/>
  <c r="AI22" i="16" s="1"/>
  <c r="Y25" i="16"/>
  <c r="AA25" i="16" s="1"/>
  <c r="AD25" i="16" l="1"/>
  <c r="AE25" i="16" s="1"/>
  <c r="AF25" i="16" s="1"/>
  <c r="AH25" i="16" s="1"/>
  <c r="AI25" i="16" s="1"/>
  <c r="AF23" i="16"/>
  <c r="AH23" i="16" s="1"/>
  <c r="AI23" i="16" s="1"/>
  <c r="N43" i="16"/>
  <c r="V43" i="16" s="1"/>
  <c r="N43" i="35"/>
  <c r="V43" i="35" s="1"/>
  <c r="L40" i="16"/>
  <c r="R40" i="16" s="1"/>
  <c r="AD40" i="16" s="1"/>
  <c r="AE40" i="16" s="1"/>
  <c r="Y14" i="16"/>
  <c r="E44" i="16" l="1"/>
  <c r="L44" i="16" s="1"/>
  <c r="R44" i="16" s="1"/>
  <c r="AD44" i="16" s="1"/>
  <c r="AE44" i="16" s="1"/>
  <c r="E44" i="35"/>
  <c r="L44" i="35" s="1"/>
  <c r="R44" i="35" s="1"/>
  <c r="AD44" i="35" s="1"/>
  <c r="AE44" i="35" s="1"/>
  <c r="AF44" i="35" s="1"/>
  <c r="AH44" i="35" s="1"/>
  <c r="AI44" i="35" s="1"/>
  <c r="AC14" i="16"/>
  <c r="L46" i="16" l="1"/>
  <c r="R46" i="16" s="1"/>
  <c r="AD46" i="16" s="1"/>
  <c r="AE46" i="16" s="1"/>
  <c r="Y15" i="16"/>
  <c r="N44" i="16" l="1"/>
  <c r="V44" i="16" s="1"/>
  <c r="N44" i="35"/>
  <c r="V44" i="35" s="1"/>
  <c r="AC15" i="16"/>
  <c r="V42" i="16"/>
  <c r="V15" i="16" l="1"/>
  <c r="Y16" i="16" l="1"/>
  <c r="Y17" i="16" l="1"/>
  <c r="AC16" i="16"/>
  <c r="AC17" i="16" l="1"/>
  <c r="Y13" i="16" l="1"/>
  <c r="AC13" i="16"/>
  <c r="Y12" i="16"/>
  <c r="AA12" i="16" s="1"/>
  <c r="AF30" i="16" l="1"/>
  <c r="AH30" i="16" s="1"/>
  <c r="AI30" i="16" s="1"/>
  <c r="AF60" i="16"/>
  <c r="AH60" i="16" s="1"/>
  <c r="AI60" i="16" s="1"/>
  <c r="AF56" i="16"/>
  <c r="AH56" i="16" s="1"/>
  <c r="AI56" i="16" s="1"/>
  <c r="AF50" i="16"/>
  <c r="AH50" i="16" s="1"/>
  <c r="AI50" i="16" s="1"/>
  <c r="AF57" i="16"/>
  <c r="AH57" i="16" s="1"/>
  <c r="AI57" i="16" s="1"/>
  <c r="AF52" i="16"/>
  <c r="AH52" i="16" s="1"/>
  <c r="AI52" i="16" s="1"/>
  <c r="AF58" i="16"/>
  <c r="AH58" i="16" s="1"/>
  <c r="AI58" i="16" s="1"/>
  <c r="AF53" i="16"/>
  <c r="AH53" i="16" s="1"/>
  <c r="AI53" i="16" s="1"/>
  <c r="AF48" i="16"/>
  <c r="AH48" i="16" s="1"/>
  <c r="AI48" i="16" s="1"/>
  <c r="AF54" i="16"/>
  <c r="AH54" i="16" s="1"/>
  <c r="AI54" i="16" s="1"/>
  <c r="AF55" i="16"/>
  <c r="AH55" i="16" s="1"/>
  <c r="AI55" i="16" s="1"/>
  <c r="AF41" i="16"/>
  <c r="AH41" i="16" s="1"/>
  <c r="AI41" i="16" s="1"/>
  <c r="AF37" i="16"/>
  <c r="AH37" i="16" s="1"/>
  <c r="AI37" i="16" s="1"/>
  <c r="AF38" i="16"/>
  <c r="AH38" i="16" s="1"/>
  <c r="AI38" i="16" s="1"/>
  <c r="AF39" i="16"/>
  <c r="AH39" i="16" s="1"/>
  <c r="AI39" i="16" s="1"/>
  <c r="AF43" i="16"/>
  <c r="AH43" i="16" s="1"/>
  <c r="AI43" i="16" s="1"/>
  <c r="AF42" i="16"/>
  <c r="AH42" i="16" s="1"/>
  <c r="AI42" i="16" s="1"/>
  <c r="AF40" i="16"/>
  <c r="AH40" i="16" s="1"/>
  <c r="AI40" i="16" s="1"/>
  <c r="AF44" i="16"/>
  <c r="AH44" i="16" s="1"/>
  <c r="AI44" i="16" s="1"/>
  <c r="AF46" i="16"/>
  <c r="AH46" i="16" s="1"/>
  <c r="AI46" i="16" s="1"/>
  <c r="AF27" i="16"/>
  <c r="AH27" i="16" s="1"/>
  <c r="AI27" i="16" s="1"/>
  <c r="AF31" i="16"/>
  <c r="AH31" i="16" s="1"/>
  <c r="AI31" i="16" s="1"/>
  <c r="AF32" i="16"/>
  <c r="AH32" i="16" s="1"/>
  <c r="AI32" i="16" s="1"/>
  <c r="AD12" i="16"/>
  <c r="AE12" i="16" s="1"/>
  <c r="AF18" i="16"/>
  <c r="AH18" i="16" s="1"/>
  <c r="AI18" i="16" s="1"/>
  <c r="S13" i="16"/>
  <c r="V17" i="16" l="1"/>
  <c r="V16" i="16" l="1"/>
  <c r="V39" i="16" l="1"/>
  <c r="V38" i="16" l="1"/>
  <c r="D12" i="14" l="1"/>
  <c r="D10" i="14"/>
  <c r="D9" i="14"/>
  <c r="D8" i="14"/>
  <c r="D7" i="14"/>
  <c r="D6" i="14"/>
  <c r="D5" i="14"/>
  <c r="D4" i="14"/>
  <c r="D3" i="14"/>
  <c r="D2" i="14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BN30" i="12"/>
  <c r="BO30" i="12" s="1"/>
  <c r="BL30" i="12"/>
  <c r="BM30" i="12" s="1"/>
  <c r="BJ30" i="12"/>
  <c r="BK30" i="12" s="1"/>
  <c r="BH30" i="12"/>
  <c r="BI30" i="12" s="1"/>
  <c r="BF30" i="12"/>
  <c r="BG30" i="12" s="1"/>
  <c r="BD30" i="12"/>
  <c r="BE30" i="12" s="1"/>
  <c r="BB30" i="12"/>
  <c r="BC30" i="12" s="1"/>
  <c r="AZ30" i="12"/>
  <c r="BA30" i="12" s="1"/>
  <c r="AX30" i="12"/>
  <c r="AY30" i="12" s="1"/>
  <c r="AV30" i="12"/>
  <c r="AW30" i="12" s="1"/>
  <c r="AT30" i="12"/>
  <c r="AU30" i="12" s="1"/>
  <c r="AR30" i="12"/>
  <c r="AS30" i="12" s="1"/>
  <c r="AP30" i="12"/>
  <c r="AQ30" i="12" s="1"/>
  <c r="AN30" i="12"/>
  <c r="AO30" i="12" s="1"/>
  <c r="AL30" i="12"/>
  <c r="AM30" i="12" s="1"/>
  <c r="AJ30" i="12"/>
  <c r="AK30" i="12" s="1"/>
  <c r="AH30" i="12"/>
  <c r="AI30" i="12" s="1"/>
  <c r="AF30" i="12"/>
  <c r="AG30" i="12" s="1"/>
  <c r="AD30" i="12"/>
  <c r="AE30" i="12" s="1"/>
  <c r="AB30" i="12"/>
  <c r="AC30" i="12" s="1"/>
  <c r="S30" i="12"/>
  <c r="O30" i="12"/>
  <c r="N30" i="12"/>
  <c r="M30" i="12"/>
  <c r="R30" i="12" s="1"/>
  <c r="J30" i="12"/>
  <c r="N53" i="12" s="1"/>
  <c r="K53" i="12" s="1"/>
  <c r="G30" i="12"/>
  <c r="F30" i="12"/>
  <c r="E30" i="12"/>
  <c r="BN29" i="12"/>
  <c r="BO29" i="12" s="1"/>
  <c r="BL29" i="12"/>
  <c r="BM29" i="12" s="1"/>
  <c r="BJ29" i="12"/>
  <c r="BK29" i="12" s="1"/>
  <c r="BH29" i="12"/>
  <c r="BI29" i="12" s="1"/>
  <c r="BF29" i="12"/>
  <c r="BG29" i="12" s="1"/>
  <c r="BD29" i="12"/>
  <c r="BE29" i="12" s="1"/>
  <c r="BB29" i="12"/>
  <c r="BC29" i="12" s="1"/>
  <c r="AZ29" i="12"/>
  <c r="BA29" i="12" s="1"/>
  <c r="AX29" i="12"/>
  <c r="AY29" i="12" s="1"/>
  <c r="AV29" i="12"/>
  <c r="AW29" i="12" s="1"/>
  <c r="AT29" i="12"/>
  <c r="AU29" i="12" s="1"/>
  <c r="AR29" i="12"/>
  <c r="AS29" i="12" s="1"/>
  <c r="AP29" i="12"/>
  <c r="AQ29" i="12" s="1"/>
  <c r="AN29" i="12"/>
  <c r="AO29" i="12" s="1"/>
  <c r="AL29" i="12"/>
  <c r="AM29" i="12" s="1"/>
  <c r="AJ29" i="12"/>
  <c r="AK29" i="12" s="1"/>
  <c r="AH29" i="12"/>
  <c r="AI29" i="12" s="1"/>
  <c r="AF29" i="12"/>
  <c r="AG29" i="12" s="1"/>
  <c r="AD29" i="12"/>
  <c r="AE29" i="12" s="1"/>
  <c r="AB29" i="12"/>
  <c r="AC29" i="12" s="1"/>
  <c r="S29" i="12"/>
  <c r="O29" i="12"/>
  <c r="N29" i="12"/>
  <c r="M29" i="12"/>
  <c r="R29" i="12" s="1"/>
  <c r="J29" i="12"/>
  <c r="G29" i="12"/>
  <c r="F29" i="12"/>
  <c r="E29" i="12"/>
  <c r="BN28" i="12"/>
  <c r="BO28" i="12" s="1"/>
  <c r="BL28" i="12"/>
  <c r="BM28" i="12" s="1"/>
  <c r="BJ28" i="12"/>
  <c r="BK28" i="12" s="1"/>
  <c r="BH28" i="12"/>
  <c r="BI28" i="12" s="1"/>
  <c r="BF28" i="12"/>
  <c r="BG28" i="12" s="1"/>
  <c r="BD28" i="12"/>
  <c r="BE28" i="12" s="1"/>
  <c r="BB28" i="12"/>
  <c r="BC28" i="12" s="1"/>
  <c r="AZ28" i="12"/>
  <c r="BA28" i="12" s="1"/>
  <c r="AX28" i="12"/>
  <c r="AY28" i="12" s="1"/>
  <c r="AV28" i="12"/>
  <c r="AW28" i="12" s="1"/>
  <c r="AT28" i="12"/>
  <c r="AU28" i="12" s="1"/>
  <c r="AR28" i="12"/>
  <c r="AS28" i="12" s="1"/>
  <c r="AP28" i="12"/>
  <c r="AQ28" i="12" s="1"/>
  <c r="AN28" i="12"/>
  <c r="AO28" i="12" s="1"/>
  <c r="AL28" i="12"/>
  <c r="AM28" i="12" s="1"/>
  <c r="AJ28" i="12"/>
  <c r="AK28" i="12" s="1"/>
  <c r="AH28" i="12"/>
  <c r="AI28" i="12" s="1"/>
  <c r="AF28" i="12"/>
  <c r="AG28" i="12" s="1"/>
  <c r="AD28" i="12"/>
  <c r="AE28" i="12" s="1"/>
  <c r="AB28" i="12"/>
  <c r="AC28" i="12" s="1"/>
  <c r="S28" i="12"/>
  <c r="O28" i="12"/>
  <c r="N28" i="12"/>
  <c r="M28" i="12"/>
  <c r="R28" i="12" s="1"/>
  <c r="J28" i="12"/>
  <c r="M51" i="12" s="1"/>
  <c r="G28" i="12"/>
  <c r="F28" i="12"/>
  <c r="E28" i="12"/>
  <c r="BN27" i="12"/>
  <c r="BO27" i="12" s="1"/>
  <c r="BL27" i="12"/>
  <c r="BM27" i="12" s="1"/>
  <c r="BJ27" i="12"/>
  <c r="BK27" i="12" s="1"/>
  <c r="BH27" i="12"/>
  <c r="BI27" i="12" s="1"/>
  <c r="BF27" i="12"/>
  <c r="BG27" i="12" s="1"/>
  <c r="BD27" i="12"/>
  <c r="BE27" i="12" s="1"/>
  <c r="BB27" i="12"/>
  <c r="BC27" i="12" s="1"/>
  <c r="AZ27" i="12"/>
  <c r="BA27" i="12" s="1"/>
  <c r="AX27" i="12"/>
  <c r="AY27" i="12" s="1"/>
  <c r="AV27" i="12"/>
  <c r="AW27" i="12" s="1"/>
  <c r="AT27" i="12"/>
  <c r="AU27" i="12" s="1"/>
  <c r="AR27" i="12"/>
  <c r="AS27" i="12" s="1"/>
  <c r="AP27" i="12"/>
  <c r="AQ27" i="12" s="1"/>
  <c r="AN27" i="12"/>
  <c r="AO27" i="12" s="1"/>
  <c r="AL27" i="12"/>
  <c r="AM27" i="12" s="1"/>
  <c r="AJ27" i="12"/>
  <c r="AK27" i="12" s="1"/>
  <c r="AH27" i="12"/>
  <c r="AI27" i="12" s="1"/>
  <c r="AF27" i="12"/>
  <c r="AG27" i="12" s="1"/>
  <c r="AD27" i="12"/>
  <c r="AE27" i="12" s="1"/>
  <c r="AB27" i="12"/>
  <c r="AC27" i="12" s="1"/>
  <c r="S27" i="12"/>
  <c r="O27" i="12"/>
  <c r="N27" i="12"/>
  <c r="M27" i="12"/>
  <c r="R27" i="12" s="1"/>
  <c r="J27" i="12"/>
  <c r="G27" i="12"/>
  <c r="F27" i="12"/>
  <c r="E27" i="12"/>
  <c r="BN26" i="12"/>
  <c r="BO26" i="12" s="1"/>
  <c r="BL26" i="12"/>
  <c r="BM26" i="12" s="1"/>
  <c r="BJ26" i="12"/>
  <c r="BK26" i="12" s="1"/>
  <c r="BH26" i="12"/>
  <c r="BI26" i="12" s="1"/>
  <c r="BF26" i="12"/>
  <c r="BG26" i="12" s="1"/>
  <c r="BD26" i="12"/>
  <c r="BE26" i="12" s="1"/>
  <c r="BB26" i="12"/>
  <c r="BC26" i="12" s="1"/>
  <c r="AZ26" i="12"/>
  <c r="BA26" i="12" s="1"/>
  <c r="AX26" i="12"/>
  <c r="AY26" i="12" s="1"/>
  <c r="AV26" i="12"/>
  <c r="AW26" i="12" s="1"/>
  <c r="AT26" i="12"/>
  <c r="AU26" i="12" s="1"/>
  <c r="AR26" i="12"/>
  <c r="AS26" i="12" s="1"/>
  <c r="AP26" i="12"/>
  <c r="AQ26" i="12" s="1"/>
  <c r="AN26" i="12"/>
  <c r="AO26" i="12" s="1"/>
  <c r="AL26" i="12"/>
  <c r="AM26" i="12" s="1"/>
  <c r="AJ26" i="12"/>
  <c r="AK26" i="12" s="1"/>
  <c r="AH26" i="12"/>
  <c r="AI26" i="12" s="1"/>
  <c r="AF26" i="12"/>
  <c r="AG26" i="12" s="1"/>
  <c r="AD26" i="12"/>
  <c r="AE26" i="12" s="1"/>
  <c r="AB26" i="12"/>
  <c r="AC26" i="12" s="1"/>
  <c r="S26" i="12"/>
  <c r="O26" i="12"/>
  <c r="N26" i="12"/>
  <c r="M26" i="12"/>
  <c r="R26" i="12" s="1"/>
  <c r="J26" i="12"/>
  <c r="N49" i="12" s="1"/>
  <c r="G26" i="12"/>
  <c r="F26" i="12"/>
  <c r="E26" i="12"/>
  <c r="BN25" i="12"/>
  <c r="BO25" i="12" s="1"/>
  <c r="BL25" i="12"/>
  <c r="BM25" i="12" s="1"/>
  <c r="BJ25" i="12"/>
  <c r="BK25" i="12" s="1"/>
  <c r="BH25" i="12"/>
  <c r="BI25" i="12" s="1"/>
  <c r="BF25" i="12"/>
  <c r="BG25" i="12" s="1"/>
  <c r="BD25" i="12"/>
  <c r="BE25" i="12" s="1"/>
  <c r="BB25" i="12"/>
  <c r="BC25" i="12" s="1"/>
  <c r="AZ25" i="12"/>
  <c r="BA25" i="12" s="1"/>
  <c r="AX25" i="12"/>
  <c r="AY25" i="12" s="1"/>
  <c r="AV25" i="12"/>
  <c r="AW25" i="12" s="1"/>
  <c r="AT25" i="12"/>
  <c r="AU25" i="12" s="1"/>
  <c r="AR25" i="12"/>
  <c r="AS25" i="12" s="1"/>
  <c r="AP25" i="12"/>
  <c r="AQ25" i="12" s="1"/>
  <c r="AN25" i="12"/>
  <c r="AO25" i="12" s="1"/>
  <c r="AL25" i="12"/>
  <c r="AM25" i="12" s="1"/>
  <c r="AJ25" i="12"/>
  <c r="AK25" i="12" s="1"/>
  <c r="AH25" i="12"/>
  <c r="AI25" i="12" s="1"/>
  <c r="AF25" i="12"/>
  <c r="AG25" i="12" s="1"/>
  <c r="AD25" i="12"/>
  <c r="AE25" i="12" s="1"/>
  <c r="AB25" i="12"/>
  <c r="AC25" i="12" s="1"/>
  <c r="S25" i="12"/>
  <c r="O25" i="12"/>
  <c r="N25" i="12"/>
  <c r="M25" i="12"/>
  <c r="R25" i="12" s="1"/>
  <c r="J25" i="12"/>
  <c r="M48" i="12" s="1"/>
  <c r="G25" i="12"/>
  <c r="F25" i="12"/>
  <c r="E25" i="12"/>
  <c r="BN24" i="12"/>
  <c r="BO24" i="12" s="1"/>
  <c r="BL24" i="12"/>
  <c r="BM24" i="12" s="1"/>
  <c r="BJ24" i="12"/>
  <c r="BK24" i="12" s="1"/>
  <c r="BH24" i="12"/>
  <c r="BI24" i="12" s="1"/>
  <c r="BF24" i="12"/>
  <c r="BG24" i="12" s="1"/>
  <c r="BD24" i="12"/>
  <c r="BE24" i="12" s="1"/>
  <c r="BB24" i="12"/>
  <c r="BC24" i="12" s="1"/>
  <c r="AZ24" i="12"/>
  <c r="BA24" i="12" s="1"/>
  <c r="AX24" i="12"/>
  <c r="AY24" i="12" s="1"/>
  <c r="AV24" i="12"/>
  <c r="AW24" i="12" s="1"/>
  <c r="AT24" i="12"/>
  <c r="AU24" i="12" s="1"/>
  <c r="AR24" i="12"/>
  <c r="AS24" i="12" s="1"/>
  <c r="AP24" i="12"/>
  <c r="AQ24" i="12" s="1"/>
  <c r="AN24" i="12"/>
  <c r="AO24" i="12" s="1"/>
  <c r="AL24" i="12"/>
  <c r="AM24" i="12" s="1"/>
  <c r="AJ24" i="12"/>
  <c r="AK24" i="12" s="1"/>
  <c r="AH24" i="12"/>
  <c r="AI24" i="12" s="1"/>
  <c r="AF24" i="12"/>
  <c r="AG24" i="12" s="1"/>
  <c r="AD24" i="12"/>
  <c r="AE24" i="12" s="1"/>
  <c r="AB24" i="12"/>
  <c r="AC24" i="12" s="1"/>
  <c r="S24" i="12"/>
  <c r="O24" i="12"/>
  <c r="N24" i="12"/>
  <c r="M24" i="12"/>
  <c r="R24" i="12" s="1"/>
  <c r="J24" i="12"/>
  <c r="N47" i="12" s="1"/>
  <c r="G24" i="12"/>
  <c r="F24" i="12"/>
  <c r="E24" i="12"/>
  <c r="BN23" i="12"/>
  <c r="BO23" i="12" s="1"/>
  <c r="BL23" i="12"/>
  <c r="BM23" i="12" s="1"/>
  <c r="BJ23" i="12"/>
  <c r="BK23" i="12" s="1"/>
  <c r="BH23" i="12"/>
  <c r="BI23" i="12" s="1"/>
  <c r="BF23" i="12"/>
  <c r="BG23" i="12" s="1"/>
  <c r="BD23" i="12"/>
  <c r="BE23" i="12" s="1"/>
  <c r="BB23" i="12"/>
  <c r="BC23" i="12" s="1"/>
  <c r="AZ23" i="12"/>
  <c r="BA23" i="12" s="1"/>
  <c r="AX23" i="12"/>
  <c r="AY23" i="12" s="1"/>
  <c r="AV23" i="12"/>
  <c r="AW23" i="12" s="1"/>
  <c r="AT23" i="12"/>
  <c r="AU23" i="12" s="1"/>
  <c r="AR23" i="12"/>
  <c r="AS23" i="12" s="1"/>
  <c r="AP23" i="12"/>
  <c r="AQ23" i="12" s="1"/>
  <c r="AN23" i="12"/>
  <c r="AO23" i="12" s="1"/>
  <c r="AL23" i="12"/>
  <c r="AM23" i="12" s="1"/>
  <c r="AJ23" i="12"/>
  <c r="AK23" i="12" s="1"/>
  <c r="AH23" i="12"/>
  <c r="AI23" i="12" s="1"/>
  <c r="AF23" i="12"/>
  <c r="AG23" i="12" s="1"/>
  <c r="AD23" i="12"/>
  <c r="AE23" i="12" s="1"/>
  <c r="AB23" i="12"/>
  <c r="AC23" i="12" s="1"/>
  <c r="S23" i="12"/>
  <c r="O23" i="12"/>
  <c r="N23" i="12"/>
  <c r="M23" i="12"/>
  <c r="R23" i="12" s="1"/>
  <c r="J23" i="12"/>
  <c r="M46" i="12" s="1"/>
  <c r="G23" i="12"/>
  <c r="F23" i="12"/>
  <c r="E23" i="12"/>
  <c r="BN22" i="12"/>
  <c r="BO22" i="12" s="1"/>
  <c r="BL22" i="12"/>
  <c r="BM22" i="12" s="1"/>
  <c r="BJ22" i="12"/>
  <c r="BK22" i="12" s="1"/>
  <c r="BH22" i="12"/>
  <c r="BI22" i="12" s="1"/>
  <c r="BF22" i="12"/>
  <c r="BG22" i="12" s="1"/>
  <c r="BD22" i="12"/>
  <c r="BE22" i="12" s="1"/>
  <c r="BB22" i="12"/>
  <c r="BC22" i="12" s="1"/>
  <c r="AZ22" i="12"/>
  <c r="BA22" i="12" s="1"/>
  <c r="AX22" i="12"/>
  <c r="AY22" i="12" s="1"/>
  <c r="AV22" i="12"/>
  <c r="AW22" i="12" s="1"/>
  <c r="AT22" i="12"/>
  <c r="AU22" i="12" s="1"/>
  <c r="AR22" i="12"/>
  <c r="AS22" i="12" s="1"/>
  <c r="AP22" i="12"/>
  <c r="AQ22" i="12" s="1"/>
  <c r="AN22" i="12"/>
  <c r="AO22" i="12" s="1"/>
  <c r="AL22" i="12"/>
  <c r="AM22" i="12" s="1"/>
  <c r="AJ22" i="12"/>
  <c r="AK22" i="12" s="1"/>
  <c r="AH22" i="12"/>
  <c r="AI22" i="12" s="1"/>
  <c r="AF22" i="12"/>
  <c r="AG22" i="12" s="1"/>
  <c r="AD22" i="12"/>
  <c r="AE22" i="12" s="1"/>
  <c r="AB22" i="12"/>
  <c r="AC22" i="12" s="1"/>
  <c r="S22" i="12"/>
  <c r="O22" i="12"/>
  <c r="N22" i="12"/>
  <c r="M22" i="12"/>
  <c r="J22" i="12"/>
  <c r="M45" i="12" s="1"/>
  <c r="G22" i="12"/>
  <c r="F22" i="12"/>
  <c r="E22" i="12"/>
  <c r="BN21" i="12"/>
  <c r="BO21" i="12" s="1"/>
  <c r="BL21" i="12"/>
  <c r="BM21" i="12" s="1"/>
  <c r="BJ21" i="12"/>
  <c r="BK21" i="12" s="1"/>
  <c r="BH21" i="12"/>
  <c r="BI21" i="12" s="1"/>
  <c r="BF21" i="12"/>
  <c r="BG21" i="12" s="1"/>
  <c r="BD21" i="12"/>
  <c r="BE21" i="12" s="1"/>
  <c r="BB21" i="12"/>
  <c r="BC21" i="12" s="1"/>
  <c r="AZ21" i="12"/>
  <c r="BA21" i="12" s="1"/>
  <c r="AX21" i="12"/>
  <c r="AY21" i="12" s="1"/>
  <c r="AV21" i="12"/>
  <c r="AW21" i="12" s="1"/>
  <c r="AT21" i="12"/>
  <c r="AU21" i="12" s="1"/>
  <c r="AR21" i="12"/>
  <c r="AS21" i="12" s="1"/>
  <c r="AP21" i="12"/>
  <c r="AQ21" i="12" s="1"/>
  <c r="AN21" i="12"/>
  <c r="AO21" i="12" s="1"/>
  <c r="AL21" i="12"/>
  <c r="AM21" i="12" s="1"/>
  <c r="AJ21" i="12"/>
  <c r="AK21" i="12" s="1"/>
  <c r="AH21" i="12"/>
  <c r="AI21" i="12" s="1"/>
  <c r="AF21" i="12"/>
  <c r="AG21" i="12" s="1"/>
  <c r="AD21" i="12"/>
  <c r="AE21" i="12" s="1"/>
  <c r="AB21" i="12"/>
  <c r="AC21" i="12" s="1"/>
  <c r="S21" i="12"/>
  <c r="O21" i="12"/>
  <c r="N21" i="12"/>
  <c r="M21" i="12"/>
  <c r="R21" i="12" s="1"/>
  <c r="J21" i="12"/>
  <c r="N44" i="12" s="1"/>
  <c r="G21" i="12"/>
  <c r="F21" i="12"/>
  <c r="E21" i="12"/>
  <c r="BN20" i="12"/>
  <c r="BO20" i="12" s="1"/>
  <c r="BL20" i="12"/>
  <c r="BM20" i="12" s="1"/>
  <c r="BJ20" i="12"/>
  <c r="BK20" i="12" s="1"/>
  <c r="BH20" i="12"/>
  <c r="BI20" i="12" s="1"/>
  <c r="BF20" i="12"/>
  <c r="BG20" i="12" s="1"/>
  <c r="BD20" i="12"/>
  <c r="BE20" i="12" s="1"/>
  <c r="BB20" i="12"/>
  <c r="BC20" i="12" s="1"/>
  <c r="AZ20" i="12"/>
  <c r="BA20" i="12" s="1"/>
  <c r="AX20" i="12"/>
  <c r="AY20" i="12" s="1"/>
  <c r="AV20" i="12"/>
  <c r="AW20" i="12" s="1"/>
  <c r="AT20" i="12"/>
  <c r="AU20" i="12" s="1"/>
  <c r="AR20" i="12"/>
  <c r="AS20" i="12" s="1"/>
  <c r="AP20" i="12"/>
  <c r="AQ20" i="12" s="1"/>
  <c r="AN20" i="12"/>
  <c r="AO20" i="12" s="1"/>
  <c r="AL20" i="12"/>
  <c r="AM20" i="12" s="1"/>
  <c r="AJ20" i="12"/>
  <c r="AK20" i="12" s="1"/>
  <c r="AH20" i="12"/>
  <c r="AI20" i="12" s="1"/>
  <c r="AF20" i="12"/>
  <c r="AG20" i="12" s="1"/>
  <c r="AD20" i="12"/>
  <c r="AE20" i="12" s="1"/>
  <c r="AB20" i="12"/>
  <c r="AC20" i="12" s="1"/>
  <c r="S20" i="12"/>
  <c r="O20" i="12"/>
  <c r="N20" i="12"/>
  <c r="M20" i="12"/>
  <c r="R20" i="12" s="1"/>
  <c r="J20" i="12"/>
  <c r="N43" i="12" s="1"/>
  <c r="K43" i="12" s="1"/>
  <c r="G20" i="12"/>
  <c r="F20" i="12"/>
  <c r="E20" i="12"/>
  <c r="BN19" i="12"/>
  <c r="BO19" i="12" s="1"/>
  <c r="BL19" i="12"/>
  <c r="BM19" i="12" s="1"/>
  <c r="BJ19" i="12"/>
  <c r="BK19" i="12" s="1"/>
  <c r="BH19" i="12"/>
  <c r="BI19" i="12" s="1"/>
  <c r="BF19" i="12"/>
  <c r="BG19" i="12" s="1"/>
  <c r="BD19" i="12"/>
  <c r="BE19" i="12" s="1"/>
  <c r="BB19" i="12"/>
  <c r="BC19" i="12" s="1"/>
  <c r="AZ19" i="12"/>
  <c r="BA19" i="12" s="1"/>
  <c r="AX19" i="12"/>
  <c r="AY19" i="12" s="1"/>
  <c r="AV19" i="12"/>
  <c r="AW19" i="12" s="1"/>
  <c r="AT19" i="12"/>
  <c r="AU19" i="12" s="1"/>
  <c r="AR19" i="12"/>
  <c r="AS19" i="12" s="1"/>
  <c r="AP19" i="12"/>
  <c r="AQ19" i="12" s="1"/>
  <c r="AN19" i="12"/>
  <c r="AO19" i="12" s="1"/>
  <c r="AL19" i="12"/>
  <c r="AM19" i="12" s="1"/>
  <c r="AJ19" i="12"/>
  <c r="AK19" i="12" s="1"/>
  <c r="AH19" i="12"/>
  <c r="AI19" i="12" s="1"/>
  <c r="AF19" i="12"/>
  <c r="AG19" i="12" s="1"/>
  <c r="AD19" i="12"/>
  <c r="AE19" i="12" s="1"/>
  <c r="AB19" i="12"/>
  <c r="AC19" i="12" s="1"/>
  <c r="S19" i="12"/>
  <c r="O19" i="12"/>
  <c r="N19" i="12"/>
  <c r="M19" i="12"/>
  <c r="J19" i="12"/>
  <c r="M42" i="12" s="1"/>
  <c r="G19" i="12"/>
  <c r="F19" i="12"/>
  <c r="E19" i="12"/>
  <c r="BN18" i="12"/>
  <c r="BO18" i="12" s="1"/>
  <c r="BL18" i="12"/>
  <c r="BM18" i="12" s="1"/>
  <c r="BJ18" i="12"/>
  <c r="BK18" i="12" s="1"/>
  <c r="BH18" i="12"/>
  <c r="BI18" i="12" s="1"/>
  <c r="BF18" i="12"/>
  <c r="BG18" i="12" s="1"/>
  <c r="BD18" i="12"/>
  <c r="BE18" i="12" s="1"/>
  <c r="BB18" i="12"/>
  <c r="BC18" i="12" s="1"/>
  <c r="AZ18" i="12"/>
  <c r="BA18" i="12" s="1"/>
  <c r="AX18" i="12"/>
  <c r="AY18" i="12" s="1"/>
  <c r="AV18" i="12"/>
  <c r="AW18" i="12" s="1"/>
  <c r="AT18" i="12"/>
  <c r="AU18" i="12" s="1"/>
  <c r="AR18" i="12"/>
  <c r="AS18" i="12" s="1"/>
  <c r="AP18" i="12"/>
  <c r="AQ18" i="12" s="1"/>
  <c r="AN18" i="12"/>
  <c r="AO18" i="12" s="1"/>
  <c r="AL18" i="12"/>
  <c r="AM18" i="12" s="1"/>
  <c r="AJ18" i="12"/>
  <c r="AK18" i="12" s="1"/>
  <c r="AH18" i="12"/>
  <c r="AI18" i="12" s="1"/>
  <c r="AF18" i="12"/>
  <c r="AG18" i="12" s="1"/>
  <c r="AD18" i="12"/>
  <c r="AE18" i="12" s="1"/>
  <c r="AB18" i="12"/>
  <c r="AC18" i="12" s="1"/>
  <c r="S18" i="12"/>
  <c r="O18" i="12"/>
  <c r="N18" i="12"/>
  <c r="M18" i="12"/>
  <c r="R18" i="12" s="1"/>
  <c r="J18" i="12"/>
  <c r="M41" i="12" s="1"/>
  <c r="G18" i="12"/>
  <c r="F18" i="12"/>
  <c r="E18" i="12"/>
  <c r="BN17" i="12"/>
  <c r="BO17" i="12" s="1"/>
  <c r="BL17" i="12"/>
  <c r="BM17" i="12" s="1"/>
  <c r="BJ17" i="12"/>
  <c r="BK17" i="12" s="1"/>
  <c r="BH17" i="12"/>
  <c r="BI17" i="12" s="1"/>
  <c r="BF17" i="12"/>
  <c r="BG17" i="12" s="1"/>
  <c r="BD17" i="12"/>
  <c r="BE17" i="12" s="1"/>
  <c r="BB17" i="12"/>
  <c r="BC17" i="12" s="1"/>
  <c r="AZ17" i="12"/>
  <c r="BA17" i="12" s="1"/>
  <c r="AX17" i="12"/>
  <c r="AY17" i="12" s="1"/>
  <c r="AV17" i="12"/>
  <c r="AW17" i="12" s="1"/>
  <c r="AT17" i="12"/>
  <c r="AU17" i="12" s="1"/>
  <c r="AR17" i="12"/>
  <c r="AS17" i="12" s="1"/>
  <c r="AP17" i="12"/>
  <c r="AQ17" i="12" s="1"/>
  <c r="AN17" i="12"/>
  <c r="AO17" i="12" s="1"/>
  <c r="AL17" i="12"/>
  <c r="AM17" i="12" s="1"/>
  <c r="AJ17" i="12"/>
  <c r="AK17" i="12" s="1"/>
  <c r="AH17" i="12"/>
  <c r="AI17" i="12" s="1"/>
  <c r="AF17" i="12"/>
  <c r="AG17" i="12" s="1"/>
  <c r="AD17" i="12"/>
  <c r="AE17" i="12" s="1"/>
  <c r="AB17" i="12"/>
  <c r="AC17" i="12" s="1"/>
  <c r="S17" i="12"/>
  <c r="O17" i="12"/>
  <c r="N17" i="12"/>
  <c r="M17" i="12"/>
  <c r="R17" i="12" s="1"/>
  <c r="J17" i="12"/>
  <c r="M40" i="12" s="1"/>
  <c r="G17" i="12"/>
  <c r="F17" i="12"/>
  <c r="E17" i="12"/>
  <c r="BN16" i="12"/>
  <c r="BO16" i="12" s="1"/>
  <c r="BL16" i="12"/>
  <c r="BM16" i="12" s="1"/>
  <c r="BJ16" i="12"/>
  <c r="BK16" i="12" s="1"/>
  <c r="BH16" i="12"/>
  <c r="BI16" i="12" s="1"/>
  <c r="BF16" i="12"/>
  <c r="BG16" i="12" s="1"/>
  <c r="BD16" i="12"/>
  <c r="BE16" i="12" s="1"/>
  <c r="BB16" i="12"/>
  <c r="BC16" i="12" s="1"/>
  <c r="AZ16" i="12"/>
  <c r="BA16" i="12" s="1"/>
  <c r="AX16" i="12"/>
  <c r="AY16" i="12" s="1"/>
  <c r="AV16" i="12"/>
  <c r="AW16" i="12" s="1"/>
  <c r="AT16" i="12"/>
  <c r="AU16" i="12" s="1"/>
  <c r="AR16" i="12"/>
  <c r="AS16" i="12" s="1"/>
  <c r="AP16" i="12"/>
  <c r="AQ16" i="12" s="1"/>
  <c r="AN16" i="12"/>
  <c r="AO16" i="12" s="1"/>
  <c r="AL16" i="12"/>
  <c r="AM16" i="12" s="1"/>
  <c r="AJ16" i="12"/>
  <c r="AK16" i="12" s="1"/>
  <c r="AH16" i="12"/>
  <c r="AI16" i="12" s="1"/>
  <c r="AF16" i="12"/>
  <c r="AG16" i="12" s="1"/>
  <c r="AD16" i="12"/>
  <c r="AE16" i="12" s="1"/>
  <c r="AB16" i="12"/>
  <c r="AC16" i="12" s="1"/>
  <c r="S16" i="12"/>
  <c r="O16" i="12"/>
  <c r="N16" i="12"/>
  <c r="M16" i="12"/>
  <c r="R16" i="12" s="1"/>
  <c r="J16" i="12"/>
  <c r="N39" i="12" s="1"/>
  <c r="K39" i="12" s="1"/>
  <c r="G16" i="12"/>
  <c r="F16" i="12"/>
  <c r="E16" i="12"/>
  <c r="BN15" i="12"/>
  <c r="BO15" i="12" s="1"/>
  <c r="BL15" i="12"/>
  <c r="BM15" i="12" s="1"/>
  <c r="BJ15" i="12"/>
  <c r="BK15" i="12" s="1"/>
  <c r="BH15" i="12"/>
  <c r="BI15" i="12" s="1"/>
  <c r="BF15" i="12"/>
  <c r="BG15" i="12" s="1"/>
  <c r="BD15" i="12"/>
  <c r="BE15" i="12" s="1"/>
  <c r="BB15" i="12"/>
  <c r="BC15" i="12" s="1"/>
  <c r="AZ15" i="12"/>
  <c r="BA15" i="12" s="1"/>
  <c r="AX15" i="12"/>
  <c r="AY15" i="12" s="1"/>
  <c r="AV15" i="12"/>
  <c r="AW15" i="12" s="1"/>
  <c r="AT15" i="12"/>
  <c r="AU15" i="12" s="1"/>
  <c r="AR15" i="12"/>
  <c r="AS15" i="12" s="1"/>
  <c r="AP15" i="12"/>
  <c r="AQ15" i="12" s="1"/>
  <c r="AN15" i="12"/>
  <c r="AO15" i="12" s="1"/>
  <c r="AL15" i="12"/>
  <c r="AM15" i="12" s="1"/>
  <c r="AJ15" i="12"/>
  <c r="AK15" i="12" s="1"/>
  <c r="AH15" i="12"/>
  <c r="AI15" i="12" s="1"/>
  <c r="AF15" i="12"/>
  <c r="AG15" i="12" s="1"/>
  <c r="AD15" i="12"/>
  <c r="AE15" i="12" s="1"/>
  <c r="AB15" i="12"/>
  <c r="AC15" i="12" s="1"/>
  <c r="S15" i="12"/>
  <c r="O15" i="12"/>
  <c r="N15" i="12"/>
  <c r="M15" i="12"/>
  <c r="R15" i="12" s="1"/>
  <c r="J15" i="12"/>
  <c r="N38" i="12" s="1"/>
  <c r="K38" i="12" s="1"/>
  <c r="G15" i="12"/>
  <c r="F15" i="12"/>
  <c r="E15" i="12"/>
  <c r="BN14" i="12"/>
  <c r="BO14" i="12" s="1"/>
  <c r="BL14" i="12"/>
  <c r="BM14" i="12" s="1"/>
  <c r="BJ14" i="12"/>
  <c r="BK14" i="12" s="1"/>
  <c r="BH14" i="12"/>
  <c r="BI14" i="12" s="1"/>
  <c r="BF14" i="12"/>
  <c r="BG14" i="12" s="1"/>
  <c r="BD14" i="12"/>
  <c r="BE14" i="12" s="1"/>
  <c r="BB14" i="12"/>
  <c r="BC14" i="12" s="1"/>
  <c r="AZ14" i="12"/>
  <c r="BA14" i="12" s="1"/>
  <c r="AX14" i="12"/>
  <c r="AY14" i="12" s="1"/>
  <c r="AV14" i="12"/>
  <c r="AW14" i="12" s="1"/>
  <c r="AT14" i="12"/>
  <c r="AU14" i="12" s="1"/>
  <c r="AR14" i="12"/>
  <c r="AS14" i="12" s="1"/>
  <c r="AP14" i="12"/>
  <c r="AQ14" i="12" s="1"/>
  <c r="AN14" i="12"/>
  <c r="AO14" i="12" s="1"/>
  <c r="AL14" i="12"/>
  <c r="AM14" i="12" s="1"/>
  <c r="AJ14" i="12"/>
  <c r="AK14" i="12" s="1"/>
  <c r="AH14" i="12"/>
  <c r="AI14" i="12" s="1"/>
  <c r="AF14" i="12"/>
  <c r="AG14" i="12" s="1"/>
  <c r="AD14" i="12"/>
  <c r="AE14" i="12" s="1"/>
  <c r="AB14" i="12"/>
  <c r="AC14" i="12" s="1"/>
  <c r="S14" i="12"/>
  <c r="O14" i="12"/>
  <c r="N14" i="12"/>
  <c r="M14" i="12"/>
  <c r="R14" i="12" s="1"/>
  <c r="J14" i="12"/>
  <c r="N37" i="12" s="1"/>
  <c r="G14" i="12"/>
  <c r="F14" i="12"/>
  <c r="E14" i="12"/>
  <c r="BN13" i="12"/>
  <c r="BO13" i="12" s="1"/>
  <c r="BL13" i="12"/>
  <c r="BM13" i="12" s="1"/>
  <c r="BJ13" i="12"/>
  <c r="BK13" i="12" s="1"/>
  <c r="BH13" i="12"/>
  <c r="BI13" i="12" s="1"/>
  <c r="BF13" i="12"/>
  <c r="BG13" i="12" s="1"/>
  <c r="BD13" i="12"/>
  <c r="BE13" i="12" s="1"/>
  <c r="BB13" i="12"/>
  <c r="BC13" i="12" s="1"/>
  <c r="AZ13" i="12"/>
  <c r="BA13" i="12" s="1"/>
  <c r="AX13" i="12"/>
  <c r="AY13" i="12" s="1"/>
  <c r="AV13" i="12"/>
  <c r="AW13" i="12" s="1"/>
  <c r="AT13" i="12"/>
  <c r="AU13" i="12" s="1"/>
  <c r="AR13" i="12"/>
  <c r="AS13" i="12" s="1"/>
  <c r="AP13" i="12"/>
  <c r="AQ13" i="12" s="1"/>
  <c r="AN13" i="12"/>
  <c r="AO13" i="12" s="1"/>
  <c r="AL13" i="12"/>
  <c r="AM13" i="12" s="1"/>
  <c r="AJ13" i="12"/>
  <c r="AK13" i="12" s="1"/>
  <c r="AH13" i="12"/>
  <c r="AI13" i="12" s="1"/>
  <c r="AF13" i="12"/>
  <c r="AG13" i="12" s="1"/>
  <c r="AD13" i="12"/>
  <c r="AE13" i="12" s="1"/>
  <c r="AB13" i="12"/>
  <c r="AC13" i="12"/>
  <c r="S13" i="12"/>
  <c r="T13" i="12" s="1"/>
  <c r="U13" i="12" s="1"/>
  <c r="W13" i="12" s="1"/>
  <c r="V13" i="12" s="1"/>
  <c r="X13" i="12" s="1"/>
  <c r="Y13" i="12" s="1"/>
  <c r="BN12" i="12"/>
  <c r="BO12" i="12" s="1"/>
  <c r="BL12" i="12"/>
  <c r="BM12" i="12" s="1"/>
  <c r="BJ12" i="12"/>
  <c r="BK12" i="12" s="1"/>
  <c r="BH12" i="12"/>
  <c r="BI12" i="12" s="1"/>
  <c r="BF12" i="12"/>
  <c r="BG12" i="12" s="1"/>
  <c r="BD12" i="12"/>
  <c r="BE12" i="12" s="1"/>
  <c r="BB12" i="12"/>
  <c r="BC12" i="12" s="1"/>
  <c r="AZ12" i="12"/>
  <c r="BA12" i="12" s="1"/>
  <c r="AX12" i="12"/>
  <c r="AY12" i="12" s="1"/>
  <c r="AV12" i="12"/>
  <c r="AW12" i="12" s="1"/>
  <c r="AT12" i="12"/>
  <c r="AU12" i="12" s="1"/>
  <c r="AR12" i="12"/>
  <c r="AS12" i="12" s="1"/>
  <c r="AP12" i="12"/>
  <c r="AQ12" i="12" s="1"/>
  <c r="AN12" i="12"/>
  <c r="AO12" i="12" s="1"/>
  <c r="AL12" i="12"/>
  <c r="AM12" i="12" s="1"/>
  <c r="AJ12" i="12"/>
  <c r="AK12" i="12" s="1"/>
  <c r="AH12" i="12"/>
  <c r="AI12" i="12" s="1"/>
  <c r="AF12" i="12"/>
  <c r="AG12" i="12" s="1"/>
  <c r="AD12" i="12"/>
  <c r="AE12" i="12" s="1"/>
  <c r="AB12" i="12"/>
  <c r="AC12" i="12" s="1"/>
  <c r="S12" i="12"/>
  <c r="T12" i="12" s="1"/>
  <c r="U12" i="12" s="1"/>
  <c r="W12" i="12" s="1"/>
  <c r="V12" i="12" s="1"/>
  <c r="X12" i="12" s="1"/>
  <c r="Y12" i="12" s="1"/>
  <c r="BN11" i="12"/>
  <c r="BO11" i="12" s="1"/>
  <c r="BL11" i="12"/>
  <c r="BM11" i="12" s="1"/>
  <c r="BJ11" i="12"/>
  <c r="BK11" i="12" s="1"/>
  <c r="BH11" i="12"/>
  <c r="BI11" i="12" s="1"/>
  <c r="BF11" i="12"/>
  <c r="BG11" i="12" s="1"/>
  <c r="BD11" i="12"/>
  <c r="BE11" i="12" s="1"/>
  <c r="BB11" i="12"/>
  <c r="BC11" i="12" s="1"/>
  <c r="AZ11" i="12"/>
  <c r="BA11" i="12" s="1"/>
  <c r="AX11" i="12"/>
  <c r="AY11" i="12" s="1"/>
  <c r="AV11" i="12"/>
  <c r="AW11" i="12" s="1"/>
  <c r="AT11" i="12"/>
  <c r="AU11" i="12" s="1"/>
  <c r="AR11" i="12"/>
  <c r="AS11" i="12" s="1"/>
  <c r="AP11" i="12"/>
  <c r="AQ11" i="12" s="1"/>
  <c r="AN11" i="12"/>
  <c r="AO11" i="12" s="1"/>
  <c r="AL11" i="12"/>
  <c r="AM11" i="12" s="1"/>
  <c r="AJ11" i="12"/>
  <c r="AK11" i="12" s="1"/>
  <c r="AH11" i="12"/>
  <c r="AI11" i="12" s="1"/>
  <c r="AF11" i="12"/>
  <c r="AG11" i="12" s="1"/>
  <c r="AD11" i="12"/>
  <c r="AE11" i="12" s="1"/>
  <c r="AB11" i="12"/>
  <c r="AC11" i="12" s="1"/>
  <c r="S11" i="12"/>
  <c r="E11" i="12"/>
  <c r="N35" i="12"/>
  <c r="K35" i="12" s="1"/>
  <c r="M35" i="12"/>
  <c r="O35" i="12" s="1"/>
  <c r="R12" i="12"/>
  <c r="M52" i="12"/>
  <c r="O52" i="12" s="1"/>
  <c r="M47" i="12"/>
  <c r="M49" i="12"/>
  <c r="O49" i="12" s="1"/>
  <c r="N36" i="12"/>
  <c r="K36" i="12" s="1"/>
  <c r="M36" i="12"/>
  <c r="O36" i="12" s="1"/>
  <c r="R13" i="12"/>
  <c r="K37" i="12" l="1"/>
  <c r="O46" i="12"/>
  <c r="N48" i="12"/>
  <c r="J50" i="16"/>
  <c r="M37" i="12"/>
  <c r="O37" i="12" s="1"/>
  <c r="O40" i="12"/>
  <c r="T29" i="12"/>
  <c r="U29" i="12" s="1"/>
  <c r="W29" i="12" s="1"/>
  <c r="V29" i="12" s="1"/>
  <c r="X29" i="12" s="1"/>
  <c r="Y29" i="12" s="1"/>
  <c r="N46" i="12"/>
  <c r="K46" i="12" s="1"/>
  <c r="T23" i="12"/>
  <c r="U23" i="12" s="1"/>
  <c r="W23" i="12" s="1"/>
  <c r="V23" i="12" s="1"/>
  <c r="X23" i="12" s="1"/>
  <c r="Y23" i="12" s="1"/>
  <c r="M44" i="12"/>
  <c r="O44" i="12" s="1"/>
  <c r="O41" i="12"/>
  <c r="M39" i="12"/>
  <c r="T16" i="12"/>
  <c r="U16" i="12" s="1"/>
  <c r="W16" i="12" s="1"/>
  <c r="V16" i="12" s="1"/>
  <c r="X16" i="12" s="1"/>
  <c r="Y16" i="12" s="1"/>
  <c r="T27" i="12"/>
  <c r="U27" i="12" s="1"/>
  <c r="W27" i="12" s="1"/>
  <c r="V27" i="12" s="1"/>
  <c r="X27" i="12" s="1"/>
  <c r="Y27" i="12" s="1"/>
  <c r="O48" i="12"/>
  <c r="O45" i="12"/>
  <c r="K47" i="12"/>
  <c r="T20" i="12"/>
  <c r="U20" i="12" s="1"/>
  <c r="W20" i="12" s="1"/>
  <c r="V20" i="12" s="1"/>
  <c r="X20" i="12" s="1"/>
  <c r="Y20" i="12" s="1"/>
  <c r="T26" i="12"/>
  <c r="U26" i="12" s="1"/>
  <c r="W26" i="12" s="1"/>
  <c r="V26" i="12" s="1"/>
  <c r="X26" i="12" s="1"/>
  <c r="Y26" i="12" s="1"/>
  <c r="M43" i="12"/>
  <c r="O43" i="12" s="1"/>
  <c r="T25" i="12"/>
  <c r="U25" i="12" s="1"/>
  <c r="W25" i="12" s="1"/>
  <c r="V25" i="12" s="1"/>
  <c r="X25" i="12" s="1"/>
  <c r="Y25" i="12" s="1"/>
  <c r="T15" i="12"/>
  <c r="U15" i="12" s="1"/>
  <c r="W15" i="12" s="1"/>
  <c r="V15" i="12" s="1"/>
  <c r="X15" i="12" s="1"/>
  <c r="Y15" i="12" s="1"/>
  <c r="T30" i="12"/>
  <c r="U30" i="12" s="1"/>
  <c r="W30" i="12" s="1"/>
  <c r="V30" i="12" s="1"/>
  <c r="X30" i="12" s="1"/>
  <c r="Y30" i="12" s="1"/>
  <c r="M53" i="12"/>
  <c r="O53" i="12" s="1"/>
  <c r="M38" i="12"/>
  <c r="O38" i="12" s="1"/>
  <c r="N41" i="12"/>
  <c r="K41" i="12" s="1"/>
  <c r="R22" i="12"/>
  <c r="N52" i="12"/>
  <c r="K52" i="12" s="1"/>
  <c r="AQ32" i="12"/>
  <c r="N40" i="12"/>
  <c r="K40" i="12" s="1"/>
  <c r="T17" i="12"/>
  <c r="U17" i="12" s="1"/>
  <c r="W17" i="12" s="1"/>
  <c r="V17" i="12" s="1"/>
  <c r="X17" i="12" s="1"/>
  <c r="Y17" i="12" s="1"/>
  <c r="T24" i="12"/>
  <c r="U24" i="12" s="1"/>
  <c r="W24" i="12" s="1"/>
  <c r="V24" i="12" s="1"/>
  <c r="X24" i="12" s="1"/>
  <c r="Y24" i="12" s="1"/>
  <c r="N51" i="12"/>
  <c r="K51" i="12" s="1"/>
  <c r="BC32" i="12"/>
  <c r="K44" i="12"/>
  <c r="N45" i="12"/>
  <c r="K45" i="12" s="1"/>
  <c r="N42" i="12"/>
  <c r="K42" i="12" s="1"/>
  <c r="AS32" i="12"/>
  <c r="J20" i="35"/>
  <c r="J31" i="35"/>
  <c r="J14" i="35"/>
  <c r="J26" i="35"/>
  <c r="J16" i="35"/>
  <c r="J25" i="35"/>
  <c r="J30" i="35"/>
  <c r="J56" i="35"/>
  <c r="J27" i="35"/>
  <c r="J56" i="16"/>
  <c r="J23" i="35"/>
  <c r="J57" i="35"/>
  <c r="J57" i="16"/>
  <c r="J17" i="35"/>
  <c r="J60" i="35"/>
  <c r="J50" i="35"/>
  <c r="J37" i="35"/>
  <c r="J22" i="35"/>
  <c r="J13" i="35"/>
  <c r="J38" i="35"/>
  <c r="J60" i="16"/>
  <c r="J44" i="35"/>
  <c r="J39" i="35"/>
  <c r="J41" i="35"/>
  <c r="J43" i="35"/>
  <c r="J42" i="35"/>
  <c r="J40" i="35"/>
  <c r="AE32" i="12"/>
  <c r="T22" i="12"/>
  <c r="U22" i="12" s="1"/>
  <c r="W22" i="12" s="1"/>
  <c r="V22" i="12" s="1"/>
  <c r="X22" i="12" s="1"/>
  <c r="Y22" i="12" s="1"/>
  <c r="J52" i="16"/>
  <c r="J52" i="35"/>
  <c r="J54" i="35"/>
  <c r="J53" i="35"/>
  <c r="J34" i="35"/>
  <c r="J35" i="35"/>
  <c r="J55" i="16"/>
  <c r="J55" i="35"/>
  <c r="J58" i="16"/>
  <c r="J58" i="35"/>
  <c r="K48" i="12"/>
  <c r="J12" i="16"/>
  <c r="J12" i="35"/>
  <c r="T19" i="12"/>
  <c r="U19" i="12" s="1"/>
  <c r="W19" i="12" s="1"/>
  <c r="V19" i="12" s="1"/>
  <c r="X19" i="12" s="1"/>
  <c r="Y19" i="12" s="1"/>
  <c r="J18" i="16"/>
  <c r="J18" i="35"/>
  <c r="AI32" i="12"/>
  <c r="BA32" i="12"/>
  <c r="O47" i="12"/>
  <c r="J16" i="16"/>
  <c r="J37" i="16"/>
  <c r="J27" i="16"/>
  <c r="J20" i="16"/>
  <c r="J31" i="16"/>
  <c r="J14" i="16"/>
  <c r="J25" i="16"/>
  <c r="J30" i="16"/>
  <c r="J26" i="16"/>
  <c r="J22" i="16"/>
  <c r="J17" i="16"/>
  <c r="J13" i="16"/>
  <c r="J23" i="16"/>
  <c r="J38" i="16"/>
  <c r="J44" i="16"/>
  <c r="J43" i="16"/>
  <c r="J41" i="16"/>
  <c r="J39" i="16"/>
  <c r="J42" i="16"/>
  <c r="J40" i="16"/>
  <c r="J53" i="16"/>
  <c r="J54" i="16"/>
  <c r="J35" i="16"/>
  <c r="J34" i="16"/>
  <c r="AO32" i="12"/>
  <c r="AG32" i="12"/>
  <c r="BE32" i="12"/>
  <c r="O39" i="12"/>
  <c r="T21" i="12"/>
  <c r="U21" i="12" s="1"/>
  <c r="W21" i="12" s="1"/>
  <c r="V21" i="12" s="1"/>
  <c r="X21" i="12" s="1"/>
  <c r="Y21" i="12" s="1"/>
  <c r="AW32" i="12"/>
  <c r="T18" i="12"/>
  <c r="U18" i="12" s="1"/>
  <c r="W18" i="12" s="1"/>
  <c r="V18" i="12" s="1"/>
  <c r="X18" i="12" s="1"/>
  <c r="Y18" i="12" s="1"/>
  <c r="T28" i="12"/>
  <c r="U28" i="12" s="1"/>
  <c r="W28" i="12" s="1"/>
  <c r="V28" i="12" s="1"/>
  <c r="X28" i="12" s="1"/>
  <c r="Y28" i="12" s="1"/>
  <c r="BG32" i="12"/>
  <c r="AM32" i="12"/>
  <c r="AY32" i="12"/>
  <c r="K49" i="12"/>
  <c r="BI32" i="12"/>
  <c r="BO32" i="12"/>
  <c r="N50" i="12"/>
  <c r="K50" i="12" s="1"/>
  <c r="M50" i="12"/>
  <c r="O50" i="12" s="1"/>
  <c r="O42" i="12"/>
  <c r="R19" i="12"/>
  <c r="BK32" i="12"/>
  <c r="BM32" i="12"/>
  <c r="AK32" i="12"/>
  <c r="AU32" i="12"/>
  <c r="T14" i="12"/>
  <c r="U14" i="12" s="1"/>
  <c r="W14" i="12" s="1"/>
  <c r="V14" i="12" s="1"/>
  <c r="X14" i="12" s="1"/>
  <c r="Y14" i="12" s="1"/>
  <c r="AC32" i="12"/>
  <c r="F11" i="12" s="1"/>
  <c r="G11" i="12" s="1"/>
  <c r="O51" i="12"/>
  <c r="J11" i="12" l="1"/>
  <c r="N34" i="12" l="1"/>
  <c r="K34" i="12" s="1"/>
  <c r="M11" i="12" s="1"/>
  <c r="T11" i="12"/>
  <c r="U11" i="12" s="1"/>
  <c r="W11" i="12" s="1"/>
  <c r="V11" i="12" s="1"/>
  <c r="X11" i="12" s="1"/>
  <c r="Y11" i="12" s="1"/>
  <c r="M34" i="12"/>
  <c r="R11" i="12" l="1"/>
  <c r="O34" i="12"/>
  <c r="N11" i="12" s="1"/>
  <c r="O11" i="12" s="1"/>
  <c r="Q12" i="16" l="1"/>
  <c r="H12" i="16"/>
  <c r="M12" i="16"/>
  <c r="S12" i="16" l="1"/>
  <c r="V29" i="16"/>
  <c r="V26" i="16" l="1"/>
  <c r="V25" i="16" l="1"/>
  <c r="V23" i="16" l="1"/>
  <c r="V14" i="16" l="1"/>
  <c r="AA14" i="16" l="1"/>
  <c r="AD14" i="16" s="1"/>
  <c r="AE14" i="16" s="1"/>
  <c r="V22" i="16" l="1"/>
  <c r="V27" i="16" l="1"/>
  <c r="V37" i="16" l="1"/>
  <c r="V34" i="16" l="1"/>
  <c r="V41" i="16" l="1"/>
  <c r="V13" i="16" l="1"/>
  <c r="AA13" i="16" s="1"/>
  <c r="AD13" i="16" s="1"/>
  <c r="AE13" i="16" s="1"/>
  <c r="V31" i="16"/>
  <c r="V32" i="16"/>
  <c r="V35" i="16"/>
  <c r="AA15" i="16" l="1"/>
  <c r="AF14" i="16" l="1"/>
  <c r="AH14" i="16" s="1"/>
  <c r="AI14" i="16" s="1"/>
  <c r="AF13" i="16"/>
  <c r="AH13" i="16" s="1"/>
  <c r="AI13" i="16" s="1"/>
  <c r="AF12" i="16"/>
  <c r="AH12" i="16" s="1"/>
  <c r="AI12" i="16" s="1"/>
  <c r="AD15" i="16"/>
  <c r="AE15" i="16" s="1"/>
  <c r="AF15" i="16" s="1"/>
  <c r="AA16" i="16" l="1"/>
  <c r="AD16" i="16" s="1"/>
  <c r="AE16" i="16" s="1"/>
  <c r="AH15" i="16"/>
  <c r="AI15" i="16" s="1"/>
  <c r="AA17" i="16" l="1"/>
  <c r="AF16" i="16" s="1"/>
  <c r="AH16" i="16" l="1"/>
  <c r="AI16" i="16" s="1"/>
  <c r="AD17" i="16"/>
  <c r="AE17" i="16" l="1"/>
  <c r="AF17" i="16" s="1"/>
  <c r="AH17" i="16" s="1"/>
  <c r="AI17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Handley, Susan</author>
  </authors>
  <commentList>
    <comment ref="L39" authorId="0" shapeId="0" xr:uid="{03B291C3-1683-4872-849C-DC48413114AD}">
      <text>
        <r>
          <rPr>
            <b/>
            <sz val="9"/>
            <color indexed="81"/>
            <rFont val="Tahoma"/>
            <family val="2"/>
          </rPr>
          <t>Handley, Susan:</t>
        </r>
        <r>
          <rPr>
            <sz val="9"/>
            <color indexed="81"/>
            <rFont val="Tahoma"/>
            <family val="2"/>
          </rPr>
          <t xml:space="preserve">
From artscape plans
</t>
        </r>
      </text>
    </comment>
    <comment ref="R58" authorId="0" shapeId="0" xr:uid="{5C7D34F0-CF87-4C6F-ACD0-22F877527942}">
      <text>
        <r>
          <rPr>
            <b/>
            <sz val="9"/>
            <color indexed="81"/>
            <rFont val="Tahoma"/>
            <family val="2"/>
          </rPr>
          <t>Handley, Susan:</t>
        </r>
        <r>
          <rPr>
            <sz val="9"/>
            <color indexed="81"/>
            <rFont val="Tahoma"/>
            <family val="2"/>
          </rPr>
          <t xml:space="preserve">
From Stormnet
</t>
        </r>
      </text>
    </comment>
    <comment ref="Q60" authorId="0" shapeId="0" xr:uid="{9D4D2EB0-1CBB-45C3-AC3C-8DBDEF69635C}">
      <text>
        <r>
          <rPr>
            <b/>
            <sz val="9"/>
            <color indexed="81"/>
            <rFont val="Tahoma"/>
            <family val="2"/>
          </rPr>
          <t>Handley, Susan:</t>
        </r>
        <r>
          <rPr>
            <sz val="9"/>
            <color indexed="81"/>
            <rFont val="Tahoma"/>
            <family val="2"/>
          </rPr>
          <t xml:space="preserve">
From Stormnet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pzitta</author>
  </authors>
  <commentList>
    <comment ref="L7" authorId="0" shapeId="0" xr:uid="{CB48F73E-34D7-4EBD-BF7B-DB1BBD190CCB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pzitta:
Slope Full or Slope-minimum
Derived from FLOWMASTER</t>
        </r>
      </text>
    </comment>
    <comment ref="M7" authorId="0" shapeId="0" xr:uid="{2D730D19-7C4B-40E5-92EB-42A24836D78F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pzitta:
Slope Full or Slope-minimum
Derived from FLOWMASTER</t>
        </r>
      </text>
    </comment>
    <comment ref="O7" authorId="0" shapeId="0" xr:uid="{58433B8A-8C65-420F-815F-C141B00A2D46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Friction Velocity:
Q10/Area Pipe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pzitta</author>
  </authors>
  <commentList>
    <comment ref="L7" authorId="0" shapeId="0" xr:uid="{26A3B710-559C-41B6-9B3E-EAC75E5E4DFE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pzitta:
Slope Full or Slope-minimum
Derived from FLOWMASTER</t>
        </r>
      </text>
    </comment>
    <comment ref="M7" authorId="0" shapeId="0" xr:uid="{4FD2D974-77EA-4A64-8591-2623EC3FF66C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pzitta:
Slope Full or Slope-minimum
Derived from FLOWMASTER</t>
        </r>
      </text>
    </comment>
    <comment ref="O7" authorId="0" shapeId="0" xr:uid="{37D964C9-7C29-4AE5-AD68-79FAC2BC0DBD}">
      <text>
        <r>
          <rPr>
            <b/>
            <sz val="8"/>
            <color indexed="81"/>
            <rFont val="Tahoma"/>
            <family val="2"/>
          </rPr>
          <t>pzitta:</t>
        </r>
        <r>
          <rPr>
            <sz val="8"/>
            <color indexed="81"/>
            <rFont val="Tahoma"/>
            <family val="2"/>
          </rPr>
          <t xml:space="preserve">
Friction Velocity:
Q10/Area Pipe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Lockett, Delise</author>
  </authors>
  <commentList>
    <comment ref="AG6" authorId="0" shapeId="0" xr:uid="{849A9D27-F909-4C6E-9499-221FB342E0A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AR6" authorId="0" shapeId="0" xr:uid="{C7A51E12-7C40-47DA-BEF7-AC9690A1F78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culvert
</t>
        </r>
      </text>
    </comment>
    <comment ref="BN6" authorId="0" shapeId="0" xr:uid="{C80396F0-CE49-4A5B-B491-3D1B4BA67690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BY6" authorId="0" shapeId="0" xr:uid="{52657522-875D-4B7A-ADE8-A86A6C238F52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DF6" authorId="0" shapeId="0" xr:uid="{FDFF34F7-C1BB-473F-95B9-F5B8D726A653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culvert
</t>
        </r>
      </text>
    </comment>
    <comment ref="B9" authorId="0" shapeId="0" xr:uid="{595FEABE-54D0-4A6D-85F4-4F1F0A47031D}">
      <text>
        <r>
          <rPr>
            <sz val="9"/>
            <color indexed="81"/>
            <rFont val="Tahoma"/>
            <family val="2"/>
          </rPr>
          <t>Top of grate/Top of cover</t>
        </r>
      </text>
    </comment>
    <comment ref="G11" authorId="0" shapeId="0" xr:uid="{CD32AC20-4898-4E86-8608-1F6E6C9537D7}">
      <text>
        <r>
          <rPr>
            <sz val="9"/>
            <color indexed="81"/>
            <rFont val="Tahoma"/>
            <family val="2"/>
          </rPr>
          <t xml:space="preserve">Entrance/Exit Loss (use larger or V1 or V2.
A = 0.33 x (V^2/2g)
</t>
        </r>
      </text>
    </comment>
    <comment ref="B12" authorId="0" shapeId="0" xr:uid="{22350560-2990-43A3-BB7D-C9723A375EC5}">
      <text>
        <r>
          <rPr>
            <sz val="9"/>
            <color indexed="81"/>
            <rFont val="Tahoma"/>
            <family val="2"/>
          </rPr>
          <t>Downstream Flow, cfs</t>
        </r>
      </text>
    </comment>
    <comment ref="D12" authorId="0" shapeId="0" xr:uid="{D6863166-2E7B-4307-A70A-096A4FE71C54}">
      <text>
        <r>
          <rPr>
            <sz val="9"/>
            <color indexed="81"/>
            <rFont val="Tahoma"/>
            <family val="2"/>
          </rPr>
          <t xml:space="preserve">Downstream Velocity, fps
</t>
        </r>
      </text>
    </comment>
    <comment ref="G12" authorId="0" shapeId="0" xr:uid="{BBC8857F-4913-4F54-A811-194E861B5616}">
      <text>
        <r>
          <rPr>
            <sz val="9"/>
            <color indexed="81"/>
            <rFont val="Tahoma"/>
            <family val="2"/>
          </rPr>
          <t>Velocity Head Loss
B = V</t>
        </r>
        <r>
          <rPr>
            <vertAlign val="subscript"/>
            <sz val="9"/>
            <color indexed="81"/>
            <rFont val="Tahoma"/>
            <family val="2"/>
          </rPr>
          <t>h2</t>
        </r>
        <r>
          <rPr>
            <sz val="9"/>
            <color indexed="81"/>
            <rFont val="Tahoma"/>
            <family val="2"/>
          </rPr>
          <t>- V</t>
        </r>
        <r>
          <rPr>
            <vertAlign val="subscript"/>
            <sz val="9"/>
            <color indexed="81"/>
            <rFont val="Tahoma"/>
            <family val="2"/>
          </rPr>
          <t>h1</t>
        </r>
        <r>
          <rPr>
            <sz val="9"/>
            <color indexed="81"/>
            <rFont val="Tahoma"/>
            <family val="2"/>
          </rPr>
          <t xml:space="preserve">
B = (V</t>
        </r>
        <r>
          <rPr>
            <vertAlign val="subscript"/>
            <sz val="9"/>
            <color indexed="81"/>
            <rFont val="Tahoma"/>
            <family val="2"/>
          </rPr>
          <t>2</t>
        </r>
        <r>
          <rPr>
            <vertAlign val="super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>/2g) - (V</t>
        </r>
        <r>
          <rPr>
            <vertAlign val="subscript"/>
            <sz val="9"/>
            <color indexed="81"/>
            <rFont val="Tahoma"/>
            <family val="2"/>
          </rPr>
          <t>1</t>
        </r>
        <r>
          <rPr>
            <vertAlign val="super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/2g)
</t>
        </r>
      </text>
    </comment>
    <comment ref="FQ12" authorId="0" shapeId="0" xr:uid="{B8D1B638-6578-498E-ADF7-D5A8306E2697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To obtain more realistic HGL values V(actual) on pipe capacity sheet was used in place of v(full), the loss was hand calculated</t>
        </r>
      </text>
    </comment>
    <comment ref="GB12" authorId="0" shapeId="0" xr:uid="{AA065D01-9446-4F1A-A307-5F5789828C7A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To obtain more realistic HGL values V(actual) on pipe capacity sheet was used in place of v(full), the loss was hand calculated</t>
        </r>
      </text>
    </comment>
    <comment ref="B13" authorId="0" shapeId="0" xr:uid="{A55621D6-4167-4FE5-A494-E87791BF65BF}">
      <text>
        <r>
          <rPr>
            <sz val="9"/>
            <color indexed="81"/>
            <rFont val="Tahoma"/>
            <family val="2"/>
          </rPr>
          <t>Upstream Flow, cfs
multiple inflows-fastest inflow</t>
        </r>
      </text>
    </comment>
    <comment ref="D13" authorId="0" shapeId="0" xr:uid="{B93BFA3F-DFD5-419D-BDF7-06AD2A3D65CD}">
      <text>
        <r>
          <rPr>
            <sz val="9"/>
            <color indexed="81"/>
            <rFont val="Tahoma"/>
            <family val="2"/>
          </rPr>
          <t xml:space="preserve">Upstream Velocity, fps
</t>
        </r>
      </text>
    </comment>
    <comment ref="G13" authorId="0" shapeId="0" xr:uid="{E26FACDD-BC74-410D-A483-2A9C8374BE0D}">
      <text>
        <r>
          <rPr>
            <sz val="9"/>
            <color indexed="81"/>
            <rFont val="Tahoma"/>
            <family val="2"/>
          </rPr>
          <t xml:space="preserve">Bend Loss (use larger or V1 or V2.
</t>
        </r>
      </text>
    </comment>
    <comment ref="B14" authorId="0" shapeId="0" xr:uid="{4422C538-2D53-4D2C-A0BE-C4A4444FA274}">
      <text>
        <r>
          <rPr>
            <sz val="9"/>
            <color indexed="81"/>
            <rFont val="Tahoma"/>
            <family val="2"/>
          </rPr>
          <t>Branch Flow, cfs
additional inflow
multiple inflows-slowest inflow</t>
        </r>
      </text>
    </comment>
    <comment ref="G14" authorId="0" shapeId="0" xr:uid="{C1113644-0CEB-401A-AAFE-69F1DF77838D}">
      <text>
        <r>
          <rPr>
            <sz val="9"/>
            <color indexed="81"/>
            <rFont val="Tahoma"/>
            <family val="2"/>
          </rPr>
          <t>Head Loss in structure
D = (V</t>
        </r>
        <r>
          <rPr>
            <vertAlign val="superscript"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>/2g) x (1 - (Q1/Q1 + Q3))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K14" authorId="0" shapeId="0" xr:uid="{01AFC1B9-6EB4-4193-94EF-17D70617556A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G14" authorId="0" shapeId="0" xr:uid="{53468866-DDE8-4590-A0F1-6C244FA257DB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R14" authorId="0" shapeId="0" xr:uid="{CCA01477-C524-4FB9-AC94-E14E9C3B0CD8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C14" authorId="0" shapeId="0" xr:uid="{1717CD54-9FB0-451E-8694-FDCD34FE397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N14" authorId="0" shapeId="0" xr:uid="{D0447F08-08CA-4FD8-A3C4-F047099CF970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Y14" authorId="0" shapeId="0" xr:uid="{EB0E1A51-5251-4B1E-9D35-269BAC1AC26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J14" authorId="0" shapeId="0" xr:uid="{3962EA98-76A2-4DFD-9F73-FCD5D8DCDF8E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DQ14" authorId="0" shapeId="0" xr:uid="{BB05F6D1-F9E1-48DF-A1A9-514F348D3C3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B14" authorId="0" shapeId="0" xr:uid="{EFA65F2E-DF1E-419A-848E-53DF14DB08D1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M14" authorId="0" shapeId="0" xr:uid="{7EC7CD71-16B7-499F-A494-E5C0EE16692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X14" authorId="0" shapeId="0" xr:uid="{53DE3B6A-F3E0-4E2A-9749-441AA30DB288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I14" authorId="0" shapeId="0" xr:uid="{003FDE98-0B9B-4FC5-B393-E47C7C81984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GE14" authorId="0" shapeId="0" xr:uid="{5171D2C2-3692-421F-8626-60D59280692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B15" authorId="0" shapeId="0" xr:uid="{0B481B5B-EEAB-43CD-8BF4-E5AAFBFF681C}">
      <text>
        <r>
          <rPr>
            <sz val="9"/>
            <color indexed="81"/>
            <rFont val="Tahoma"/>
            <family val="2"/>
          </rPr>
          <t>Branch Flow, cfs</t>
        </r>
      </text>
    </comment>
    <comment ref="K19" authorId="0" shapeId="0" xr:uid="{76209DAB-8F07-4611-BF9D-CB1F36597BA7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to determine 10 WSEL at culvert at this location.</t>
        </r>
      </text>
    </comment>
    <comment ref="BN19" authorId="0" shapeId="0" xr:uid="{9EFB24E2-719F-41C6-8738-E897143F20EA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BY19" authorId="0" shapeId="0" xr:uid="{AA817C9D-B1AB-4663-815A-65461CF09D0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FQ25" authorId="0" shapeId="0" xr:uid="{274805BE-EE78-4073-B14C-F78781CD2831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To obtain more realistic HGL values V(actual) on pipe capacity sheet was used in place of v(full), the loss was hand calculated</t>
        </r>
      </text>
    </comment>
    <comment ref="K27" authorId="0" shapeId="0" xr:uid="{FAE324BB-23EE-4EB7-856F-26858A44160E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V27" authorId="0" shapeId="0" xr:uid="{EB45583A-F07F-4DAD-B598-2E4724CAE4A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G27" authorId="0" shapeId="0" xr:uid="{9F9F3015-1BE0-4144-ADC8-9F34CE2110D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C27" authorId="0" shapeId="0" xr:uid="{C1D5B5FA-A950-4B49-BFF3-11DEE782A46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N27" authorId="0" shapeId="0" xr:uid="{9184245F-A101-4A0A-A944-094703718933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Y27" authorId="0" shapeId="0" xr:uid="{A06683F0-89A6-403B-A803-10F71EDD871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J27" authorId="0" shapeId="0" xr:uid="{E52C3D6D-9AD9-4957-B98B-C5A8739798BE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U27" authorId="0" shapeId="0" xr:uid="{8744F030-5E37-4176-AC3A-BEF4C04B25A1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DQ27" authorId="0" shapeId="0" xr:uid="{C788A794-BD93-4533-A8C3-07DE122BEE7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B27" authorId="0" shapeId="0" xr:uid="{87FF6813-DCD0-439C-A93D-16530D723B57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M27" authorId="0" shapeId="0" xr:uid="{B07EEEA1-B51F-4063-A7BA-FE74D6DDFB3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I27" authorId="0" shapeId="0" xr:uid="{E4327156-36D7-431F-A65C-2AC28627E25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T27" authorId="0" shapeId="0" xr:uid="{7238AD9E-0AB8-4ACE-B86C-111192682D75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GE27" authorId="0" shapeId="0" xr:uid="{9701B887-F32C-4B27-BC09-B5403A2BCE68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X28" authorId="0" shapeId="0" xr:uid="{AB59DFEE-FC4C-4521-968F-FCA87CB597F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V40" authorId="0" shapeId="0" xr:uid="{EA3865F8-564E-4767-9F5C-95EBEDA699B1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G40" authorId="0" shapeId="0" xr:uid="{EBECE8EE-D590-4C91-B52D-28E2DC2C5B10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R40" authorId="0" shapeId="0" xr:uid="{3F0391BC-55F2-42BA-9B56-2131904CC19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BC40" authorId="0" shapeId="0" xr:uid="{B9D9CD00-4AEB-46A4-847B-947DBDA953B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Y40" authorId="0" shapeId="0" xr:uid="{EF63528C-E075-442C-AA3A-583EAE419DA1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J40" authorId="0" shapeId="0" xr:uid="{65904AF4-E043-427C-89AE-7DD107D8F12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U40" authorId="0" shapeId="0" xr:uid="{3F5056DA-9023-4C68-AFFC-F0ED1CCAA9A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DF40" authorId="0" shapeId="0" xr:uid="{4E751419-B723-404B-A78E-EA60C9F681C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DQ40" authorId="0" shapeId="0" xr:uid="{0E75000D-AC22-4C6D-9658-45310B94735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B40" authorId="0" shapeId="0" xr:uid="{2CE6BB1F-C026-4FCD-B879-8E7EBDDBBD2C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I40" authorId="0" shapeId="0" xr:uid="{00327FA1-99DD-4568-95E0-8A96199498B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T40" authorId="0" shapeId="0" xr:uid="{11B4F0A2-378C-4E2A-9B40-EEC4EE0E2E78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GE40" authorId="0" shapeId="0" xr:uid="{D775631F-EF5D-41E0-B99B-64B56F79AED2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X41" authorId="0" shapeId="0" xr:uid="{64A8C9EC-996B-4204-91BD-EBFDF993FB6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V45" authorId="0" shapeId="0" xr:uid="{17828018-F8ED-4E48-AD23-F45507083E5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AG45" authorId="0" shapeId="0" xr:uid="{463348CB-A0D5-43DC-96E9-45250640448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Need the 10 y WSEL in the 42" SD</t>
        </r>
      </text>
    </comment>
    <comment ref="FQ51" authorId="0" shapeId="0" xr:uid="{CD1C1F46-C3C8-4E38-8584-1A7790749202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To obtain more realistic HGL values V(actual) on pipe capacity sheet was used in place of v(full), the loss was hand calculated</t>
        </r>
      </text>
    </comment>
    <comment ref="V53" authorId="0" shapeId="0" xr:uid="{CF01B55D-2587-472B-A3BF-D50E7E4F4B5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G53" authorId="0" shapeId="0" xr:uid="{218B5018-B769-4883-B7B6-DBC7AD4DAF1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AR53" authorId="0" shapeId="0" xr:uid="{BC81ADE4-F615-4FD9-AD6E-317A407701D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N53" authorId="0" shapeId="0" xr:uid="{AE88DE8D-8904-4853-BD44-A987F32B94F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P53" authorId="0" shapeId="0" xr:uid="{8B177CB8-42B5-4B09-8DCB-BC1A376EEAF5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largest Qin is first</t>
        </r>
      </text>
    </comment>
    <comment ref="CJ53" authorId="0" shapeId="0" xr:uid="{32ED91A5-75D1-4288-A72C-7CC04DF847D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U53" authorId="0" shapeId="0" xr:uid="{699E9487-4C29-476D-B8DF-8A754D841E9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DQ53" authorId="0" shapeId="0" xr:uid="{2F6ADEA8-B415-44DE-A1F6-6FEA6F4FDD4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B53" authorId="0" shapeId="0" xr:uid="{56BC8D2B-9CEA-4425-B275-64B48F75661B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X54" authorId="0" shapeId="0" xr:uid="{3883424C-DB89-42D9-971F-0C69DC5CEBB5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FI54" authorId="0" shapeId="0" xr:uid="{87A8BD48-0173-4621-B387-84CA128FEAAF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EH61" authorId="0" shapeId="0" xr:uid="{47CB27B0-B8E1-4BA6-A27F-09E572A122C6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contractor to determine in field.</t>
        </r>
      </text>
    </comment>
    <comment ref="EH62" authorId="0" shapeId="0" xr:uid="{A6F008CA-B586-4722-A554-972F410480FA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Contractor to determine in field.</t>
        </r>
      </text>
    </comment>
    <comment ref="AR66" authorId="0" shapeId="0" xr:uid="{7E6B4F85-0F87-4664-8D03-D581955620D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N66" authorId="0" shapeId="0" xr:uid="{558055B8-592F-42E4-9923-6A6FBB0287AB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CU66" authorId="0" shapeId="0" xr:uid="{658F39D0-A5B0-4EC6-8F04-AE179239BFD2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DF66" authorId="0" shapeId="0" xr:uid="{BB24DE83-D277-408D-9C04-778A351B9905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B66" authorId="0" shapeId="0" xr:uid="{E6CB5E63-00EB-4803-A5F0-6D2A78782854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BY67" authorId="0" shapeId="0" xr:uid="{D1CA185A-DFA6-424F-8AE8-D0C0273A5CAD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DQ67" authorId="0" shapeId="0" xr:uid="{26C46713-62D7-4527-B106-1B70A726A62E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  <comment ref="EM79" authorId="0" shapeId="0" xr:uid="{84AE161D-1EC5-471B-BB9C-EFAFDE79A53E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For non terminal inlets, loss through structure was included.</t>
        </r>
      </text>
    </comment>
    <comment ref="EM92" authorId="0" shapeId="0" xr:uid="{C3D3ABB7-D313-4EA4-BD33-B99DC20AFF99}">
      <text>
        <r>
          <rPr>
            <b/>
            <sz val="9"/>
            <color indexed="81"/>
            <rFont val="Tahoma"/>
            <family val="2"/>
          </rPr>
          <t>Lockett, Delise:</t>
        </r>
        <r>
          <rPr>
            <sz val="9"/>
            <color indexed="81"/>
            <rFont val="Tahoma"/>
            <family val="2"/>
          </rPr>
          <t xml:space="preserve">
County assumes zero losses for drainage entering the pipe from an inlet.</t>
        </r>
      </text>
    </comment>
  </commentList>
</comments>
</file>

<file path=xl/sharedStrings.xml><?xml version="1.0" encoding="utf-8"?>
<sst xmlns="http://schemas.openxmlformats.org/spreadsheetml/2006/main" count="3935" uniqueCount="560">
  <si>
    <t>FROM</t>
  </si>
  <si>
    <t>LENGTH</t>
  </si>
  <si>
    <t>TOTAL</t>
  </si>
  <si>
    <t>RUNOFF</t>
  </si>
  <si>
    <t>INLET</t>
  </si>
  <si>
    <t>PIPE</t>
  </si>
  <si>
    <t>FULL</t>
  </si>
  <si>
    <t xml:space="preserve"> </t>
  </si>
  <si>
    <t>TO</t>
  </si>
  <si>
    <t xml:space="preserve">COMPUTED BY </t>
  </si>
  <si>
    <t xml:space="preserve">MANNING'S "N"     </t>
  </si>
  <si>
    <t>=</t>
  </si>
  <si>
    <t>(in)</t>
  </si>
  <si>
    <t>(ft)</t>
  </si>
  <si>
    <t>(ft/ft)</t>
  </si>
  <si>
    <t>(fps)</t>
  </si>
  <si>
    <t>(cfs)</t>
  </si>
  <si>
    <t>SECTION:</t>
  </si>
  <si>
    <t>REGION:</t>
  </si>
  <si>
    <t>STORM FREQUENCY:</t>
  </si>
  <si>
    <t>CHECKED BY</t>
  </si>
  <si>
    <t>AREA</t>
  </si>
  <si>
    <t>RCP</t>
  </si>
  <si>
    <t>DATE</t>
  </si>
  <si>
    <t>Kb</t>
  </si>
  <si>
    <t>Mannings</t>
  </si>
  <si>
    <t>Structure</t>
  </si>
  <si>
    <t>Minimum</t>
  </si>
  <si>
    <t>HGL</t>
  </si>
  <si>
    <t>Hb</t>
  </si>
  <si>
    <t>(Kb*Vf^/64.4)</t>
  </si>
  <si>
    <t>Pipe*</t>
  </si>
  <si>
    <t>Check</t>
  </si>
  <si>
    <t>HGL Vs</t>
  </si>
  <si>
    <t>crown</t>
  </si>
  <si>
    <t>Top</t>
  </si>
  <si>
    <t>Elevation</t>
  </si>
  <si>
    <t>Top. Elev.</t>
  </si>
  <si>
    <t>Diff.</t>
  </si>
  <si>
    <t>Final</t>
  </si>
  <si>
    <t>HVL</t>
  </si>
  <si>
    <t>Angle</t>
  </si>
  <si>
    <t>Degree</t>
  </si>
  <si>
    <t>Depth</t>
  </si>
  <si>
    <t>Checking Results</t>
  </si>
  <si>
    <t>Q</t>
  </si>
  <si>
    <t>SIZE</t>
  </si>
  <si>
    <t>Area</t>
  </si>
  <si>
    <t>Length</t>
  </si>
  <si>
    <t>Friction Loss</t>
  </si>
  <si>
    <t>TOP</t>
  </si>
  <si>
    <t>Second Avenue</t>
  </si>
  <si>
    <t xml:space="preserve">   COG AND COS INLET SPACING SPREADSHEET</t>
  </si>
  <si>
    <t xml:space="preserve">                PROJECT:</t>
  </si>
  <si>
    <t xml:space="preserve">         GUTTER DEPRESSION =</t>
  </si>
  <si>
    <t>FEET</t>
  </si>
  <si>
    <t>REQUIRED LENGTH FOR</t>
  </si>
  <si>
    <t xml:space="preserve">            N =</t>
  </si>
  <si>
    <t xml:space="preserve"> TOTAL INTERCEPTION</t>
  </si>
  <si>
    <t xml:space="preserve">     CONTRACT NO. :</t>
  </si>
  <si>
    <t>STORM FREQUENCY: 2 - YEAR</t>
  </si>
  <si>
    <t xml:space="preserve">     GUTTER WIDTH =</t>
  </si>
  <si>
    <t>if L&gt;=15</t>
  </si>
  <si>
    <t>if a=0</t>
  </si>
  <si>
    <t>BYPASS</t>
  </si>
  <si>
    <t>T.O.C.</t>
  </si>
  <si>
    <t>I</t>
  </si>
  <si>
    <t>XSLOPE</t>
  </si>
  <si>
    <t>GRADE</t>
  </si>
  <si>
    <t>SPREAD</t>
  </si>
  <si>
    <t>PICKUP</t>
  </si>
  <si>
    <t>relative</t>
  </si>
  <si>
    <t>flow ratio</t>
  </si>
  <si>
    <t xml:space="preserve">equivalent </t>
  </si>
  <si>
    <t>k=0.54,else</t>
  </si>
  <si>
    <t>k=0.60,else</t>
  </si>
  <si>
    <t xml:space="preserve">  intercept</t>
  </si>
  <si>
    <t>NUMBER</t>
  </si>
  <si>
    <t xml:space="preserve">   (acres)</t>
  </si>
  <si>
    <t>C</t>
  </si>
  <si>
    <t>CA</t>
  </si>
  <si>
    <t>(MIN)</t>
  </si>
  <si>
    <t>(IN/HR)</t>
  </si>
  <si>
    <t>(CFS)</t>
  </si>
  <si>
    <t>(FT/FT)</t>
  </si>
  <si>
    <t>(FT)</t>
  </si>
  <si>
    <t>%</t>
  </si>
  <si>
    <t>X-slope</t>
  </si>
  <si>
    <t>k=0.58</t>
  </si>
  <si>
    <t>see V</t>
  </si>
  <si>
    <t xml:space="preserve">  efficiency</t>
  </si>
  <si>
    <t>I-1</t>
  </si>
  <si>
    <t>Alt - E  : Save File and Exit 123</t>
  </si>
  <si>
    <t>spread</t>
  </si>
  <si>
    <t>% intercept</t>
  </si>
  <si>
    <t>Alt - C : Create Separate Input Data File</t>
  </si>
  <si>
    <t>used</t>
  </si>
  <si>
    <t>SUMP</t>
  </si>
  <si>
    <t>as weir</t>
  </si>
  <si>
    <t>on-grade</t>
  </si>
  <si>
    <t>Alt - R : Retrieve Input Data File</t>
  </si>
  <si>
    <t>Alt - P : Print Results</t>
  </si>
  <si>
    <t>\0</t>
  </si>
  <si>
    <t>{WINDOWSOFF}</t>
  </si>
  <si>
    <t>/AA{R 4}~NQ</t>
  </si>
  <si>
    <t>{HOME}</t>
  </si>
  <si>
    <t>\E</t>
  </si>
  <si>
    <t>{R 2}{D 3}</t>
  </si>
  <si>
    <t>/fs~r</t>
  </si>
  <si>
    <t>/WGPE</t>
  </si>
  <si>
    <t>/ad~q</t>
  </si>
  <si>
    <t xml:space="preserve">/qy </t>
  </si>
  <si>
    <t>\C</t>
  </si>
  <si>
    <t>/fxv{escape}{escape}{?}~</t>
  </si>
  <si>
    <t>a4..p30~</t>
  </si>
  <si>
    <t>\R</t>
  </si>
  <si>
    <t>/WGPD</t>
  </si>
  <si>
    <t>{goto}a75~</t>
  </si>
  <si>
    <t>/fcce{escape}{escape}{?}~</t>
  </si>
  <si>
    <t>/cc75.c75~c4.c4~</t>
  </si>
  <si>
    <t>/cc77.c77~c6.c6~</t>
  </si>
  <si>
    <t>/ca82..d101~a11..d30~</t>
  </si>
  <si>
    <t>/ch82..i101~h11..i30~</t>
  </si>
  <si>
    <t>/ck82.l101~k11..l30~</t>
  </si>
  <si>
    <t>/cp82..p101~p11..p30~</t>
  </si>
  <si>
    <t>/cm75..m77~m4..m6~</t>
  </si>
  <si>
    <t>{home}{goto}c4~</t>
  </si>
  <si>
    <t>\P</t>
  </si>
  <si>
    <t>:pg</t>
  </si>
  <si>
    <t>MD410</t>
  </si>
  <si>
    <t xml:space="preserve"> 45)</t>
  </si>
  <si>
    <t>M 680-201-383</t>
  </si>
  <si>
    <t>LT STA82</t>
  </si>
  <si>
    <t>I-2</t>
  </si>
  <si>
    <t>I-3</t>
  </si>
  <si>
    <t>I-4</t>
  </si>
  <si>
    <t>I-5</t>
  </si>
  <si>
    <t>I-6</t>
  </si>
  <si>
    <t>I-7</t>
  </si>
  <si>
    <t>INT. CURB</t>
  </si>
  <si>
    <t>I-8</t>
  </si>
  <si>
    <t>INT.</t>
  </si>
  <si>
    <t>I-9</t>
  </si>
  <si>
    <t>I-10</t>
  </si>
  <si>
    <t>I-11</t>
  </si>
  <si>
    <t>I-12</t>
  </si>
  <si>
    <t>I-13</t>
  </si>
  <si>
    <t>I-18</t>
  </si>
  <si>
    <t>I-14</t>
  </si>
  <si>
    <t>I-16</t>
  </si>
  <si>
    <t>I-17</t>
  </si>
  <si>
    <t>I-19</t>
  </si>
  <si>
    <t>I-24</t>
  </si>
  <si>
    <t>I-03A</t>
  </si>
  <si>
    <t>Hydraulic Radius</t>
  </si>
  <si>
    <t>R</t>
  </si>
  <si>
    <t>Size</t>
  </si>
  <si>
    <t>Perimeter</t>
  </si>
  <si>
    <t>Hyd Radius</t>
  </si>
  <si>
    <t>y</t>
  </si>
  <si>
    <t>Qa/La</t>
  </si>
  <si>
    <t>L/La`</t>
  </si>
  <si>
    <t>Q/Qa</t>
  </si>
  <si>
    <t>Password is “pipes”</t>
  </si>
  <si>
    <t>ELEV</t>
  </si>
  <si>
    <t>ELV.</t>
  </si>
  <si>
    <t xml:space="preserve">HGL </t>
  </si>
  <si>
    <t>Inlet</t>
  </si>
  <si>
    <t>Montgomery County</t>
  </si>
  <si>
    <t>Full</t>
  </si>
  <si>
    <t>V</t>
  </si>
  <si>
    <t>Design</t>
  </si>
  <si>
    <t>Time of C</t>
  </si>
  <si>
    <t>"n"</t>
  </si>
  <si>
    <t>So (actual)</t>
  </si>
  <si>
    <t>Sf (friction)</t>
  </si>
  <si>
    <t>Vf</t>
  </si>
  <si>
    <t>(ft2)</t>
  </si>
  <si>
    <t>(Sf * Lgth)</t>
  </si>
  <si>
    <t>PR. RCP</t>
  </si>
  <si>
    <t>Col. A</t>
  </si>
  <si>
    <t>Col. B</t>
  </si>
  <si>
    <t>Col. C</t>
  </si>
  <si>
    <t>Col. D</t>
  </si>
  <si>
    <t>Col. E</t>
  </si>
  <si>
    <t>Col. F</t>
  </si>
  <si>
    <t>Col. G</t>
  </si>
  <si>
    <t>Col. H</t>
  </si>
  <si>
    <t>Col I</t>
  </si>
  <si>
    <t>Col. J</t>
  </si>
  <si>
    <t>Col. K</t>
  </si>
  <si>
    <t>USE</t>
  </si>
  <si>
    <t>"To"</t>
  </si>
  <si>
    <t>D/S</t>
  </si>
  <si>
    <t>D/S HGL</t>
  </si>
  <si>
    <t>U/S</t>
  </si>
  <si>
    <t>U/S HGL</t>
  </si>
  <si>
    <t>TOP OF</t>
  </si>
  <si>
    <t>@ PIPE</t>
  </si>
  <si>
    <t>INV</t>
  </si>
  <si>
    <t>Struct. L</t>
  </si>
  <si>
    <t>Pipe L.</t>
  </si>
  <si>
    <t>EX. RCP</t>
  </si>
  <si>
    <t>Col. A = D/S Inv. of Pipe @ "From" Structure</t>
  </si>
  <si>
    <t>Col. B = D/S Top of Pipe  = D/S Inv. of Pipe @ "From" Structure + Pipe Diameter</t>
  </si>
  <si>
    <t>Col. C = HGL @ D/S Side of "From" Structure + Hb (Structure Loss)</t>
  </si>
  <si>
    <t>Col. D = Col. B or Col. C, Select Higher Value</t>
  </si>
  <si>
    <t>Col. E = U/S Inv. of Pipe @ "To" Structure</t>
  </si>
  <si>
    <t>Col. F = U/S Top of Pipe  = U/S Inv. of Pipe @ "To" Structure + Pipe Diameter</t>
  </si>
  <si>
    <t>Col. G = Col. D + (Sf * Length) Pipe Friction Loss</t>
  </si>
  <si>
    <t>Col. H = Col. F or Co. G, Select Higher Value</t>
  </si>
  <si>
    <t>Intensity (IN/HR)</t>
  </si>
  <si>
    <t>2YR</t>
  </si>
  <si>
    <t>5YR</t>
  </si>
  <si>
    <t>10YR</t>
  </si>
  <si>
    <t>25YR</t>
  </si>
  <si>
    <t>50YR</t>
  </si>
  <si>
    <t>100YR</t>
  </si>
  <si>
    <t>7.07</t>
  </si>
  <si>
    <t>6.78</t>
  </si>
  <si>
    <t>6.52</t>
  </si>
  <si>
    <t>6.28</t>
  </si>
  <si>
    <t>6.06</t>
  </si>
  <si>
    <t>5.85</t>
  </si>
  <si>
    <t>5.48</t>
  </si>
  <si>
    <t>5.31</t>
  </si>
  <si>
    <t>5.15</t>
  </si>
  <si>
    <t>5.00</t>
  </si>
  <si>
    <t>4.86</t>
  </si>
  <si>
    <t>4.73</t>
  </si>
  <si>
    <t>4.60</t>
  </si>
  <si>
    <t>4.48</t>
  </si>
  <si>
    <t>4.37</t>
  </si>
  <si>
    <t>4.26</t>
  </si>
  <si>
    <t>4.16</t>
  </si>
  <si>
    <t>4.06</t>
  </si>
  <si>
    <t>3.97</t>
  </si>
  <si>
    <t>3.88</t>
  </si>
  <si>
    <t>3.79</t>
  </si>
  <si>
    <t>3.71</t>
  </si>
  <si>
    <t>3.64</t>
  </si>
  <si>
    <t>3.56</t>
  </si>
  <si>
    <t>3.49</t>
  </si>
  <si>
    <t>3.42</t>
  </si>
  <si>
    <t>3.36</t>
  </si>
  <si>
    <t>3.29</t>
  </si>
  <si>
    <t>3.23</t>
  </si>
  <si>
    <t>3.17</t>
  </si>
  <si>
    <t>3.12</t>
  </si>
  <si>
    <t>3.06</t>
  </si>
  <si>
    <t>3.01</t>
  </si>
  <si>
    <t>2.96</t>
  </si>
  <si>
    <t>2.91</t>
  </si>
  <si>
    <t>2.86</t>
  </si>
  <si>
    <t>2.82</t>
  </si>
  <si>
    <t>2.77</t>
  </si>
  <si>
    <t>2.73</t>
  </si>
  <si>
    <t>2.69</t>
  </si>
  <si>
    <t>2.65</t>
  </si>
  <si>
    <t>2.61</t>
  </si>
  <si>
    <t>2.57</t>
  </si>
  <si>
    <t>2.54</t>
  </si>
  <si>
    <t>2.50</t>
  </si>
  <si>
    <t>2.47</t>
  </si>
  <si>
    <t>2.43</t>
  </si>
  <si>
    <t>2.40</t>
  </si>
  <si>
    <t>2.37</t>
  </si>
  <si>
    <t>2.34</t>
  </si>
  <si>
    <t>2.31</t>
  </si>
  <si>
    <t>2.28</t>
  </si>
  <si>
    <t>2.25</t>
  </si>
  <si>
    <t>2.22</t>
  </si>
  <si>
    <t>EX-I-3</t>
  </si>
  <si>
    <t>Col. I-= Selects Highest HGL El. @ "TO" Structure</t>
  </si>
  <si>
    <t>Col. J = Top of MH-or Inlet Opening El @ "TO" Structure, Select Lower Value</t>
  </si>
  <si>
    <t>10 Year</t>
  </si>
  <si>
    <t>ALM</t>
  </si>
  <si>
    <t>EX-I-4</t>
  </si>
  <si>
    <t>PROJECT:</t>
  </si>
  <si>
    <t>BY</t>
  </si>
  <si>
    <t>COMPUTED</t>
  </si>
  <si>
    <t>CHECKED</t>
  </si>
  <si>
    <t>SOIL TYPE</t>
  </si>
  <si>
    <t>LANDUSE</t>
  </si>
  <si>
    <t>2, 10-YR STORM</t>
  </si>
  <si>
    <t>25-YR STORM</t>
  </si>
  <si>
    <t>---</t>
  </si>
  <si>
    <t>Impervious</t>
  </si>
  <si>
    <t>Open Space</t>
  </si>
  <si>
    <t>D</t>
  </si>
  <si>
    <t>TOTALS</t>
  </si>
  <si>
    <t>COMPOSITE C FACTOR (2, 10-YR):</t>
  </si>
  <si>
    <t>COMPOSITE C FACTOR (25-YR):</t>
  </si>
  <si>
    <t>TIME OF CONCENTRATION</t>
  </si>
  <si>
    <t>STORM EVENT (YR)</t>
  </si>
  <si>
    <t>RAINFALL INTENSITY (IN/HR)</t>
  </si>
  <si>
    <t>DISCHARGE               (CFS)</t>
  </si>
  <si>
    <t xml:space="preserve">Tc = </t>
  </si>
  <si>
    <t>MIN</t>
  </si>
  <si>
    <t>STANTEC</t>
  </si>
  <si>
    <t>STANTEC JOB # :</t>
  </si>
  <si>
    <t>% SLOPE</t>
  </si>
  <si>
    <t>2-7%</t>
  </si>
  <si>
    <t>AREA  (SF)</t>
  </si>
  <si>
    <t>EX-MH-1</t>
  </si>
  <si>
    <t>POI-4</t>
  </si>
  <si>
    <t>MARYLAND STATE HIGHWAY ADMINISTRATION</t>
  </si>
  <si>
    <t>SHEET</t>
  </si>
  <si>
    <t>1 OF 1</t>
  </si>
  <si>
    <t>STORM SEWER DESIGN</t>
  </si>
  <si>
    <t xml:space="preserve">DESIGNED BY: </t>
  </si>
  <si>
    <t xml:space="preserve">CONTRACT: </t>
  </si>
  <si>
    <t>CHECKED BY:</t>
  </si>
  <si>
    <t xml:space="preserve">TITLE: </t>
  </si>
  <si>
    <t xml:space="preserve">  Structure</t>
  </si>
  <si>
    <t xml:space="preserve"> Contributing Area</t>
  </si>
  <si>
    <t>10 Year Runoff</t>
  </si>
  <si>
    <t>Pipe</t>
  </si>
  <si>
    <t>REMARKS</t>
  </si>
  <si>
    <t>tc</t>
  </si>
  <si>
    <t>if</t>
  </si>
  <si>
    <t>A</t>
  </si>
  <si>
    <t>ADJ.</t>
  </si>
  <si>
    <t>Time</t>
  </si>
  <si>
    <t>Rain</t>
  </si>
  <si>
    <t>n</t>
  </si>
  <si>
    <t>So</t>
  </si>
  <si>
    <t>L</t>
  </si>
  <si>
    <t>Vo</t>
  </si>
  <si>
    <t>Time in</t>
  </si>
  <si>
    <t>Capacity</t>
  </si>
  <si>
    <t>Normal</t>
  </si>
  <si>
    <t>C*A</t>
  </si>
  <si>
    <t>ΣA</t>
  </si>
  <si>
    <r>
      <t>Σ</t>
    </r>
    <r>
      <rPr>
        <b/>
        <sz val="10"/>
        <rFont val="Times New Roman"/>
        <family val="1"/>
      </rPr>
      <t>CA</t>
    </r>
  </si>
  <si>
    <t>Conc&gt;</t>
  </si>
  <si>
    <t>Intens.</t>
  </si>
  <si>
    <t>Type</t>
  </si>
  <si>
    <t>MANNING</t>
  </si>
  <si>
    <t>Slope</t>
  </si>
  <si>
    <t>Vel.</t>
  </si>
  <si>
    <t>(#)</t>
  </si>
  <si>
    <t>(AC.)</t>
  </si>
  <si>
    <t>COEF.</t>
  </si>
  <si>
    <t>(IN)</t>
  </si>
  <si>
    <t>Coef.</t>
  </si>
  <si>
    <t>(%)</t>
  </si>
  <si>
    <t>(FT/SEC)</t>
  </si>
  <si>
    <t>C-C</t>
  </si>
  <si>
    <t>N</t>
  </si>
  <si>
    <t>S</t>
  </si>
  <si>
    <t>AR^.66</t>
  </si>
  <si>
    <t>Y/D0</t>
  </si>
  <si>
    <t>Y</t>
  </si>
  <si>
    <t>A/DO2</t>
  </si>
  <si>
    <t>TC</t>
  </si>
  <si>
    <t>10-YR</t>
  </si>
  <si>
    <t>EXISTING CONDITIONS HYDRAULIC GRADIENT</t>
  </si>
  <si>
    <t>EX-I-5</t>
  </si>
  <si>
    <t>EX-I-1</t>
  </si>
  <si>
    <t>EX-MH-2</t>
  </si>
  <si>
    <t>EX-MH-3</t>
  </si>
  <si>
    <t>EX-I-2</t>
  </si>
  <si>
    <t>EX-MH-4</t>
  </si>
  <si>
    <t>ESSN GREENWAY</t>
  </si>
  <si>
    <t>2026213122</t>
  </si>
  <si>
    <t xml:space="preserve"> [15+ (1112-100)/(60 * 7)]</t>
  </si>
  <si>
    <t>SMH</t>
  </si>
  <si>
    <t>INTERPOLATE</t>
  </si>
  <si>
    <t>EX-I-8</t>
  </si>
  <si>
    <t>EX-I-9</t>
  </si>
  <si>
    <t>EX-I-10</t>
  </si>
  <si>
    <t>EX-I-11</t>
  </si>
  <si>
    <t>EX-I-12</t>
  </si>
  <si>
    <t>EX-I-13</t>
  </si>
  <si>
    <t>EX-I-14</t>
  </si>
  <si>
    <t>EX-I-15</t>
  </si>
  <si>
    <t>EX-I-16</t>
  </si>
  <si>
    <t>EX-I-17</t>
  </si>
  <si>
    <t>EX-I-18</t>
  </si>
  <si>
    <t>EX-I-19</t>
  </si>
  <si>
    <t>EX-MH-5</t>
  </si>
  <si>
    <t>EX-JB-1</t>
  </si>
  <si>
    <t>EX-MH-14</t>
  </si>
  <si>
    <t>EX-MH-13</t>
  </si>
  <si>
    <t>EX-MH-12</t>
  </si>
  <si>
    <t>EX-MH-11</t>
  </si>
  <si>
    <t>EX-MH-10</t>
  </si>
  <si>
    <t>EX-MH-9</t>
  </si>
  <si>
    <t>EX-MH-8</t>
  </si>
  <si>
    <t>EX-MH-7</t>
  </si>
  <si>
    <t>EX-MH-6</t>
  </si>
  <si>
    <t>POI-1</t>
  </si>
  <si>
    <t>EX-ES-1/POI-2</t>
  </si>
  <si>
    <t>FENTON</t>
  </si>
  <si>
    <t>EX-MH-15</t>
  </si>
  <si>
    <t>60 BY 33</t>
  </si>
  <si>
    <t>15 BY 24</t>
  </si>
  <si>
    <t>Upstream Invert</t>
  </si>
  <si>
    <t>Downstream Invert</t>
  </si>
  <si>
    <t>Vel. Full</t>
  </si>
  <si>
    <r>
      <t>AR</t>
    </r>
    <r>
      <rPr>
        <vertAlign val="superscript"/>
        <sz val="10"/>
        <rFont val="Arial"/>
        <family val="2"/>
      </rPr>
      <t>2/3</t>
    </r>
    <r>
      <rPr>
        <sz val="10"/>
        <rFont val="Arial"/>
        <family val="2"/>
      </rPr>
      <t>/d</t>
    </r>
    <r>
      <rPr>
        <vertAlign val="subscript"/>
        <sz val="10"/>
        <rFont val="Arial"/>
        <family val="2"/>
      </rPr>
      <t>o</t>
    </r>
    <r>
      <rPr>
        <vertAlign val="superscript"/>
        <sz val="10"/>
        <rFont val="Arial"/>
        <family val="2"/>
      </rPr>
      <t>8/3</t>
    </r>
  </si>
  <si>
    <r>
      <t>A/d</t>
    </r>
    <r>
      <rPr>
        <vertAlign val="subscript"/>
        <sz val="10"/>
        <rFont val="Arial"/>
        <family val="2"/>
      </rPr>
      <t>o</t>
    </r>
    <r>
      <rPr>
        <vertAlign val="superscript"/>
        <sz val="10"/>
        <rFont val="Arial"/>
        <family val="2"/>
      </rPr>
      <t>2</t>
    </r>
  </si>
  <si>
    <r>
      <t>y/d</t>
    </r>
    <r>
      <rPr>
        <vertAlign val="subscript"/>
        <sz val="10"/>
        <rFont val="Arial"/>
        <family val="2"/>
      </rPr>
      <t>o</t>
    </r>
  </si>
  <si>
    <t xml:space="preserve">                            </t>
  </si>
  <si>
    <t>manhole</t>
  </si>
  <si>
    <t>inlet</t>
  </si>
  <si>
    <t>angle</t>
  </si>
  <si>
    <t>AR2/3/do8/3</t>
  </si>
  <si>
    <t>A (Flowmaster)</t>
  </si>
  <si>
    <t>came up with equivalent diameter to have an equal cross-sectional area for computational purposes. No way to calculate for elliptical pipes that I have found</t>
  </si>
  <si>
    <t>Manhole</t>
  </si>
  <si>
    <t>Bend Structure</t>
  </si>
  <si>
    <t>COPY THIS SPREADSHEET INTO THE EXCEL FILE CONTAINING PIPE CAPACITY COMPS. AND LINK THEM UP!!</t>
  </si>
  <si>
    <t xml:space="preserve">Sheet # SD-03: S. Central Avenue &amp; Fleet Street, East side </t>
  </si>
  <si>
    <t xml:space="preserve">Sheets # SD-03; PP-04: S. Central Avenue &amp; Eastern Avenue, East side </t>
  </si>
  <si>
    <t xml:space="preserve">Sheet # SD-03: S. Central Avenue &amp; Eastern Avenue, West side </t>
  </si>
  <si>
    <t xml:space="preserve">Sheet # SD-03: S. Central Avenue, West side </t>
  </si>
  <si>
    <t xml:space="preserve">Sheets # SD-04; PP-04: S. Central Avenue &amp; Bank Street, East side </t>
  </si>
  <si>
    <t xml:space="preserve">Sheet # SD-04: S. Central Avenue West side </t>
  </si>
  <si>
    <t xml:space="preserve">Sheets # SD-05; PP-05: Fawn Street </t>
  </si>
  <si>
    <t xml:space="preserve">Sheets # SD-05; PP-05: Gough Street, West side </t>
  </si>
  <si>
    <t xml:space="preserve">Sheets # SD-05; PP-05: S. Central Avenue and E. Pratt Street, West side </t>
  </si>
  <si>
    <t xml:space="preserve">Sheets # SD-06; PP-07: S. Central Avenue and E. Lombard Street, East side </t>
  </si>
  <si>
    <t xml:space="preserve">Sheet # SD-07: Watson Street, West side </t>
  </si>
  <si>
    <t>Pipe:</t>
  </si>
  <si>
    <t>P-1</t>
  </si>
  <si>
    <t>P-3</t>
  </si>
  <si>
    <t>P-7</t>
  </si>
  <si>
    <t>P-11</t>
  </si>
  <si>
    <t>P-16</t>
  </si>
  <si>
    <t>P-19</t>
  </si>
  <si>
    <t>P-24</t>
  </si>
  <si>
    <t>P-29</t>
  </si>
  <si>
    <t>P-33</t>
  </si>
  <si>
    <t>P-38</t>
  </si>
  <si>
    <t>P-43</t>
  </si>
  <si>
    <t>P-48</t>
  </si>
  <si>
    <t>From:</t>
  </si>
  <si>
    <t>To:</t>
  </si>
  <si>
    <r>
      <t>S</t>
    </r>
    <r>
      <rPr>
        <i/>
        <vertAlign val="subscript"/>
        <sz val="9"/>
        <rFont val="Arial"/>
        <family val="2"/>
      </rPr>
      <t>f</t>
    </r>
  </si>
  <si>
    <t>Start Elev =</t>
  </si>
  <si>
    <t>Start Elev. =</t>
  </si>
  <si>
    <t>Structure:</t>
  </si>
  <si>
    <t>@</t>
  </si>
  <si>
    <t>Crown of Pipe:</t>
  </si>
  <si>
    <t>T.G.=</t>
  </si>
  <si>
    <t>Inv. u/s =</t>
  </si>
  <si>
    <t>Losses</t>
  </si>
  <si>
    <t>hf =</t>
  </si>
  <si>
    <t>T.R.=</t>
  </si>
  <si>
    <t>Size =</t>
  </si>
  <si>
    <t>Inv. d/s =</t>
  </si>
  <si>
    <t xml:space="preserve">Bend = </t>
  </si>
  <si>
    <t>Elev.=</t>
  </si>
  <si>
    <t>A =</t>
  </si>
  <si>
    <t>Norm. Depth =</t>
  </si>
  <si>
    <r>
      <t>Q</t>
    </r>
    <r>
      <rPr>
        <vertAlign val="subscript"/>
        <sz val="9"/>
        <rFont val="Arial"/>
        <family val="2"/>
      </rPr>
      <t xml:space="preserve">2 </t>
    </r>
    <r>
      <rPr>
        <sz val="9"/>
        <rFont val="Arial"/>
        <family val="2"/>
      </rPr>
      <t>=</t>
    </r>
  </si>
  <si>
    <r>
      <t>V</t>
    </r>
    <r>
      <rPr>
        <vertAlign val="subscript"/>
        <sz val="9"/>
        <rFont val="Arial"/>
        <family val="2"/>
      </rPr>
      <t xml:space="preserve">2 </t>
    </r>
    <r>
      <rPr>
        <sz val="9"/>
        <rFont val="Arial"/>
        <family val="2"/>
      </rPr>
      <t>=</t>
    </r>
  </si>
  <si>
    <t>B =</t>
  </si>
  <si>
    <r>
      <t>Q</t>
    </r>
    <r>
      <rPr>
        <vertAlign val="subscript"/>
        <sz val="9"/>
        <rFont val="Arial"/>
        <family val="2"/>
      </rPr>
      <t xml:space="preserve">1 </t>
    </r>
    <r>
      <rPr>
        <sz val="9"/>
        <rFont val="Arial"/>
        <family val="2"/>
      </rPr>
      <t>=</t>
    </r>
  </si>
  <si>
    <r>
      <t>V</t>
    </r>
    <r>
      <rPr>
        <vertAlign val="subscript"/>
        <sz val="9"/>
        <rFont val="Arial"/>
        <family val="2"/>
      </rPr>
      <t xml:space="preserve">1 </t>
    </r>
    <r>
      <rPr>
        <sz val="9"/>
        <rFont val="Arial"/>
        <family val="2"/>
      </rPr>
      <t>=</t>
    </r>
  </si>
  <si>
    <t>C =</t>
  </si>
  <si>
    <t>Use Max --&gt;</t>
  </si>
  <si>
    <r>
      <t>Q</t>
    </r>
    <r>
      <rPr>
        <vertAlign val="subscript"/>
        <sz val="9"/>
        <rFont val="Arial"/>
        <family val="2"/>
      </rPr>
      <t xml:space="preserve">3 </t>
    </r>
    <r>
      <rPr>
        <sz val="9"/>
        <rFont val="Arial"/>
        <family val="2"/>
      </rPr>
      <t>=</t>
    </r>
  </si>
  <si>
    <r>
      <t>V</t>
    </r>
    <r>
      <rPr>
        <vertAlign val="subscript"/>
        <sz val="9"/>
        <rFont val="Arial"/>
        <family val="2"/>
      </rPr>
      <t xml:space="preserve">3 </t>
    </r>
    <r>
      <rPr>
        <sz val="9"/>
        <rFont val="Arial"/>
        <family val="2"/>
      </rPr>
      <t>=</t>
    </r>
  </si>
  <si>
    <t>D =</t>
  </si>
  <si>
    <t>Total Losses:</t>
  </si>
  <si>
    <r>
      <t>Q</t>
    </r>
    <r>
      <rPr>
        <vertAlign val="subscript"/>
        <sz val="9"/>
        <rFont val="Arial"/>
        <family val="2"/>
      </rPr>
      <t xml:space="preserve">4 </t>
    </r>
    <r>
      <rPr>
        <sz val="9"/>
        <rFont val="Arial"/>
        <family val="2"/>
      </rPr>
      <t>=</t>
    </r>
  </si>
  <si>
    <r>
      <t>V</t>
    </r>
    <r>
      <rPr>
        <vertAlign val="subscript"/>
        <sz val="9"/>
        <rFont val="Arial"/>
        <family val="2"/>
      </rPr>
      <t xml:space="preserve">4 </t>
    </r>
    <r>
      <rPr>
        <sz val="9"/>
        <rFont val="Arial"/>
        <family val="2"/>
      </rPr>
      <t>=</t>
    </r>
  </si>
  <si>
    <t>Total =</t>
  </si>
  <si>
    <t>HGL Elev:</t>
  </si>
  <si>
    <t>P-2</t>
  </si>
  <si>
    <t>P-4</t>
  </si>
  <si>
    <t>P-8</t>
  </si>
  <si>
    <t>P-12</t>
  </si>
  <si>
    <t>P-17</t>
  </si>
  <si>
    <t>P-20</t>
  </si>
  <si>
    <t>P-25</t>
  </si>
  <si>
    <t>P-30</t>
  </si>
  <si>
    <t>P-34</t>
  </si>
  <si>
    <t>P-39</t>
  </si>
  <si>
    <t>P-44</t>
  </si>
  <si>
    <t>P-49</t>
  </si>
  <si>
    <t>P-5</t>
  </si>
  <si>
    <t>P-9</t>
  </si>
  <si>
    <t>P-13</t>
  </si>
  <si>
    <t>P-18</t>
  </si>
  <si>
    <t>P-21</t>
  </si>
  <si>
    <t>P-26</t>
  </si>
  <si>
    <t>P-31</t>
  </si>
  <si>
    <t>P-35</t>
  </si>
  <si>
    <t>P-40</t>
  </si>
  <si>
    <t>P-45</t>
  </si>
  <si>
    <t>P-50</t>
  </si>
  <si>
    <t>P-6</t>
  </si>
  <si>
    <t>P-10</t>
  </si>
  <si>
    <t>P-14</t>
  </si>
  <si>
    <t>P-22</t>
  </si>
  <si>
    <t xml:space="preserve">Sheet # SD-05: S. Central Avenue and Gough Street, East side </t>
  </si>
  <si>
    <t>P-32</t>
  </si>
  <si>
    <t>P-36</t>
  </si>
  <si>
    <t>P-41</t>
  </si>
  <si>
    <t>P-46</t>
  </si>
  <si>
    <t>P-51</t>
  </si>
  <si>
    <t>P-27</t>
  </si>
  <si>
    <t>I-01</t>
  </si>
  <si>
    <t>MH-03</t>
  </si>
  <si>
    <t>P-15</t>
  </si>
  <si>
    <t>P-23</t>
  </si>
  <si>
    <t>P-37</t>
  </si>
  <si>
    <t>P-42</t>
  </si>
  <si>
    <t xml:space="preserve">Sheet # SD-06: E. Pratt Street, West side </t>
  </si>
  <si>
    <t>P-52</t>
  </si>
  <si>
    <t>P-28</t>
  </si>
  <si>
    <t>P-47</t>
  </si>
  <si>
    <t>MH-01</t>
  </si>
  <si>
    <t>T.C.=</t>
  </si>
  <si>
    <t xml:space="preserve">10-year HGL </t>
  </si>
  <si>
    <t>10-year HGL</t>
  </si>
  <si>
    <t>EX-I-23</t>
  </si>
  <si>
    <t>EX-I-22</t>
  </si>
  <si>
    <t>EX-I-20</t>
  </si>
  <si>
    <t>EX-I-21</t>
  </si>
  <si>
    <t>EX-MH-16</t>
  </si>
  <si>
    <t>EX-MH-17</t>
  </si>
  <si>
    <t>Grove Street 1111+25 LT</t>
  </si>
  <si>
    <t>Note: Formulas have been voided and flowmaster has been used and results manually inputted</t>
  </si>
  <si>
    <t>CATCH BASIN</t>
  </si>
  <si>
    <r>
      <t>Q</t>
    </r>
    <r>
      <rPr>
        <vertAlign val="subscript"/>
        <sz val="12"/>
        <rFont val="Helv"/>
      </rPr>
      <t>15</t>
    </r>
  </si>
  <si>
    <t>COMPUTATIONAL</t>
  </si>
  <si>
    <t>ALLOWABLE SPREAD</t>
  </si>
  <si>
    <t>TYPE</t>
  </si>
  <si>
    <t>PROGRAM</t>
  </si>
  <si>
    <t>EXISTING CONDITIONS</t>
  </si>
  <si>
    <t>FLOWMASTER</t>
  </si>
  <si>
    <t>I2</t>
  </si>
  <si>
    <t>OFFSITE</t>
  </si>
  <si>
    <t>ESSN Greenway</t>
  </si>
  <si>
    <t xml:space="preserve">   EXISTING INLET SPACING SPREADSHEET</t>
  </si>
  <si>
    <t>EX-MH-19/POI-3</t>
  </si>
  <si>
    <t>EX-I-6</t>
  </si>
  <si>
    <t>EX-MH-18/POI-10</t>
  </si>
  <si>
    <t>East Silver Spring Neighborhood</t>
  </si>
  <si>
    <t>25-YR</t>
  </si>
  <si>
    <t>25 Year Runoff</t>
  </si>
  <si>
    <t>I10</t>
  </si>
  <si>
    <r>
      <t>Q</t>
    </r>
    <r>
      <rPr>
        <vertAlign val="subscript"/>
        <sz val="12"/>
        <rFont val="Helv"/>
      </rPr>
      <t>10</t>
    </r>
  </si>
  <si>
    <t>STORM FREQUENCY: 10 - YEAR MOCO</t>
  </si>
  <si>
    <t>25 Year SHA</t>
  </si>
  <si>
    <t>2 yr</t>
  </si>
  <si>
    <t>Bladensburg SD-1</t>
  </si>
  <si>
    <t>KCY</t>
  </si>
  <si>
    <t xml:space="preserve"> [10+ (1300-100)/(60 * 7)]</t>
  </si>
  <si>
    <t>CULVERT</t>
  </si>
  <si>
    <t>MH-2</t>
  </si>
  <si>
    <t>MH-1</t>
  </si>
  <si>
    <t>MH-3</t>
  </si>
  <si>
    <t>PROPOSED INLET SPACING SPREADSHEET</t>
  </si>
  <si>
    <t>BladB SD-1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</si>
</sst>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"/>
    <numFmt numFmtId="166" formatCode="0.000"/>
    <numFmt numFmtId="167" formatCode="General_)"/>
    <numFmt numFmtId="168" formatCode="0.00_)"/>
    <numFmt numFmtId="169" formatCode="0.000_)"/>
    <numFmt numFmtId="170" formatCode="0.0%"/>
  </numFmts>
  <fonts count="5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bscript"/>
      <sz val="9"/>
      <name val="Arial"/>
      <family val="2"/>
    </font>
    <font>
      <sz val="10"/>
      <name val="Comic Sans MS"/>
      <family val="4"/>
    </font>
    <font>
      <sz val="9"/>
      <color indexed="56"/>
      <name val="Arial"/>
      <family val="2"/>
    </font>
    <font>
      <sz val="10"/>
      <color indexed="5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Helv"/>
    </font>
    <font>
      <b/>
      <sz val="12"/>
      <name val="Helv"/>
    </font>
    <font>
      <sz val="12"/>
      <color indexed="12"/>
      <name val="Helv"/>
    </font>
    <font>
      <b/>
      <sz val="12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color theme="3" tint="-0.249977111117893"/>
      <name val="Arial"/>
      <family val="2"/>
    </font>
    <font>
      <sz val="10"/>
      <color rgb="FF242729"/>
      <name val="Consolas"/>
      <family val="3"/>
    </font>
    <font>
      <b/>
      <sz val="10"/>
      <color indexed="8"/>
      <name val="Arial"/>
      <family val="2"/>
    </font>
    <font>
      <sz val="10"/>
      <color theme="2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u val="double"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b/>
      <sz val="20"/>
      <name val="Fixedsys"/>
      <family val="3"/>
    </font>
    <font>
      <sz val="16"/>
      <name val="Fixedsys"/>
      <family val="3"/>
    </font>
    <font>
      <b/>
      <sz val="11"/>
      <name val="Britannic Bold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GreekC"/>
    </font>
    <font>
      <b/>
      <sz val="10"/>
      <color indexed="10"/>
      <name val="Times New Roman"/>
      <family val="1"/>
    </font>
    <font>
      <sz val="10"/>
      <color rgb="FFFF0000"/>
      <name val="Times New Roman"/>
      <family val="1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9"/>
      <name val="Arial"/>
      <family val="2"/>
    </font>
    <font>
      <sz val="9"/>
      <color theme="0"/>
      <name val="Arial"/>
      <family val="2"/>
    </font>
    <font>
      <i/>
      <sz val="9"/>
      <color theme="0"/>
      <name val="Arial"/>
      <family val="2"/>
    </font>
    <font>
      <u/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bscript"/>
      <sz val="9"/>
      <color indexed="81"/>
      <name val="Tahoma"/>
      <family val="2"/>
    </font>
    <font>
      <vertAlign val="superscript"/>
      <sz val="9"/>
      <color indexed="81"/>
      <name val="Tahoma"/>
      <family val="2"/>
    </font>
    <font>
      <sz val="10"/>
      <color theme="8"/>
      <name val="Times New Roman"/>
      <family val="1"/>
    </font>
    <font>
      <sz val="10"/>
      <color theme="3" tint="0.39997558519241921"/>
      <name val="Times New Roman"/>
      <family val="1"/>
    </font>
    <font>
      <b/>
      <sz val="12"/>
      <color rgb="FFFF0000"/>
      <name val="Helv"/>
    </font>
    <font>
      <vertAlign val="subscript"/>
      <sz val="12"/>
      <name val="Helv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8">
    <xf numFmtId="0" fontId="0" fillId="0" borderId="0" applyFont="0"/>
    <xf numFmtId="167" fontId="16" fillId="0" borderId="0"/>
    <xf numFmtId="0" fontId="4" fillId="0" borderId="0" applyFont="0"/>
    <xf numFmtId="0" fontId="4" fillId="0" borderId="0"/>
    <xf numFmtId="9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72">
    <xf numFmtId="0" fontId="0" fillId="0" borderId="0" xfId="0"/>
    <xf numFmtId="0" fontId="1" fillId="0" borderId="0" xfId="0" applyFont="1"/>
    <xf numFmtId="167" fontId="16" fillId="0" borderId="0" xfId="1"/>
    <xf numFmtId="167" fontId="16" fillId="0" borderId="0" xfId="1" applyAlignment="1">
      <alignment horizontal="left"/>
    </xf>
    <xf numFmtId="167" fontId="17" fillId="0" borderId="0" xfId="1" applyFont="1" applyAlignment="1">
      <alignment horizontal="left"/>
    </xf>
    <xf numFmtId="167" fontId="18" fillId="0" borderId="24" xfId="1" applyFont="1" applyBorder="1" applyAlignment="1" applyProtection="1">
      <alignment horizontal="left"/>
      <protection locked="0"/>
    </xf>
    <xf numFmtId="167" fontId="16" fillId="0" borderId="24" xfId="1" applyBorder="1"/>
    <xf numFmtId="167" fontId="18" fillId="0" borderId="0" xfId="1" applyFont="1" applyProtection="1">
      <protection locked="0"/>
    </xf>
    <xf numFmtId="167" fontId="16" fillId="0" borderId="25" xfId="1" applyBorder="1" applyAlignment="1">
      <alignment horizontal="center"/>
    </xf>
    <xf numFmtId="167" fontId="16" fillId="0" borderId="26" xfId="1" applyBorder="1" applyAlignment="1">
      <alignment horizontal="center"/>
    </xf>
    <xf numFmtId="167" fontId="16" fillId="0" borderId="26" xfId="1" applyBorder="1"/>
    <xf numFmtId="167" fontId="16" fillId="0" borderId="27" xfId="1" applyBorder="1" applyAlignment="1">
      <alignment horizontal="center"/>
    </xf>
    <xf numFmtId="167" fontId="16" fillId="0" borderId="28" xfId="1" applyBorder="1" applyAlignment="1">
      <alignment horizontal="center"/>
    </xf>
    <xf numFmtId="167" fontId="16" fillId="0" borderId="28" xfId="1" applyBorder="1" applyAlignment="1">
      <alignment horizontal="left"/>
    </xf>
    <xf numFmtId="167" fontId="16" fillId="0" borderId="29" xfId="1" applyBorder="1"/>
    <xf numFmtId="167" fontId="16" fillId="0" borderId="30" xfId="1" applyBorder="1"/>
    <xf numFmtId="167" fontId="18" fillId="0" borderId="31" xfId="1" applyFont="1" applyBorder="1" applyAlignment="1" applyProtection="1">
      <alignment horizontal="left"/>
      <protection locked="0"/>
    </xf>
    <xf numFmtId="168" fontId="18" fillId="0" borderId="32" xfId="1" applyNumberFormat="1" applyFont="1" applyBorder="1" applyProtection="1">
      <protection locked="0"/>
    </xf>
    <xf numFmtId="169" fontId="18" fillId="0" borderId="32" xfId="1" applyNumberFormat="1" applyFont="1" applyBorder="1" applyProtection="1">
      <protection locked="0"/>
    </xf>
    <xf numFmtId="169" fontId="16" fillId="0" borderId="32" xfId="1" applyNumberFormat="1" applyBorder="1"/>
    <xf numFmtId="167" fontId="18" fillId="0" borderId="32" xfId="1" applyFont="1" applyBorder="1" applyProtection="1">
      <protection locked="0"/>
    </xf>
    <xf numFmtId="168" fontId="16" fillId="0" borderId="32" xfId="1" applyNumberFormat="1" applyBorder="1"/>
    <xf numFmtId="168" fontId="16" fillId="0" borderId="0" xfId="1" applyNumberFormat="1" applyAlignment="1">
      <alignment horizontal="left"/>
    </xf>
    <xf numFmtId="167" fontId="18" fillId="0" borderId="32" xfId="1" applyFont="1" applyBorder="1" applyAlignment="1" applyProtection="1">
      <alignment horizontal="left"/>
      <protection locked="0"/>
    </xf>
    <xf numFmtId="167" fontId="18" fillId="0" borderId="31" xfId="1" applyFont="1" applyBorder="1" applyProtection="1">
      <protection locked="0"/>
    </xf>
    <xf numFmtId="167" fontId="16" fillId="0" borderId="31" xfId="1" applyBorder="1"/>
    <xf numFmtId="167" fontId="16" fillId="0" borderId="32" xfId="1" applyBorder="1"/>
    <xf numFmtId="167" fontId="16" fillId="0" borderId="33" xfId="1" applyBorder="1" applyAlignment="1">
      <alignment horizontal="left"/>
    </xf>
    <xf numFmtId="167" fontId="16" fillId="0" borderId="34" xfId="1" applyBorder="1"/>
    <xf numFmtId="167" fontId="16" fillId="0" borderId="35" xfId="1" applyBorder="1"/>
    <xf numFmtId="167" fontId="16" fillId="0" borderId="36" xfId="1" applyBorder="1" applyAlignment="1">
      <alignment horizontal="left"/>
    </xf>
    <xf numFmtId="167" fontId="16" fillId="0" borderId="37" xfId="1" applyBorder="1"/>
    <xf numFmtId="168" fontId="16" fillId="0" borderId="0" xfId="1" applyNumberFormat="1"/>
    <xf numFmtId="167" fontId="16" fillId="0" borderId="38" xfId="1" applyBorder="1" applyAlignment="1">
      <alignment horizontal="left"/>
    </xf>
    <xf numFmtId="167" fontId="16" fillId="0" borderId="39" xfId="1" applyBorder="1"/>
    <xf numFmtId="167" fontId="16" fillId="0" borderId="40" xfId="1" applyBorder="1"/>
    <xf numFmtId="167" fontId="18" fillId="0" borderId="0" xfId="1" applyFont="1" applyAlignment="1" applyProtection="1">
      <alignment horizontal="left"/>
      <protection locked="0"/>
    </xf>
    <xf numFmtId="167" fontId="16" fillId="0" borderId="0" xfId="1" applyAlignment="1">
      <alignment horizontal="center"/>
    </xf>
    <xf numFmtId="168" fontId="18" fillId="0" borderId="0" xfId="1" applyNumberFormat="1" applyFont="1" applyProtection="1">
      <protection locked="0"/>
    </xf>
    <xf numFmtId="169" fontId="18" fillId="0" borderId="0" xfId="1" applyNumberFormat="1" applyFont="1" applyProtection="1">
      <protection locked="0"/>
    </xf>
    <xf numFmtId="169" fontId="16" fillId="0" borderId="0" xfId="1" applyNumberFormat="1"/>
    <xf numFmtId="169" fontId="16" fillId="0" borderId="0" xfId="1" applyNumberFormat="1" applyAlignment="1">
      <alignment horizontal="left"/>
    </xf>
    <xf numFmtId="0" fontId="19" fillId="0" borderId="0" xfId="3" applyFont="1" applyAlignment="1">
      <alignment horizontal="center"/>
    </xf>
    <xf numFmtId="0" fontId="4" fillId="0" borderId="0" xfId="3"/>
    <xf numFmtId="0" fontId="2" fillId="0" borderId="0" xfId="3" applyFont="1" applyAlignment="1">
      <alignment horizontal="center"/>
    </xf>
    <xf numFmtId="0" fontId="20" fillId="0" borderId="0" xfId="3" applyFont="1"/>
    <xf numFmtId="0" fontId="4" fillId="0" borderId="0" xfId="2"/>
    <xf numFmtId="0" fontId="2" fillId="0" borderId="0" xfId="2" applyFont="1"/>
    <xf numFmtId="2" fontId="4" fillId="0" borderId="0" xfId="2" applyNumberFormat="1"/>
    <xf numFmtId="0" fontId="4" fillId="0" borderId="7" xfId="2" applyBorder="1"/>
    <xf numFmtId="0" fontId="4" fillId="0" borderId="1" xfId="2" applyBorder="1"/>
    <xf numFmtId="0" fontId="4" fillId="0" borderId="18" xfId="2" quotePrefix="1" applyFont="1" applyBorder="1" applyAlignment="1">
      <alignment horizontal="center"/>
    </xf>
    <xf numFmtId="0" fontId="4" fillId="0" borderId="1" xfId="2" applyFont="1" applyBorder="1"/>
    <xf numFmtId="0" fontId="4" fillId="0" borderId="0" xfId="2" quotePrefix="1" applyFont="1" applyAlignment="1">
      <alignment horizontal="center"/>
    </xf>
    <xf numFmtId="0" fontId="4" fillId="2" borderId="4" xfId="2" applyFill="1" applyBorder="1" applyAlignment="1">
      <alignment horizontal="center" shrinkToFit="1"/>
    </xf>
    <xf numFmtId="0" fontId="4" fillId="2" borderId="17" xfId="2" applyFill="1" applyBorder="1" applyAlignment="1">
      <alignment horizontal="center" shrinkToFit="1"/>
    </xf>
    <xf numFmtId="2" fontId="4" fillId="2" borderId="4" xfId="2" applyNumberFormat="1" applyFill="1" applyBorder="1" applyAlignment="1">
      <alignment horizontal="center" shrinkToFit="1"/>
    </xf>
    <xf numFmtId="0" fontId="4" fillId="10" borderId="5" xfId="2" applyFont="1" applyFill="1" applyBorder="1" applyAlignment="1">
      <alignment horizontal="center" shrinkToFit="1"/>
    </xf>
    <xf numFmtId="0" fontId="4" fillId="10" borderId="5" xfId="2" quotePrefix="1" applyFont="1" applyFill="1" applyBorder="1" applyAlignment="1">
      <alignment horizontal="center"/>
    </xf>
    <xf numFmtId="0" fontId="4" fillId="10" borderId="5" xfId="2" applyFont="1" applyFill="1" applyBorder="1" applyAlignment="1">
      <alignment horizontal="center"/>
    </xf>
    <xf numFmtId="0" fontId="4" fillId="10" borderId="5" xfId="2" applyFill="1" applyBorder="1" applyAlignment="1">
      <alignment horizontal="center" shrinkToFit="1"/>
    </xf>
    <xf numFmtId="2" fontId="4" fillId="10" borderId="8" xfId="2" applyNumberFormat="1" applyFont="1" applyFill="1" applyBorder="1" applyAlignment="1">
      <alignment horizontal="center" shrinkToFit="1"/>
    </xf>
    <xf numFmtId="0" fontId="4" fillId="2" borderId="15" xfId="2" applyFill="1" applyBorder="1" applyAlignment="1">
      <alignment horizontal="center" shrinkToFit="1"/>
    </xf>
    <xf numFmtId="0" fontId="4" fillId="2" borderId="17" xfId="2" applyFont="1" applyFill="1" applyBorder="1" applyAlignment="1">
      <alignment horizontal="center" shrinkToFit="1"/>
    </xf>
    <xf numFmtId="0" fontId="4" fillId="10" borderId="6" xfId="2" applyFill="1" applyBorder="1" applyAlignment="1">
      <alignment horizontal="center"/>
    </xf>
    <xf numFmtId="0" fontId="4" fillId="10" borderId="6" xfId="2" applyFont="1" applyFill="1" applyBorder="1" applyAlignment="1">
      <alignment horizontal="center" shrinkToFit="1"/>
    </xf>
    <xf numFmtId="0" fontId="4" fillId="10" borderId="6" xfId="2" applyFill="1" applyBorder="1" applyAlignment="1">
      <alignment horizontal="center" shrinkToFit="1"/>
    </xf>
    <xf numFmtId="2" fontId="4" fillId="10" borderId="6" xfId="2" applyNumberFormat="1" applyFill="1" applyBorder="1" applyAlignment="1">
      <alignment horizontal="center" shrinkToFit="1"/>
    </xf>
    <xf numFmtId="0" fontId="4" fillId="2" borderId="20" xfId="2" applyFill="1" applyBorder="1" applyAlignment="1">
      <alignment horizontal="center" shrinkToFit="1"/>
    </xf>
    <xf numFmtId="0" fontId="4" fillId="2" borderId="21" xfId="2" applyFill="1" applyBorder="1" applyAlignment="1">
      <alignment horizontal="center" shrinkToFit="1"/>
    </xf>
    <xf numFmtId="2" fontId="4" fillId="2" borderId="4" xfId="2" applyNumberFormat="1" applyFont="1" applyFill="1" applyBorder="1" applyAlignment="1">
      <alignment horizontal="center" shrinkToFit="1"/>
    </xf>
    <xf numFmtId="0" fontId="4" fillId="10" borderId="12" xfId="2" applyFill="1" applyBorder="1" applyAlignment="1">
      <alignment horizontal="center"/>
    </xf>
    <xf numFmtId="0" fontId="4" fillId="10" borderId="12" xfId="2" applyFill="1" applyBorder="1"/>
    <xf numFmtId="2" fontId="4" fillId="10" borderId="12" xfId="2" applyNumberFormat="1" applyFill="1" applyBorder="1" applyAlignment="1">
      <alignment horizontal="center"/>
    </xf>
    <xf numFmtId="0" fontId="4" fillId="10" borderId="22" xfId="2" applyFill="1" applyBorder="1" applyAlignment="1">
      <alignment horizontal="center"/>
    </xf>
    <xf numFmtId="0" fontId="4" fillId="10" borderId="23" xfId="2" applyFill="1" applyBorder="1" applyAlignment="1">
      <alignment horizontal="center"/>
    </xf>
    <xf numFmtId="0" fontId="4" fillId="10" borderId="17" xfId="2" applyFont="1" applyFill="1" applyBorder="1" applyAlignment="1">
      <alignment horizontal="center"/>
    </xf>
    <xf numFmtId="0" fontId="4" fillId="10" borderId="4" xfId="2" applyFill="1" applyBorder="1" applyAlignment="1">
      <alignment horizontal="center"/>
    </xf>
    <xf numFmtId="2" fontId="4" fillId="10" borderId="16" xfId="2" applyNumberFormat="1" applyFill="1" applyBorder="1" applyAlignment="1">
      <alignment horizontal="center"/>
    </xf>
    <xf numFmtId="2" fontId="4" fillId="10" borderId="5" xfId="2" applyNumberFormat="1" applyFill="1" applyBorder="1" applyAlignment="1">
      <alignment horizontal="center"/>
    </xf>
    <xf numFmtId="2" fontId="4" fillId="3" borderId="5" xfId="2" applyNumberFormat="1" applyFill="1" applyBorder="1" applyAlignment="1">
      <alignment horizontal="center"/>
    </xf>
    <xf numFmtId="0" fontId="4" fillId="3" borderId="4" xfId="2" applyFill="1" applyBorder="1" applyAlignment="1">
      <alignment horizontal="center"/>
    </xf>
    <xf numFmtId="2" fontId="8" fillId="8" borderId="4" xfId="2" applyNumberFormat="1" applyFont="1" applyFill="1" applyBorder="1" applyAlignment="1">
      <alignment horizontal="center"/>
    </xf>
    <xf numFmtId="0" fontId="2" fillId="8" borderId="4" xfId="2" applyFont="1" applyFill="1" applyBorder="1" applyAlignment="1">
      <alignment horizontal="center" shrinkToFit="1"/>
    </xf>
    <xf numFmtId="2" fontId="12" fillId="8" borderId="4" xfId="2" applyNumberFormat="1" applyFont="1" applyFill="1" applyBorder="1" applyAlignment="1">
      <alignment horizontal="center"/>
    </xf>
    <xf numFmtId="2" fontId="4" fillId="8" borderId="4" xfId="2" applyNumberFormat="1" applyFont="1" applyFill="1" applyBorder="1" applyAlignment="1">
      <alignment horizontal="center" shrinkToFit="1"/>
    </xf>
    <xf numFmtId="0" fontId="4" fillId="8" borderId="4" xfId="2" applyFont="1" applyFill="1" applyBorder="1" applyAlignment="1">
      <alignment horizontal="center" shrinkToFit="1"/>
    </xf>
    <xf numFmtId="164" fontId="8" fillId="8" borderId="4" xfId="2" applyNumberFormat="1" applyFont="1" applyFill="1" applyBorder="1" applyAlignment="1">
      <alignment horizontal="center"/>
    </xf>
    <xf numFmtId="2" fontId="5" fillId="8" borderId="4" xfId="2" applyNumberFormat="1" applyFont="1" applyFill="1" applyBorder="1" applyAlignment="1">
      <alignment horizontal="center" shrinkToFit="1"/>
    </xf>
    <xf numFmtId="166" fontId="4" fillId="8" borderId="4" xfId="2" applyNumberFormat="1" applyFill="1" applyBorder="1" applyAlignment="1">
      <alignment horizontal="center" shrinkToFit="1"/>
    </xf>
    <xf numFmtId="166" fontId="5" fillId="8" borderId="4" xfId="2" applyNumberFormat="1" applyFont="1" applyFill="1" applyBorder="1" applyAlignment="1">
      <alignment horizontal="center" shrinkToFit="1"/>
    </xf>
    <xf numFmtId="2" fontId="4" fillId="8" borderId="4" xfId="2" applyNumberFormat="1" applyFill="1" applyBorder="1" applyAlignment="1">
      <alignment horizontal="center" shrinkToFit="1"/>
    </xf>
    <xf numFmtId="0" fontId="6" fillId="0" borderId="0" xfId="2" applyFont="1"/>
    <xf numFmtId="2" fontId="8" fillId="10" borderId="4" xfId="2" applyNumberFormat="1" applyFont="1" applyFill="1" applyBorder="1" applyAlignment="1">
      <alignment horizontal="center"/>
    </xf>
    <xf numFmtId="1" fontId="8" fillId="10" borderId="4" xfId="2" applyNumberFormat="1" applyFont="1" applyFill="1" applyBorder="1" applyAlignment="1">
      <alignment horizontal="center"/>
    </xf>
    <xf numFmtId="10" fontId="8" fillId="10" borderId="4" xfId="2" applyNumberFormat="1" applyFont="1" applyFill="1" applyBorder="1" applyAlignment="1">
      <alignment horizontal="center"/>
    </xf>
    <xf numFmtId="10" fontId="22" fillId="10" borderId="4" xfId="2" applyNumberFormat="1" applyFont="1" applyFill="1" applyBorder="1" applyAlignment="1">
      <alignment horizontal="center" shrinkToFit="1"/>
    </xf>
    <xf numFmtId="2" fontId="5" fillId="6" borderId="4" xfId="2" applyNumberFormat="1" applyFont="1" applyFill="1" applyBorder="1" applyAlignment="1">
      <alignment horizontal="center" shrinkToFit="1"/>
    </xf>
    <xf numFmtId="2" fontId="5" fillId="7" borderId="4" xfId="2" applyNumberFormat="1" applyFont="1" applyFill="1" applyBorder="1" applyAlignment="1">
      <alignment horizontal="center" shrinkToFit="1"/>
    </xf>
    <xf numFmtId="2" fontId="7" fillId="7" borderId="4" xfId="2" applyNumberFormat="1" applyFont="1" applyFill="1" applyBorder="1" applyAlignment="1">
      <alignment horizontal="center" shrinkToFit="1"/>
    </xf>
    <xf numFmtId="0" fontId="4" fillId="0" borderId="4" xfId="2" applyBorder="1"/>
    <xf numFmtId="0" fontId="21" fillId="0" borderId="41" xfId="2" applyFont="1" applyBorder="1" applyAlignment="1">
      <alignment horizontal="center"/>
    </xf>
    <xf numFmtId="0" fontId="4" fillId="0" borderId="42" xfId="2" applyFont="1" applyBorder="1" applyAlignment="1">
      <alignment horizontal="center"/>
    </xf>
    <xf numFmtId="0" fontId="4" fillId="0" borderId="41" xfId="2" applyFont="1" applyBorder="1" applyAlignment="1">
      <alignment horizontal="center"/>
    </xf>
    <xf numFmtId="2" fontId="5" fillId="0" borderId="4" xfId="2" applyNumberFormat="1" applyFont="1" applyBorder="1" applyAlignment="1">
      <alignment horizontal="center" shrinkToFit="1"/>
    </xf>
    <xf numFmtId="2" fontId="4" fillId="0" borderId="4" xfId="2" applyNumberFormat="1" applyBorder="1"/>
    <xf numFmtId="0" fontId="8" fillId="0" borderId="4" xfId="2" applyFont="1" applyBorder="1" applyAlignment="1">
      <alignment horizontal="left"/>
    </xf>
    <xf numFmtId="0" fontId="8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shrinkToFit="1"/>
    </xf>
    <xf numFmtId="2" fontId="4" fillId="0" borderId="4" xfId="2" applyNumberFormat="1" applyFont="1" applyBorder="1" applyAlignment="1">
      <alignment horizontal="center" shrinkToFit="1"/>
    </xf>
    <xf numFmtId="0" fontId="4" fillId="0" borderId="4" xfId="2" applyFont="1" applyBorder="1" applyAlignment="1">
      <alignment horizontal="center" shrinkToFit="1"/>
    </xf>
    <xf numFmtId="10" fontId="5" fillId="0" borderId="4" xfId="2" applyNumberFormat="1" applyFont="1" applyBorder="1" applyAlignment="1">
      <alignment horizontal="center" shrinkToFit="1"/>
    </xf>
    <xf numFmtId="166" fontId="4" fillId="0" borderId="4" xfId="2" applyNumberFormat="1" applyFont="1" applyBorder="1" applyAlignment="1">
      <alignment horizontal="center" shrinkToFit="1"/>
    </xf>
    <xf numFmtId="166" fontId="5" fillId="0" borderId="4" xfId="2" applyNumberFormat="1" applyFont="1" applyBorder="1" applyAlignment="1">
      <alignment horizontal="center" shrinkToFit="1"/>
    </xf>
    <xf numFmtId="1" fontId="22" fillId="10" borderId="4" xfId="2" applyNumberFormat="1" applyFont="1" applyFill="1" applyBorder="1" applyAlignment="1">
      <alignment horizontal="center" shrinkToFit="1"/>
    </xf>
    <xf numFmtId="2" fontId="7" fillId="0" borderId="4" xfId="2" applyNumberFormat="1" applyFont="1" applyBorder="1" applyAlignment="1">
      <alignment horizontal="center" shrinkToFit="1"/>
    </xf>
    <xf numFmtId="0" fontId="4" fillId="10" borderId="16" xfId="2" applyFill="1" applyBorder="1" applyAlignment="1">
      <alignment horizontal="center" shrinkToFit="1"/>
    </xf>
    <xf numFmtId="0" fontId="4" fillId="10" borderId="1" xfId="2" applyFill="1" applyBorder="1" applyAlignment="1">
      <alignment horizontal="center" shrinkToFit="1"/>
    </xf>
    <xf numFmtId="0" fontId="4" fillId="10" borderId="44" xfId="2" applyFill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18" xfId="2" applyFont="1" applyBorder="1" applyAlignment="1">
      <alignment horizontal="center"/>
    </xf>
    <xf numFmtId="0" fontId="4" fillId="0" borderId="0" xfId="3" applyAlignment="1">
      <alignment horizontal="center"/>
    </xf>
    <xf numFmtId="0" fontId="23" fillId="0" borderId="0" xfId="3" applyFont="1" applyAlignment="1">
      <alignment horizontal="center" vertical="center"/>
    </xf>
    <xf numFmtId="0" fontId="23" fillId="0" borderId="0" xfId="3" applyFont="1" applyAlignment="1">
      <alignment horizontal="left" vertical="center"/>
    </xf>
    <xf numFmtId="2" fontId="1" fillId="0" borderId="0" xfId="0" applyNumberFormat="1" applyFont="1" applyAlignment="1">
      <alignment horizontal="center"/>
    </xf>
    <xf numFmtId="2" fontId="4" fillId="11" borderId="4" xfId="2" applyNumberFormat="1" applyFill="1" applyBorder="1" applyAlignment="1">
      <alignment horizontal="center" shrinkToFit="1"/>
    </xf>
    <xf numFmtId="0" fontId="4" fillId="11" borderId="4" xfId="2" applyFill="1" applyBorder="1" applyAlignment="1">
      <alignment horizontal="center" shrinkToFit="1"/>
    </xf>
    <xf numFmtId="0" fontId="4" fillId="2" borderId="17" xfId="2" quotePrefix="1" applyFill="1" applyBorder="1" applyAlignment="1">
      <alignment horizontal="center" shrinkToFit="1"/>
    </xf>
    <xf numFmtId="0" fontId="2" fillId="2" borderId="17" xfId="2" applyFont="1" applyFill="1" applyBorder="1" applyAlignment="1">
      <alignment horizontal="center" shrinkToFit="1"/>
    </xf>
    <xf numFmtId="0" fontId="24" fillId="0" borderId="42" xfId="2" applyFont="1" applyBorder="1" applyAlignment="1">
      <alignment horizontal="center"/>
    </xf>
    <xf numFmtId="0" fontId="2" fillId="0" borderId="42" xfId="2" applyFont="1" applyBorder="1" applyAlignment="1">
      <alignment horizontal="center"/>
    </xf>
    <xf numFmtId="0" fontId="4" fillId="0" borderId="42" xfId="2" quotePrefix="1" applyFont="1" applyBorder="1" applyAlignment="1">
      <alignment horizontal="center"/>
    </xf>
    <xf numFmtId="0" fontId="2" fillId="0" borderId="42" xfId="2" quotePrefix="1" applyFont="1" applyBorder="1" applyAlignment="1">
      <alignment horizontal="center"/>
    </xf>
    <xf numFmtId="2" fontId="5" fillId="11" borderId="4" xfId="2" applyNumberFormat="1" applyFont="1" applyFill="1" applyBorder="1" applyAlignment="1">
      <alignment horizontal="center" shrinkToFit="1"/>
    </xf>
    <xf numFmtId="0" fontId="25" fillId="2" borderId="4" xfId="2" applyFont="1" applyFill="1" applyBorder="1" applyAlignment="1">
      <alignment horizontal="center" shrinkToFit="1"/>
    </xf>
    <xf numFmtId="165" fontId="5" fillId="11" borderId="4" xfId="2" applyNumberFormat="1" applyFont="1" applyFill="1" applyBorder="1" applyAlignment="1">
      <alignment horizontal="center" shrinkToFit="1"/>
    </xf>
    <xf numFmtId="2" fontId="4" fillId="0" borderId="0" xfId="3" applyNumberFormat="1"/>
    <xf numFmtId="2" fontId="4" fillId="0" borderId="0" xfId="3" applyNumberFormat="1" applyAlignment="1">
      <alignment horizontal="center"/>
    </xf>
    <xf numFmtId="16" fontId="36" fillId="0" borderId="54" xfId="0" applyNumberFormat="1" applyFont="1" applyBorder="1" applyAlignment="1" applyProtection="1">
      <alignment horizontal="center" vertical="center"/>
      <protection locked="0"/>
    </xf>
    <xf numFmtId="16" fontId="36" fillId="0" borderId="22" xfId="0" applyNumberFormat="1" applyFont="1" applyBorder="1" applyAlignment="1" applyProtection="1">
      <alignment horizontal="center" vertical="center"/>
      <protection locked="0"/>
    </xf>
    <xf numFmtId="0" fontId="36" fillId="0" borderId="54" xfId="0" applyFont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10" fontId="36" fillId="0" borderId="12" xfId="0" applyNumberFormat="1" applyFont="1" applyBorder="1" applyAlignment="1" applyProtection="1">
      <alignment horizontal="center" vertical="center"/>
      <protection locked="0"/>
    </xf>
    <xf numFmtId="0" fontId="0" fillId="8" borderId="0" xfId="0" applyFill="1" applyAlignment="1">
      <alignment horizontal="centerContinuous"/>
    </xf>
    <xf numFmtId="166" fontId="0" fillId="8" borderId="0" xfId="0" applyNumberFormat="1" applyFill="1" applyAlignment="1">
      <alignment horizontal="centerContinuous"/>
    </xf>
    <xf numFmtId="0" fontId="31" fillId="8" borderId="0" xfId="0" applyFont="1" applyFill="1"/>
    <xf numFmtId="0" fontId="0" fillId="8" borderId="0" xfId="0" applyFill="1"/>
    <xf numFmtId="166" fontId="0" fillId="8" borderId="0" xfId="0" applyNumberFormat="1" applyFill="1"/>
    <xf numFmtId="0" fontId="1" fillId="8" borderId="0" xfId="0" applyFont="1" applyFill="1"/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left"/>
    </xf>
    <xf numFmtId="0" fontId="34" fillId="8" borderId="0" xfId="0" applyFont="1" applyFill="1" applyAlignment="1">
      <alignment horizontal="right"/>
    </xf>
    <xf numFmtId="2" fontId="0" fillId="8" borderId="0" xfId="0" applyNumberFormat="1" applyFill="1"/>
    <xf numFmtId="0" fontId="36" fillId="8" borderId="0" xfId="0" applyFont="1" applyFill="1"/>
    <xf numFmtId="0" fontId="36" fillId="8" borderId="0" xfId="0" applyFont="1" applyFill="1" applyAlignment="1">
      <alignment horizontal="left"/>
    </xf>
    <xf numFmtId="0" fontId="36" fillId="8" borderId="0" xfId="0" applyFont="1" applyFill="1" applyAlignment="1">
      <alignment horizontal="center"/>
    </xf>
    <xf numFmtId="0" fontId="36" fillId="8" borderId="0" xfId="0" applyFont="1" applyFill="1" applyAlignment="1">
      <alignment horizontal="center" vertical="center"/>
    </xf>
    <xf numFmtId="0" fontId="36" fillId="8" borderId="55" xfId="0" applyFont="1" applyFill="1" applyBorder="1" applyAlignment="1">
      <alignment horizontal="center" vertical="center"/>
    </xf>
    <xf numFmtId="2" fontId="36" fillId="8" borderId="54" xfId="0" applyNumberFormat="1" applyFont="1" applyFill="1" applyBorder="1" applyAlignment="1" applyProtection="1">
      <alignment horizontal="center" vertical="center"/>
      <protection locked="0"/>
    </xf>
    <xf numFmtId="2" fontId="37" fillId="8" borderId="12" xfId="0" applyNumberFormat="1" applyFont="1" applyFill="1" applyBorder="1" applyAlignment="1" applyProtection="1">
      <alignment horizontal="center" vertical="center"/>
      <protection locked="0"/>
    </xf>
    <xf numFmtId="166" fontId="37" fillId="8" borderId="22" xfId="0" quotePrefix="1" applyNumberFormat="1" applyFont="1" applyFill="1" applyBorder="1" applyAlignment="1" applyProtection="1">
      <alignment horizontal="center" vertical="center"/>
      <protection locked="0"/>
    </xf>
    <xf numFmtId="166" fontId="37" fillId="8" borderId="3" xfId="0" quotePrefix="1" applyNumberFormat="1" applyFont="1" applyFill="1" applyBorder="1" applyAlignment="1" applyProtection="1">
      <alignment horizontal="center" vertical="center"/>
      <protection locked="0"/>
    </xf>
    <xf numFmtId="2" fontId="36" fillId="8" borderId="12" xfId="0" applyNumberFormat="1" applyFont="1" applyFill="1" applyBorder="1" applyAlignment="1" applyProtection="1">
      <alignment horizontal="center" vertical="center"/>
      <protection locked="0"/>
    </xf>
    <xf numFmtId="168" fontId="36" fillId="8" borderId="22" xfId="0" applyNumberFormat="1" applyFont="1" applyFill="1" applyBorder="1" applyAlignment="1" applyProtection="1">
      <alignment horizontal="center" vertical="center"/>
      <protection locked="0"/>
    </xf>
    <xf numFmtId="168" fontId="36" fillId="8" borderId="12" xfId="0" applyNumberFormat="1" applyFont="1" applyFill="1" applyBorder="1" applyAlignment="1" applyProtection="1">
      <alignment horizontal="center" vertical="center"/>
      <protection locked="0" hidden="1"/>
    </xf>
    <xf numFmtId="168" fontId="36" fillId="8" borderId="22" xfId="0" applyNumberFormat="1" applyFont="1" applyFill="1" applyBorder="1" applyAlignment="1" applyProtection="1">
      <alignment horizontal="center" vertical="center"/>
      <protection locked="0" hidden="1"/>
    </xf>
    <xf numFmtId="165" fontId="36" fillId="8" borderId="54" xfId="0" applyNumberFormat="1" applyFont="1" applyFill="1" applyBorder="1" applyAlignment="1" applyProtection="1">
      <alignment horizontal="center" vertical="center"/>
      <protection locked="0" hidden="1"/>
    </xf>
    <xf numFmtId="170" fontId="36" fillId="8" borderId="22" xfId="0" applyNumberFormat="1" applyFont="1" applyFill="1" applyBorder="1" applyAlignment="1" applyProtection="1">
      <alignment horizontal="center" vertical="center"/>
      <protection locked="0" hidden="1"/>
    </xf>
    <xf numFmtId="0" fontId="36" fillId="8" borderId="0" xfId="0" applyFont="1" applyFill="1" applyAlignment="1" applyProtection="1">
      <alignment horizontal="center"/>
      <protection locked="0" hidden="1"/>
    </xf>
    <xf numFmtId="0" fontId="36" fillId="8" borderId="0" xfId="0" applyFont="1" applyFill="1" applyAlignment="1" applyProtection="1">
      <alignment horizontal="center"/>
      <protection hidden="1"/>
    </xf>
    <xf numFmtId="164" fontId="36" fillId="8" borderId="0" xfId="0" applyNumberFormat="1" applyFont="1" applyFill="1" applyAlignment="1" applyProtection="1">
      <alignment horizontal="center"/>
      <protection hidden="1"/>
    </xf>
    <xf numFmtId="168" fontId="36" fillId="8" borderId="0" xfId="0" applyNumberFormat="1" applyFont="1" applyFill="1" applyAlignment="1" applyProtection="1">
      <alignment horizontal="center"/>
      <protection hidden="1"/>
    </xf>
    <xf numFmtId="166" fontId="36" fillId="8" borderId="0" xfId="0" applyNumberFormat="1" applyFont="1" applyFill="1" applyAlignment="1" applyProtection="1">
      <alignment horizontal="center"/>
      <protection hidden="1"/>
    </xf>
    <xf numFmtId="164" fontId="36" fillId="8" borderId="0" xfId="0" applyNumberFormat="1" applyFont="1" applyFill="1" applyProtection="1">
      <protection locked="0" hidden="1"/>
    </xf>
    <xf numFmtId="0" fontId="36" fillId="8" borderId="0" xfId="0" applyFont="1" applyFill="1" applyProtection="1">
      <protection locked="0" hidden="1"/>
    </xf>
    <xf numFmtId="168" fontId="37" fillId="8" borderId="0" xfId="0" applyNumberFormat="1" applyFont="1" applyFill="1" applyAlignment="1" applyProtection="1">
      <alignment horizontal="center" vertical="center"/>
      <protection locked="0" hidden="1"/>
    </xf>
    <xf numFmtId="0" fontId="36" fillId="8" borderId="0" xfId="0" applyFont="1" applyFill="1" applyProtection="1">
      <protection locked="0"/>
    </xf>
    <xf numFmtId="166" fontId="36" fillId="8" borderId="57" xfId="0" quotePrefix="1" applyNumberFormat="1" applyFont="1" applyFill="1" applyBorder="1" applyAlignment="1" applyProtection="1">
      <alignment horizontal="center" vertical="center"/>
      <protection locked="0"/>
    </xf>
    <xf numFmtId="2" fontId="36" fillId="8" borderId="12" xfId="0" quotePrefix="1" applyNumberFormat="1" applyFont="1" applyFill="1" applyBorder="1" applyAlignment="1" applyProtection="1">
      <alignment horizontal="center" vertical="center"/>
      <protection locked="0"/>
    </xf>
    <xf numFmtId="168" fontId="36" fillId="8" borderId="57" xfId="0" applyNumberFormat="1" applyFont="1" applyFill="1" applyBorder="1" applyAlignment="1" applyProtection="1">
      <alignment horizontal="center" vertical="center"/>
      <protection locked="0"/>
    </xf>
    <xf numFmtId="168" fontId="36" fillId="8" borderId="4" xfId="0" applyNumberFormat="1" applyFont="1" applyFill="1" applyBorder="1" applyAlignment="1" applyProtection="1">
      <alignment horizontal="center" vertical="center"/>
      <protection locked="0" hidden="1"/>
    </xf>
    <xf numFmtId="168" fontId="36" fillId="8" borderId="57" xfId="0" applyNumberFormat="1" applyFont="1" applyFill="1" applyBorder="1" applyAlignment="1" applyProtection="1">
      <alignment horizontal="center" vertical="center"/>
      <protection locked="0" hidden="1"/>
    </xf>
    <xf numFmtId="165" fontId="36" fillId="8" borderId="58" xfId="0" applyNumberFormat="1" applyFont="1" applyFill="1" applyBorder="1" applyAlignment="1" applyProtection="1">
      <alignment horizontal="center" vertical="center"/>
      <protection locked="0" hidden="1"/>
    </xf>
    <xf numFmtId="170" fontId="36" fillId="8" borderId="57" xfId="0" applyNumberFormat="1" applyFont="1" applyFill="1" applyBorder="1" applyAlignment="1" applyProtection="1">
      <alignment horizontal="center" vertical="center"/>
      <protection locked="0" hidden="1"/>
    </xf>
    <xf numFmtId="166" fontId="36" fillId="8" borderId="22" xfId="0" quotePrefix="1" applyNumberFormat="1" applyFont="1" applyFill="1" applyBorder="1" applyAlignment="1" applyProtection="1">
      <alignment horizontal="center" vertical="center"/>
      <protection locked="0"/>
    </xf>
    <xf numFmtId="166" fontId="37" fillId="8" borderId="21" xfId="0" quotePrefix="1" applyNumberFormat="1" applyFont="1" applyFill="1" applyBorder="1" applyAlignment="1" applyProtection="1">
      <alignment horizontal="center" vertical="center"/>
      <protection locked="0"/>
    </xf>
    <xf numFmtId="0" fontId="35" fillId="9" borderId="51" xfId="0" applyFont="1" applyFill="1" applyBorder="1" applyAlignment="1">
      <alignment horizontal="centerContinuous" vertical="center"/>
    </xf>
    <xf numFmtId="0" fontId="35" fillId="9" borderId="52" xfId="0" applyFont="1" applyFill="1" applyBorder="1" applyAlignment="1">
      <alignment horizontal="centerContinuous" vertical="center"/>
    </xf>
    <xf numFmtId="0" fontId="35" fillId="9" borderId="19" xfId="0" applyFont="1" applyFill="1" applyBorder="1" applyAlignment="1">
      <alignment horizontal="centerContinuous" vertical="center"/>
    </xf>
    <xf numFmtId="166" fontId="35" fillId="9" borderId="52" xfId="0" applyNumberFormat="1" applyFont="1" applyFill="1" applyBorder="1" applyAlignment="1">
      <alignment horizontal="centerContinuous" vertical="center"/>
    </xf>
    <xf numFmtId="166" fontId="35" fillId="9" borderId="53" xfId="0" applyNumberFormat="1" applyFont="1" applyFill="1" applyBorder="1" applyAlignment="1">
      <alignment horizontal="centerContinuous" vertical="center"/>
    </xf>
    <xf numFmtId="0" fontId="37" fillId="9" borderId="13" xfId="0" applyFont="1" applyFill="1" applyBorder="1" applyAlignment="1">
      <alignment horizontal="center" vertical="center"/>
    </xf>
    <xf numFmtId="0" fontId="37" fillId="9" borderId="15" xfId="0" applyFont="1" applyFill="1" applyBorder="1" applyAlignment="1">
      <alignment horizontal="center" vertical="center"/>
    </xf>
    <xf numFmtId="0" fontId="37" fillId="9" borderId="5" xfId="0" applyFont="1" applyFill="1" applyBorder="1" applyAlignment="1">
      <alignment horizontal="center" vertical="center"/>
    </xf>
    <xf numFmtId="166" fontId="37" fillId="9" borderId="15" xfId="0" applyNumberFormat="1" applyFont="1" applyFill="1" applyBorder="1" applyAlignment="1">
      <alignment horizontal="center" vertical="center"/>
    </xf>
    <xf numFmtId="166" fontId="37" fillId="9" borderId="2" xfId="0" applyNumberFormat="1" applyFont="1" applyFill="1" applyBorder="1" applyAlignment="1">
      <alignment horizontal="center" vertical="center"/>
    </xf>
    <xf numFmtId="0" fontId="37" fillId="9" borderId="10" xfId="0" applyFont="1" applyFill="1" applyBorder="1" applyAlignment="1">
      <alignment horizontal="center" vertical="center"/>
    </xf>
    <xf numFmtId="0" fontId="37" fillId="9" borderId="20" xfId="0" applyFont="1" applyFill="1" applyBorder="1" applyAlignment="1">
      <alignment horizontal="center" vertical="center"/>
    </xf>
    <xf numFmtId="0" fontId="37" fillId="9" borderId="6" xfId="0" applyFont="1" applyFill="1" applyBorder="1" applyAlignment="1">
      <alignment horizontal="center" vertical="center"/>
    </xf>
    <xf numFmtId="166" fontId="38" fillId="9" borderId="20" xfId="0" applyNumberFormat="1" applyFont="1" applyFill="1" applyBorder="1" applyAlignment="1">
      <alignment horizontal="center" vertical="center"/>
    </xf>
    <xf numFmtId="166" fontId="38" fillId="9" borderId="0" xfId="0" applyNumberFormat="1" applyFont="1" applyFill="1" applyAlignment="1">
      <alignment horizontal="center" vertical="center"/>
    </xf>
    <xf numFmtId="0" fontId="39" fillId="9" borderId="6" xfId="0" applyFont="1" applyFill="1" applyBorder="1" applyAlignment="1">
      <alignment horizontal="center" vertical="center"/>
    </xf>
    <xf numFmtId="166" fontId="37" fillId="9" borderId="20" xfId="0" applyNumberFormat="1" applyFont="1" applyFill="1" applyBorder="1" applyAlignment="1">
      <alignment horizontal="center" vertical="center"/>
    </xf>
    <xf numFmtId="166" fontId="37" fillId="9" borderId="0" xfId="0" applyNumberFormat="1" applyFont="1" applyFill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39" fillId="9" borderId="10" xfId="0" applyFont="1" applyFill="1" applyBorder="1" applyAlignment="1">
      <alignment horizontal="center" vertical="center"/>
    </xf>
    <xf numFmtId="0" fontId="37" fillId="9" borderId="54" xfId="0" applyFont="1" applyFill="1" applyBorder="1" applyAlignment="1">
      <alignment horizontal="center" vertical="center"/>
    </xf>
    <xf numFmtId="0" fontId="37" fillId="9" borderId="22" xfId="0" applyFont="1" applyFill="1" applyBorder="1" applyAlignment="1">
      <alignment horizontal="center" vertical="center"/>
    </xf>
    <xf numFmtId="0" fontId="37" fillId="9" borderId="12" xfId="0" applyFont="1" applyFill="1" applyBorder="1" applyAlignment="1">
      <alignment horizontal="center" vertical="center"/>
    </xf>
    <xf numFmtId="166" fontId="37" fillId="9" borderId="22" xfId="0" applyNumberFormat="1" applyFont="1" applyFill="1" applyBorder="1" applyAlignment="1">
      <alignment horizontal="center" vertical="center"/>
    </xf>
    <xf numFmtId="166" fontId="37" fillId="9" borderId="3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center" vertical="center"/>
    </xf>
    <xf numFmtId="0" fontId="39" fillId="9" borderId="12" xfId="0" applyFont="1" applyFill="1" applyBorder="1" applyAlignment="1">
      <alignment horizontal="center" vertical="center"/>
    </xf>
    <xf numFmtId="2" fontId="36" fillId="9" borderId="56" xfId="0" quotePrefix="1" applyNumberFormat="1" applyFont="1" applyFill="1" applyBorder="1" applyAlignment="1" applyProtection="1">
      <alignment horizontal="center" vertical="center"/>
      <protection locked="0"/>
    </xf>
    <xf numFmtId="166" fontId="36" fillId="9" borderId="12" xfId="0" quotePrefix="1" applyNumberFormat="1" applyFont="1" applyFill="1" applyBorder="1" applyAlignment="1" applyProtection="1">
      <alignment horizontal="center" vertical="center"/>
      <protection locked="0"/>
    </xf>
    <xf numFmtId="2" fontId="36" fillId="9" borderId="12" xfId="0" applyNumberFormat="1" applyFont="1" applyFill="1" applyBorder="1" applyAlignment="1" applyProtection="1">
      <alignment horizontal="center" vertical="center"/>
      <protection locked="0"/>
    </xf>
    <xf numFmtId="2" fontId="36" fillId="9" borderId="12" xfId="0" quotePrefix="1" applyNumberFormat="1" applyFont="1" applyFill="1" applyBorder="1" applyAlignment="1" applyProtection="1">
      <alignment horizontal="center" vertical="center"/>
      <protection locked="0"/>
    </xf>
    <xf numFmtId="2" fontId="36" fillId="9" borderId="59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4" applyNumberFormat="1" applyFont="1" applyAlignment="1">
      <alignment horizontal="center"/>
    </xf>
    <xf numFmtId="166" fontId="36" fillId="8" borderId="12" xfId="0" applyNumberFormat="1" applyFont="1" applyFill="1" applyBorder="1" applyAlignment="1" applyProtection="1">
      <alignment horizontal="center" vertical="center"/>
      <protection locked="0"/>
    </xf>
    <xf numFmtId="166" fontId="36" fillId="8" borderId="12" xfId="0" quotePrefix="1" applyNumberFormat="1" applyFont="1" applyFill="1" applyBorder="1" applyAlignment="1" applyProtection="1">
      <alignment horizontal="center" vertical="center"/>
      <protection locked="0"/>
    </xf>
    <xf numFmtId="166" fontId="37" fillId="8" borderId="12" xfId="0" applyNumberFormat="1" applyFont="1" applyFill="1" applyBorder="1" applyAlignment="1" applyProtection="1">
      <alignment horizontal="center" vertical="center"/>
      <protection locked="0"/>
    </xf>
    <xf numFmtId="166" fontId="36" fillId="9" borderId="56" xfId="0" quotePrefix="1" applyNumberFormat="1" applyFont="1" applyFill="1" applyBorder="1" applyAlignment="1" applyProtection="1">
      <alignment horizontal="center" vertical="center"/>
      <protection locked="0"/>
    </xf>
    <xf numFmtId="0" fontId="1" fillId="0" borderId="0" xfId="3" applyFont="1"/>
    <xf numFmtId="0" fontId="35" fillId="9" borderId="51" xfId="0" applyFont="1" applyFill="1" applyBorder="1" applyAlignment="1">
      <alignment horizontal="center" vertical="center"/>
    </xf>
    <xf numFmtId="0" fontId="35" fillId="9" borderId="52" xfId="0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/>
    </xf>
    <xf numFmtId="0" fontId="19" fillId="8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3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 vertical="top"/>
    </xf>
    <xf numFmtId="166" fontId="36" fillId="8" borderId="3" xfId="0" quotePrefix="1" applyNumberFormat="1" applyFont="1" applyFill="1" applyBorder="1" applyAlignment="1" applyProtection="1">
      <alignment horizontal="center" vertical="center"/>
      <protection locked="0"/>
    </xf>
    <xf numFmtId="2" fontId="0" fillId="8" borderId="0" xfId="0" applyNumberFormat="1" applyFill="1" applyAlignment="1">
      <alignment horizontal="centerContinuous"/>
    </xf>
    <xf numFmtId="2" fontId="0" fillId="8" borderId="0" xfId="0" applyNumberFormat="1" applyFill="1" applyAlignment="1">
      <alignment horizontal="left" vertical="center" wrapText="1"/>
    </xf>
    <xf numFmtId="2" fontId="35" fillId="9" borderId="19" xfId="0" applyNumberFormat="1" applyFont="1" applyFill="1" applyBorder="1" applyAlignment="1">
      <alignment horizontal="centerContinuous" vertical="center"/>
    </xf>
    <xf numFmtId="2" fontId="37" fillId="9" borderId="5" xfId="0" applyNumberFormat="1" applyFont="1" applyFill="1" applyBorder="1" applyAlignment="1">
      <alignment horizontal="center" vertical="center"/>
    </xf>
    <xf numFmtId="2" fontId="39" fillId="9" borderId="6" xfId="0" applyNumberFormat="1" applyFont="1" applyFill="1" applyBorder="1" applyAlignment="1">
      <alignment horizontal="center" vertical="center"/>
    </xf>
    <xf numFmtId="2" fontId="39" fillId="9" borderId="12" xfId="0" applyNumberFormat="1" applyFont="1" applyFill="1" applyBorder="1" applyAlignment="1">
      <alignment horizontal="center" vertical="center"/>
    </xf>
    <xf numFmtId="2" fontId="36" fillId="0" borderId="12" xfId="0" applyNumberFormat="1" applyFont="1" applyBorder="1" applyAlignment="1" applyProtection="1">
      <alignment horizontal="center" vertical="center"/>
      <protection locked="0"/>
    </xf>
    <xf numFmtId="2" fontId="39" fillId="9" borderId="6" xfId="0" applyNumberFormat="1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/>
    </xf>
    <xf numFmtId="16" fontId="8" fillId="0" borderId="4" xfId="0" applyNumberFormat="1" applyFont="1" applyBorder="1" applyAlignment="1">
      <alignment horizontal="center"/>
    </xf>
    <xf numFmtId="0" fontId="1" fillId="0" borderId="0" xfId="5"/>
    <xf numFmtId="0" fontId="36" fillId="8" borderId="55" xfId="0" applyFont="1" applyFill="1" applyBorder="1" applyAlignment="1">
      <alignment horizontal="center" vertical="center" wrapText="1"/>
    </xf>
    <xf numFmtId="0" fontId="1" fillId="0" borderId="0" xfId="2" applyFont="1"/>
    <xf numFmtId="170" fontId="40" fillId="8" borderId="57" xfId="0" applyNumberFormat="1" applyFont="1" applyFill="1" applyBorder="1" applyAlignment="1" applyProtection="1">
      <alignment horizontal="center" vertical="center"/>
      <protection locked="0" hidden="1"/>
    </xf>
    <xf numFmtId="0" fontId="20" fillId="11" borderId="0" xfId="6" applyFont="1" applyFill="1" applyAlignment="1">
      <alignment vertical="center"/>
    </xf>
    <xf numFmtId="0" fontId="8" fillId="11" borderId="0" xfId="6" applyFont="1" applyFill="1" applyAlignment="1">
      <alignment vertical="center"/>
    </xf>
    <xf numFmtId="0" fontId="8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8" fillId="12" borderId="0" xfId="6" applyFont="1" applyFill="1" applyAlignment="1">
      <alignment vertical="center"/>
    </xf>
    <xf numFmtId="0" fontId="8" fillId="0" borderId="0" xfId="6" applyFont="1" applyAlignment="1">
      <alignment horizontal="center" vertical="center"/>
    </xf>
    <xf numFmtId="0" fontId="8" fillId="0" borderId="0" xfId="6" applyFont="1" applyAlignment="1">
      <alignment horizontal="right" vertical="center"/>
    </xf>
    <xf numFmtId="0" fontId="43" fillId="0" borderId="0" xfId="6" applyFont="1" applyAlignment="1">
      <alignment horizontal="center" vertical="center"/>
    </xf>
    <xf numFmtId="2" fontId="8" fillId="0" borderId="0" xfId="6" applyNumberFormat="1" applyFont="1" applyAlignment="1">
      <alignment horizontal="center" vertical="center"/>
    </xf>
    <xf numFmtId="0" fontId="8" fillId="0" borderId="60" xfId="6" applyFont="1" applyBorder="1" applyAlignment="1">
      <alignment horizontal="right" vertical="center"/>
    </xf>
    <xf numFmtId="16" fontId="8" fillId="5" borderId="9" xfId="6" applyNumberFormat="1" applyFont="1" applyFill="1" applyBorder="1" applyAlignment="1">
      <alignment vertical="center"/>
    </xf>
    <xf numFmtId="0" fontId="8" fillId="0" borderId="9" xfId="6" applyFont="1" applyBorder="1" applyAlignment="1">
      <alignment horizontal="right" vertical="center"/>
    </xf>
    <xf numFmtId="0" fontId="43" fillId="0" borderId="9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8" fillId="0" borderId="9" xfId="6" applyFont="1" applyBorder="1" applyAlignment="1">
      <alignment vertical="center"/>
    </xf>
    <xf numFmtId="0" fontId="9" fillId="0" borderId="9" xfId="6" applyFont="1" applyBorder="1" applyAlignment="1">
      <alignment horizontal="right" vertical="center"/>
    </xf>
    <xf numFmtId="2" fontId="8" fillId="0" borderId="61" xfId="6" applyNumberFormat="1" applyFont="1" applyBorder="1" applyAlignment="1">
      <alignment horizontal="center" vertical="center"/>
    </xf>
    <xf numFmtId="16" fontId="8" fillId="0" borderId="0" xfId="6" applyNumberFormat="1" applyFont="1" applyAlignment="1">
      <alignment vertical="center"/>
    </xf>
    <xf numFmtId="0" fontId="45" fillId="0" borderId="0" xfId="6" applyFont="1" applyAlignment="1">
      <alignment horizontal="center" vertical="center"/>
    </xf>
    <xf numFmtId="164" fontId="45" fillId="0" borderId="0" xfId="6" applyNumberFormat="1" applyFont="1" applyAlignment="1">
      <alignment horizontal="center" vertical="center"/>
    </xf>
    <xf numFmtId="0" fontId="8" fillId="0" borderId="62" xfId="6" applyFont="1" applyBorder="1" applyAlignment="1">
      <alignment vertical="center"/>
    </xf>
    <xf numFmtId="0" fontId="8" fillId="3" borderId="0" xfId="6" applyFont="1" applyFill="1" applyAlignment="1">
      <alignment vertical="center"/>
    </xf>
    <xf numFmtId="0" fontId="8" fillId="0" borderId="63" xfId="6" applyFont="1" applyBorder="1" applyAlignment="1">
      <alignment horizontal="center" vertical="center"/>
    </xf>
    <xf numFmtId="2" fontId="8" fillId="0" borderId="63" xfId="6" applyNumberFormat="1" applyFont="1" applyBorder="1" applyAlignment="1">
      <alignment horizontal="center" vertical="center"/>
    </xf>
    <xf numFmtId="0" fontId="8" fillId="0" borderId="64" xfId="6" applyFont="1" applyBorder="1" applyAlignment="1">
      <alignment vertical="center"/>
    </xf>
    <xf numFmtId="2" fontId="43" fillId="0" borderId="0" xfId="6" applyNumberFormat="1" applyFont="1" applyAlignment="1">
      <alignment horizontal="center" vertical="center"/>
    </xf>
    <xf numFmtId="0" fontId="9" fillId="0" borderId="62" xfId="6" applyFont="1" applyBorder="1" applyAlignment="1">
      <alignment horizontal="right" vertical="center"/>
    </xf>
    <xf numFmtId="2" fontId="43" fillId="0" borderId="3" xfId="6" applyNumberFormat="1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8" fillId="0" borderId="62" xfId="6" applyFont="1" applyBorder="1" applyAlignment="1">
      <alignment horizontal="right" vertical="center"/>
    </xf>
    <xf numFmtId="0" fontId="43" fillId="0" borderId="3" xfId="6" applyFont="1" applyBorder="1" applyAlignment="1">
      <alignment horizontal="center" vertical="center"/>
    </xf>
    <xf numFmtId="2" fontId="8" fillId="0" borderId="3" xfId="6" applyNumberFormat="1" applyFont="1" applyBorder="1" applyAlignment="1">
      <alignment horizontal="center" vertical="center"/>
    </xf>
    <xf numFmtId="0" fontId="8" fillId="0" borderId="0" xfId="6" applyFont="1" applyAlignment="1">
      <alignment horizontal="left" vertical="center"/>
    </xf>
    <xf numFmtId="0" fontId="8" fillId="0" borderId="18" xfId="6" applyFont="1" applyBorder="1" applyAlignment="1">
      <alignment horizontal="center" vertical="center"/>
    </xf>
    <xf numFmtId="2" fontId="8" fillId="0" borderId="18" xfId="6" applyNumberFormat="1" applyFont="1" applyBorder="1" applyAlignment="1">
      <alignment horizontal="center" vertical="center"/>
    </xf>
    <xf numFmtId="2" fontId="8" fillId="0" borderId="65" xfId="6" applyNumberFormat="1" applyFont="1" applyBorder="1" applyAlignment="1">
      <alignment horizontal="center" vertical="center"/>
    </xf>
    <xf numFmtId="2" fontId="8" fillId="0" borderId="0" xfId="6" applyNumberFormat="1" applyFont="1" applyAlignment="1">
      <alignment vertical="center"/>
    </xf>
    <xf numFmtId="2" fontId="8" fillId="0" borderId="3" xfId="6" applyNumberFormat="1" applyFont="1" applyBorder="1" applyAlignment="1">
      <alignment vertical="center"/>
    </xf>
    <xf numFmtId="2" fontId="8" fillId="0" borderId="18" xfId="6" applyNumberFormat="1" applyFont="1" applyBorder="1" applyAlignment="1">
      <alignment vertical="center"/>
    </xf>
    <xf numFmtId="0" fontId="8" fillId="0" borderId="11" xfId="6" applyFont="1" applyBorder="1" applyAlignment="1">
      <alignment vertical="center"/>
    </xf>
    <xf numFmtId="0" fontId="43" fillId="0" borderId="0" xfId="6" applyFont="1" applyAlignment="1">
      <alignment horizontal="right" vertical="center"/>
    </xf>
    <xf numFmtId="2" fontId="8" fillId="0" borderId="2" xfId="6" applyNumberFormat="1" applyFont="1" applyBorder="1" applyAlignment="1">
      <alignment vertical="center"/>
    </xf>
    <xf numFmtId="2" fontId="9" fillId="0" borderId="0" xfId="6" applyNumberFormat="1" applyFont="1" applyAlignment="1">
      <alignment horizontal="center" vertical="center"/>
    </xf>
    <xf numFmtId="0" fontId="8" fillId="0" borderId="66" xfId="6" applyFont="1" applyBorder="1" applyAlignment="1">
      <alignment horizontal="right" vertical="center"/>
    </xf>
    <xf numFmtId="10" fontId="8" fillId="0" borderId="47" xfId="6" applyNumberFormat="1" applyFont="1" applyBorder="1" applyAlignment="1">
      <alignment vertical="center"/>
    </xf>
    <xf numFmtId="0" fontId="8" fillId="0" borderId="47" xfId="6" applyFont="1" applyBorder="1" applyAlignment="1">
      <alignment vertical="center"/>
    </xf>
    <xf numFmtId="0" fontId="8" fillId="0" borderId="47" xfId="6" applyFont="1" applyBorder="1" applyAlignment="1">
      <alignment horizontal="right" vertical="center"/>
    </xf>
    <xf numFmtId="2" fontId="9" fillId="0" borderId="67" xfId="6" applyNumberFormat="1" applyFont="1" applyBorder="1" applyAlignment="1">
      <alignment horizontal="center" vertical="center"/>
    </xf>
    <xf numFmtId="0" fontId="8" fillId="0" borderId="66" xfId="6" applyFont="1" applyBorder="1" applyAlignment="1">
      <alignment vertical="center"/>
    </xf>
    <xf numFmtId="0" fontId="9" fillId="0" borderId="0" xfId="6" applyFont="1" applyAlignment="1">
      <alignment horizontal="center" vertical="center"/>
    </xf>
    <xf numFmtId="16" fontId="3" fillId="0" borderId="0" xfId="6" applyNumberFormat="1" applyFont="1" applyAlignment="1">
      <alignment vertical="center"/>
    </xf>
    <xf numFmtId="0" fontId="8" fillId="0" borderId="2" xfId="6" applyFont="1" applyBorder="1" applyAlignment="1">
      <alignment vertical="center"/>
    </xf>
    <xf numFmtId="164" fontId="8" fillId="0" borderId="47" xfId="6" applyNumberFormat="1" applyFont="1" applyBorder="1" applyAlignment="1">
      <alignment vertical="center"/>
    </xf>
    <xf numFmtId="0" fontId="46" fillId="0" borderId="0" xfId="6" applyFont="1" applyAlignment="1">
      <alignment horizontal="right" vertical="center"/>
    </xf>
    <xf numFmtId="16" fontId="46" fillId="0" borderId="0" xfId="6" applyNumberFormat="1" applyFont="1" applyAlignment="1">
      <alignment vertical="center"/>
    </xf>
    <xf numFmtId="0" fontId="47" fillId="0" borderId="0" xfId="6" applyFont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0" xfId="6" applyFont="1" applyAlignment="1">
      <alignment vertical="center"/>
    </xf>
    <xf numFmtId="2" fontId="46" fillId="0" borderId="0" xfId="6" applyNumberFormat="1" applyFont="1" applyAlignment="1">
      <alignment horizontal="center" vertical="center"/>
    </xf>
    <xf numFmtId="0" fontId="48" fillId="0" borderId="0" xfId="6" applyFont="1" applyAlignment="1">
      <alignment horizontal="center" vertical="center"/>
    </xf>
    <xf numFmtId="164" fontId="48" fillId="0" borderId="0" xfId="6" applyNumberFormat="1" applyFont="1" applyAlignment="1">
      <alignment horizontal="center" vertical="center"/>
    </xf>
    <xf numFmtId="2" fontId="46" fillId="0" borderId="0" xfId="6" applyNumberFormat="1" applyFont="1" applyAlignment="1">
      <alignment vertical="center"/>
    </xf>
    <xf numFmtId="165" fontId="8" fillId="0" borderId="0" xfId="6" applyNumberFormat="1" applyFont="1" applyAlignment="1">
      <alignment vertical="center"/>
    </xf>
    <xf numFmtId="0" fontId="47" fillId="0" borderId="0" xfId="6" applyFont="1" applyAlignment="1">
      <alignment horizontal="right" vertical="center"/>
    </xf>
    <xf numFmtId="2" fontId="49" fillId="0" borderId="0" xfId="6" applyNumberFormat="1" applyFont="1" applyAlignment="1">
      <alignment horizontal="center" vertical="center"/>
    </xf>
    <xf numFmtId="2" fontId="45" fillId="0" borderId="0" xfId="6" applyNumberFormat="1" applyFont="1" applyAlignment="1">
      <alignment horizontal="center" vertical="center"/>
    </xf>
    <xf numFmtId="2" fontId="47" fillId="0" borderId="0" xfId="6" applyNumberFormat="1" applyFont="1" applyAlignment="1">
      <alignment horizontal="center" vertical="center"/>
    </xf>
    <xf numFmtId="1" fontId="45" fillId="0" borderId="0" xfId="6" applyNumberFormat="1" applyFont="1" applyAlignment="1">
      <alignment horizontal="center" vertical="center"/>
    </xf>
    <xf numFmtId="0" fontId="36" fillId="0" borderId="4" xfId="0" applyFont="1" applyBorder="1" applyAlignment="1" applyProtection="1">
      <alignment horizontal="center" vertical="center"/>
      <protection locked="0"/>
    </xf>
    <xf numFmtId="10" fontId="54" fillId="0" borderId="12" xfId="0" applyNumberFormat="1" applyFont="1" applyBorder="1" applyAlignment="1" applyProtection="1">
      <alignment horizontal="center" vertical="center"/>
      <protection locked="0"/>
    </xf>
    <xf numFmtId="2" fontId="54" fillId="0" borderId="12" xfId="0" applyNumberFormat="1" applyFont="1" applyBorder="1" applyAlignment="1" applyProtection="1">
      <alignment horizontal="center" vertical="center"/>
      <protection locked="0"/>
    </xf>
    <xf numFmtId="2" fontId="55" fillId="0" borderId="12" xfId="0" applyNumberFormat="1" applyFont="1" applyBorder="1" applyAlignment="1" applyProtection="1">
      <alignment horizontal="center" vertical="center"/>
      <protection locked="0"/>
    </xf>
    <xf numFmtId="166" fontId="36" fillId="9" borderId="59" xfId="0" quotePrefix="1" applyNumberFormat="1" applyFont="1" applyFill="1" applyBorder="1" applyAlignment="1" applyProtection="1">
      <alignment horizontal="center" vertical="center"/>
      <protection locked="0"/>
    </xf>
    <xf numFmtId="166" fontId="36" fillId="9" borderId="4" xfId="0" quotePrefix="1" applyNumberFormat="1" applyFont="1" applyFill="1" applyBorder="1" applyAlignment="1" applyProtection="1">
      <alignment horizontal="center" vertical="center"/>
      <protection locked="0"/>
    </xf>
    <xf numFmtId="16" fontId="36" fillId="0" borderId="4" xfId="0" applyNumberFormat="1" applyFont="1" applyBorder="1" applyAlignment="1" applyProtection="1">
      <alignment horizontal="center" vertical="center"/>
      <protection locked="0"/>
    </xf>
    <xf numFmtId="16" fontId="36" fillId="0" borderId="45" xfId="0" applyNumberFormat="1" applyFont="1" applyBorder="1" applyAlignment="1" applyProtection="1">
      <alignment horizontal="center" vertical="center"/>
      <protection locked="0"/>
    </xf>
    <xf numFmtId="16" fontId="36" fillId="0" borderId="58" xfId="0" applyNumberFormat="1" applyFont="1" applyBorder="1" applyAlignment="1" applyProtection="1">
      <alignment horizontal="center" vertical="center"/>
      <protection locked="0"/>
    </xf>
    <xf numFmtId="16" fontId="36" fillId="0" borderId="57" xfId="0" applyNumberFormat="1" applyFont="1" applyBorder="1" applyAlignment="1" applyProtection="1">
      <alignment horizontal="center" vertical="center"/>
      <protection locked="0"/>
    </xf>
    <xf numFmtId="167" fontId="56" fillId="0" borderId="0" xfId="1" applyFont="1"/>
    <xf numFmtId="167" fontId="18" fillId="0" borderId="24" xfId="1" quotePrefix="1" applyFont="1" applyBorder="1" applyAlignment="1" applyProtection="1">
      <alignment horizontal="left"/>
      <protection locked="0"/>
    </xf>
    <xf numFmtId="168" fontId="16" fillId="0" borderId="0" xfId="1" applyNumberFormat="1" applyAlignment="1">
      <alignment horizontal="center"/>
    </xf>
    <xf numFmtId="2" fontId="18" fillId="0" borderId="32" xfId="1" applyNumberFormat="1" applyFont="1" applyBorder="1" applyProtection="1">
      <protection locked="0"/>
    </xf>
    <xf numFmtId="167" fontId="2" fillId="0" borderId="0" xfId="1" applyFont="1" applyAlignment="1">
      <alignment vertical="center"/>
    </xf>
    <xf numFmtId="167" fontId="20" fillId="0" borderId="0" xfId="1" applyFont="1"/>
    <xf numFmtId="167" fontId="20" fillId="0" borderId="0" xfId="1" applyFont="1" applyAlignment="1">
      <alignment vertical="top"/>
    </xf>
    <xf numFmtId="167" fontId="2" fillId="0" borderId="0" xfId="1" applyFont="1" applyAlignment="1">
      <alignment horizontal="left" vertical="top" wrapText="1"/>
    </xf>
    <xf numFmtId="167" fontId="2" fillId="0" borderId="0" xfId="1" applyFont="1" applyAlignment="1">
      <alignment horizontal="left" vertical="top"/>
    </xf>
    <xf numFmtId="2" fontId="2" fillId="0" borderId="0" xfId="1" quotePrefix="1" applyNumberFormat="1" applyFont="1" applyAlignment="1">
      <alignment horizontal="left" vertical="top"/>
    </xf>
    <xf numFmtId="167" fontId="26" fillId="0" borderId="47" xfId="1" applyFont="1" applyBorder="1"/>
    <xf numFmtId="167" fontId="20" fillId="0" borderId="48" xfId="1" applyFont="1" applyBorder="1" applyAlignment="1">
      <alignment horizontal="center" vertical="center"/>
    </xf>
    <xf numFmtId="167" fontId="26" fillId="0" borderId="9" xfId="1" applyFont="1" applyBorder="1"/>
    <xf numFmtId="167" fontId="20" fillId="0" borderId="9" xfId="1" applyFont="1" applyBorder="1"/>
    <xf numFmtId="167" fontId="20" fillId="0" borderId="46" xfId="1" applyFont="1" applyBorder="1"/>
    <xf numFmtId="14" fontId="1" fillId="0" borderId="48" xfId="1" applyNumberFormat="1" applyFont="1" applyBorder="1" applyAlignment="1">
      <alignment horizontal="center" vertical="center"/>
    </xf>
    <xf numFmtId="167" fontId="26" fillId="0" borderId="49" xfId="1" applyFont="1" applyBorder="1"/>
    <xf numFmtId="167" fontId="20" fillId="0" borderId="49" xfId="1" applyFont="1" applyBorder="1"/>
    <xf numFmtId="167" fontId="20" fillId="0" borderId="50" xfId="1" applyFont="1" applyBorder="1"/>
    <xf numFmtId="167" fontId="20" fillId="0" borderId="4" xfId="1" applyFont="1" applyBorder="1" applyAlignment="1">
      <alignment horizontal="center" vertical="center" wrapText="1"/>
    </xf>
    <xf numFmtId="167" fontId="20" fillId="0" borderId="4" xfId="1" applyFont="1" applyBorder="1" applyAlignment="1">
      <alignment horizontal="center" wrapText="1"/>
    </xf>
    <xf numFmtId="167" fontId="20" fillId="0" borderId="4" xfId="1" applyFont="1" applyBorder="1" applyAlignment="1">
      <alignment horizontal="center" vertical="center"/>
    </xf>
    <xf numFmtId="167" fontId="1" fillId="0" borderId="4" xfId="1" quotePrefix="1" applyFont="1" applyBorder="1" applyAlignment="1">
      <alignment horizontal="center" vertical="center"/>
    </xf>
    <xf numFmtId="2" fontId="20" fillId="0" borderId="4" xfId="1" applyNumberFormat="1" applyFont="1" applyBorder="1" applyAlignment="1">
      <alignment horizontal="center" vertical="center"/>
    </xf>
    <xf numFmtId="10" fontId="20" fillId="0" borderId="4" xfId="1" quotePrefix="1" applyNumberFormat="1" applyFont="1" applyBorder="1" applyAlignment="1">
      <alignment horizontal="center" vertical="center"/>
    </xf>
    <xf numFmtId="2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Border="1" applyAlignment="1">
      <alignment horizontal="center" vertical="center"/>
    </xf>
    <xf numFmtId="167" fontId="1" fillId="0" borderId="4" xfId="1" applyFont="1" applyBorder="1" applyAlignment="1">
      <alignment horizontal="center" vertical="center"/>
    </xf>
    <xf numFmtId="167" fontId="26" fillId="0" borderId="0" xfId="1" applyFont="1" applyAlignment="1">
      <alignment horizontal="center" vertical="center"/>
    </xf>
    <xf numFmtId="2" fontId="20" fillId="0" borderId="12" xfId="1" applyNumberFormat="1" applyFont="1" applyBorder="1" applyAlignment="1">
      <alignment horizontal="center" vertical="center"/>
    </xf>
    <xf numFmtId="167" fontId="20" fillId="0" borderId="0" xfId="1" applyFont="1" applyAlignment="1">
      <alignment horizontal="center" vertical="center"/>
    </xf>
    <xf numFmtId="2" fontId="20" fillId="0" borderId="1" xfId="1" applyNumberFormat="1" applyFont="1" applyBorder="1"/>
    <xf numFmtId="167" fontId="2" fillId="0" borderId="0" xfId="1" applyFont="1" applyAlignment="1">
      <alignment horizontal="right" vertical="center"/>
    </xf>
    <xf numFmtId="2" fontId="27" fillId="0" borderId="0" xfId="1" applyNumberFormat="1" applyFont="1" applyAlignment="1">
      <alignment horizontal="center" vertical="center"/>
    </xf>
    <xf numFmtId="167" fontId="28" fillId="0" borderId="0" xfId="1" applyFont="1" applyAlignment="1">
      <alignment vertical="center"/>
    </xf>
    <xf numFmtId="167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center"/>
    </xf>
    <xf numFmtId="167" fontId="18" fillId="0" borderId="31" xfId="1" applyFont="1" applyBorder="1" applyAlignment="1" applyProtection="1">
      <alignment horizontal="center"/>
      <protection locked="0"/>
    </xf>
    <xf numFmtId="167" fontId="18" fillId="0" borderId="32" xfId="1" applyFont="1" applyBorder="1" applyAlignment="1" applyProtection="1">
      <alignment horizontal="center"/>
      <protection locked="0"/>
    </xf>
    <xf numFmtId="168" fontId="18" fillId="0" borderId="32" xfId="1" applyNumberFormat="1" applyFont="1" applyBorder="1" applyAlignment="1" applyProtection="1">
      <alignment horizontal="center"/>
      <protection locked="0"/>
    </xf>
    <xf numFmtId="2" fontId="18" fillId="0" borderId="32" xfId="1" applyNumberFormat="1" applyFont="1" applyBorder="1" applyAlignment="1" applyProtection="1">
      <alignment horizontal="center"/>
      <protection locked="0"/>
    </xf>
    <xf numFmtId="169" fontId="18" fillId="0" borderId="32" xfId="1" applyNumberFormat="1" applyFont="1" applyBorder="1" applyAlignment="1" applyProtection="1">
      <alignment horizontal="center"/>
      <protection locked="0"/>
    </xf>
    <xf numFmtId="169" fontId="16" fillId="0" borderId="32" xfId="1" applyNumberFormat="1" applyBorder="1" applyAlignment="1">
      <alignment horizontal="center"/>
    </xf>
    <xf numFmtId="168" fontId="16" fillId="0" borderId="32" xfId="1" applyNumberFormat="1" applyBorder="1" applyAlignment="1">
      <alignment horizontal="center"/>
    </xf>
    <xf numFmtId="167" fontId="18" fillId="0" borderId="31" xfId="1" quotePrefix="1" applyFont="1" applyBorder="1" applyAlignment="1" applyProtection="1">
      <alignment horizontal="center"/>
      <protection locked="0"/>
    </xf>
    <xf numFmtId="166" fontId="18" fillId="0" borderId="32" xfId="1" applyNumberFormat="1" applyFont="1" applyBorder="1" applyAlignment="1" applyProtection="1">
      <alignment horizontal="center"/>
      <protection locked="0"/>
    </xf>
    <xf numFmtId="0" fontId="1" fillId="0" borderId="0" xfId="3" applyFont="1" applyAlignment="1">
      <alignment horizontal="center" vertical="center"/>
    </xf>
    <xf numFmtId="2" fontId="2" fillId="11" borderId="0" xfId="0" applyNumberFormat="1" applyFont="1" applyFill="1" applyAlignment="1">
      <alignment horizontal="center"/>
    </xf>
    <xf numFmtId="0" fontId="2" fillId="11" borderId="0" xfId="3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7" fontId="18" fillId="0" borderId="31" xfId="1" applyFont="1" applyBorder="1" applyAlignment="1" applyProtection="1">
      <alignment horizontal="center" vertical="center"/>
      <protection locked="0"/>
    </xf>
    <xf numFmtId="167" fontId="18" fillId="0" borderId="32" xfId="1" applyFont="1" applyBorder="1" applyAlignment="1" applyProtection="1">
      <alignment horizontal="center" vertical="center"/>
      <protection locked="0"/>
    </xf>
    <xf numFmtId="168" fontId="18" fillId="0" borderId="32" xfId="1" applyNumberFormat="1" applyFont="1" applyBorder="1" applyAlignment="1" applyProtection="1">
      <alignment horizontal="center" vertical="center"/>
      <protection locked="0"/>
    </xf>
    <xf numFmtId="2" fontId="18" fillId="0" borderId="32" xfId="1" applyNumberFormat="1" applyFont="1" applyBorder="1" applyAlignment="1" applyProtection="1">
      <alignment horizontal="center" vertical="center"/>
      <protection locked="0"/>
    </xf>
    <xf numFmtId="169" fontId="16" fillId="0" borderId="32" xfId="1" applyNumberFormat="1" applyBorder="1" applyAlignment="1">
      <alignment horizontal="center" vertical="center"/>
    </xf>
    <xf numFmtId="168" fontId="16" fillId="0" borderId="32" xfId="1" applyNumberFormat="1" applyBorder="1" applyAlignment="1">
      <alignment horizontal="center" vertical="center"/>
    </xf>
    <xf numFmtId="168" fontId="16" fillId="0" borderId="0" xfId="1" applyNumberFormat="1" applyAlignment="1">
      <alignment horizontal="center" vertical="center"/>
    </xf>
    <xf numFmtId="167" fontId="16" fillId="0" borderId="0" xfId="1" applyAlignment="1">
      <alignment horizontal="center" vertical="center"/>
    </xf>
    <xf numFmtId="0" fontId="4" fillId="2" borderId="71" xfId="2" applyFill="1" applyBorder="1" applyAlignment="1">
      <alignment horizontal="center" shrinkToFit="1"/>
    </xf>
    <xf numFmtId="0" fontId="1" fillId="0" borderId="0" xfId="3" applyFont="1" applyAlignment="1">
      <alignment horizontal="center"/>
    </xf>
    <xf numFmtId="167" fontId="26" fillId="11" borderId="0" xfId="1" applyFont="1" applyFill="1"/>
    <xf numFmtId="167" fontId="20" fillId="11" borderId="0" xfId="1" applyFont="1" applyFill="1"/>
    <xf numFmtId="167" fontId="26" fillId="0" borderId="0" xfId="1" applyFont="1"/>
    <xf numFmtId="14" fontId="1" fillId="0" borderId="0" xfId="1" applyNumberFormat="1" applyFont="1" applyAlignment="1">
      <alignment horizontal="center" vertical="center"/>
    </xf>
    <xf numFmtId="167" fontId="20" fillId="0" borderId="0" xfId="1" applyFont="1" applyAlignment="1">
      <alignment horizontal="center" vertical="center" wrapText="1"/>
    </xf>
    <xf numFmtId="167" fontId="20" fillId="0" borderId="0" xfId="1" applyFont="1" applyAlignment="1">
      <alignment horizontal="center" wrapText="1"/>
    </xf>
    <xf numFmtId="167" fontId="1" fillId="0" borderId="0" xfId="1" quotePrefix="1" applyFont="1" applyAlignment="1">
      <alignment horizontal="center" vertical="center"/>
    </xf>
    <xf numFmtId="1" fontId="20" fillId="11" borderId="0" xfId="1" applyNumberFormat="1" applyFont="1" applyFill="1" applyAlignment="1">
      <alignment horizontal="center" vertical="center"/>
    </xf>
    <xf numFmtId="2" fontId="20" fillId="0" borderId="0" xfId="1" applyNumberFormat="1" applyFont="1" applyAlignment="1">
      <alignment horizontal="center" vertical="center"/>
    </xf>
    <xf numFmtId="2" fontId="20" fillId="11" borderId="0" xfId="1" applyNumberFormat="1" applyFont="1" applyFill="1" applyAlignment="1">
      <alignment horizontal="center" vertical="center"/>
    </xf>
    <xf numFmtId="10" fontId="20" fillId="0" borderId="0" xfId="1" quotePrefix="1" applyNumberFormat="1" applyFont="1" applyAlignment="1">
      <alignment horizontal="center" vertical="center"/>
    </xf>
    <xf numFmtId="1" fontId="20" fillId="11" borderId="0" xfId="1" applyNumberFormat="1" applyFont="1" applyFill="1" applyAlignment="1">
      <alignment horizontal="center" vertical="center" wrapText="1"/>
    </xf>
    <xf numFmtId="2" fontId="20" fillId="11" borderId="0" xfId="1" applyNumberFormat="1" applyFont="1" applyFill="1" applyAlignment="1">
      <alignment horizontal="center" vertical="center" wrapText="1"/>
    </xf>
    <xf numFmtId="2" fontId="20" fillId="0" borderId="0" xfId="1" applyNumberFormat="1" applyFont="1" applyAlignment="1">
      <alignment horizontal="center" vertical="center" wrapText="1"/>
    </xf>
    <xf numFmtId="166" fontId="20" fillId="0" borderId="0" xfId="1" applyNumberFormat="1" applyFont="1" applyAlignment="1">
      <alignment horizontal="center" vertical="center"/>
    </xf>
    <xf numFmtId="167" fontId="1" fillId="0" borderId="0" xfId="1" applyFont="1" applyAlignment="1">
      <alignment horizontal="center" vertical="center"/>
    </xf>
    <xf numFmtId="2" fontId="20" fillId="0" borderId="0" xfId="1" applyNumberFormat="1" applyFont="1"/>
    <xf numFmtId="0" fontId="1" fillId="11" borderId="0" xfId="0" applyFont="1" applyFill="1"/>
    <xf numFmtId="167" fontId="20" fillId="11" borderId="0" xfId="1" applyFont="1" applyFill="1" applyAlignment="1">
      <alignment horizontal="center" vertical="center"/>
    </xf>
    <xf numFmtId="167" fontId="20" fillId="11" borderId="0" xfId="1" applyFont="1" applyFill="1" applyAlignment="1">
      <alignment horizontal="right"/>
    </xf>
    <xf numFmtId="165" fontId="20" fillId="11" borderId="0" xfId="1" applyNumberFormat="1" applyFont="1" applyFill="1" applyAlignment="1">
      <alignment horizontal="center"/>
    </xf>
    <xf numFmtId="1" fontId="2" fillId="0" borderId="0" xfId="1" quotePrefix="1" applyNumberFormat="1" applyFont="1" applyAlignment="1">
      <alignment horizontal="left" vertical="top"/>
    </xf>
    <xf numFmtId="16" fontId="36" fillId="0" borderId="3" xfId="0" applyNumberFormat="1" applyFont="1" applyBorder="1" applyAlignment="1" applyProtection="1">
      <alignment horizontal="center" vertical="center"/>
      <protection locked="0"/>
    </xf>
    <xf numFmtId="0" fontId="1" fillId="0" borderId="68" xfId="7" applyBorder="1" applyAlignment="1">
      <alignment horizontal="center"/>
    </xf>
    <xf numFmtId="0" fontId="1" fillId="0" borderId="69" xfId="7" applyBorder="1" applyAlignment="1">
      <alignment horizontal="center"/>
    </xf>
    <xf numFmtId="0" fontId="1" fillId="0" borderId="70" xfId="7" applyBorder="1" applyAlignment="1">
      <alignment horizontal="center"/>
    </xf>
    <xf numFmtId="2" fontId="20" fillId="0" borderId="0" xfId="1" applyNumberFormat="1" applyFont="1" applyAlignment="1">
      <alignment horizontal="center" vertical="center"/>
    </xf>
    <xf numFmtId="167" fontId="2" fillId="0" borderId="0" xfId="1" applyFont="1" applyAlignment="1">
      <alignment horizontal="left" vertical="top" wrapText="1"/>
    </xf>
    <xf numFmtId="167" fontId="20" fillId="0" borderId="0" xfId="1" applyFont="1" applyAlignment="1">
      <alignment horizontal="center" vertical="center" wrapText="1"/>
    </xf>
    <xf numFmtId="167" fontId="20" fillId="0" borderId="0" xfId="1" applyFont="1" applyAlignment="1">
      <alignment horizontal="center" vertical="center"/>
    </xf>
    <xf numFmtId="167" fontId="1" fillId="0" borderId="0" xfId="1" applyFont="1" applyAlignment="1">
      <alignment horizontal="center" vertical="center" wrapText="1"/>
    </xf>
    <xf numFmtId="2" fontId="20" fillId="0" borderId="43" xfId="1" applyNumberFormat="1" applyFont="1" applyBorder="1" applyAlignment="1">
      <alignment horizontal="center" vertical="center"/>
    </xf>
    <xf numFmtId="2" fontId="20" fillId="0" borderId="17" xfId="1" applyNumberFormat="1" applyFont="1" applyBorder="1" applyAlignment="1">
      <alignment horizontal="center" vertical="center"/>
    </xf>
    <xf numFmtId="167" fontId="20" fillId="0" borderId="16" xfId="1" applyFont="1" applyBorder="1" applyAlignment="1">
      <alignment horizontal="center" vertical="center" wrapText="1"/>
    </xf>
    <xf numFmtId="167" fontId="20" fillId="0" borderId="14" xfId="1" applyFont="1" applyBorder="1" applyAlignment="1">
      <alignment horizontal="center" vertical="center" wrapText="1"/>
    </xf>
    <xf numFmtId="167" fontId="20" fillId="0" borderId="44" xfId="1" applyFont="1" applyBorder="1" applyAlignment="1">
      <alignment horizontal="center" vertical="center" wrapText="1"/>
    </xf>
    <xf numFmtId="167" fontId="20" fillId="0" borderId="45" xfId="1" applyFont="1" applyBorder="1" applyAlignment="1">
      <alignment horizontal="center" vertical="center" wrapText="1"/>
    </xf>
    <xf numFmtId="167" fontId="20" fillId="0" borderId="5" xfId="1" applyFont="1" applyBorder="1" applyAlignment="1">
      <alignment horizontal="center" vertical="center" wrapText="1"/>
    </xf>
    <xf numFmtId="167" fontId="20" fillId="0" borderId="12" xfId="1" applyFont="1" applyBorder="1" applyAlignment="1">
      <alignment horizontal="center" vertical="center" wrapText="1"/>
    </xf>
    <xf numFmtId="167" fontId="20" fillId="0" borderId="5" xfId="1" applyFont="1" applyBorder="1" applyAlignment="1">
      <alignment horizontal="center" vertical="center"/>
    </xf>
    <xf numFmtId="167" fontId="20" fillId="0" borderId="12" xfId="1" applyFont="1" applyBorder="1" applyAlignment="1">
      <alignment horizontal="center" vertical="center"/>
    </xf>
    <xf numFmtId="167" fontId="1" fillId="0" borderId="43" xfId="1" applyFont="1" applyBorder="1" applyAlignment="1">
      <alignment horizontal="center" vertical="center" wrapText="1"/>
    </xf>
    <xf numFmtId="167" fontId="1" fillId="0" borderId="17" xfId="1" applyFont="1" applyBorder="1" applyAlignment="1">
      <alignment horizontal="center" vertical="center" wrapText="1"/>
    </xf>
    <xf numFmtId="167" fontId="20" fillId="11" borderId="5" xfId="1" applyFont="1" applyFill="1" applyBorder="1" applyAlignment="1">
      <alignment horizontal="center" vertical="center" wrapText="1"/>
    </xf>
    <xf numFmtId="167" fontId="20" fillId="11" borderId="12" xfId="1" applyFont="1" applyFill="1" applyBorder="1" applyAlignment="1">
      <alignment horizontal="center" vertical="center" wrapText="1"/>
    </xf>
    <xf numFmtId="2" fontId="20" fillId="11" borderId="0" xfId="1" applyNumberFormat="1" applyFont="1" applyFill="1" applyAlignment="1">
      <alignment horizontal="center" vertical="center"/>
    </xf>
    <xf numFmtId="0" fontId="0" fillId="8" borderId="0" xfId="0" applyFill="1" applyAlignment="1">
      <alignment horizontal="left" vertical="center" wrapText="1"/>
    </xf>
    <xf numFmtId="0" fontId="35" fillId="9" borderId="51" xfId="0" applyFont="1" applyFill="1" applyBorder="1" applyAlignment="1">
      <alignment horizontal="center" vertical="center"/>
    </xf>
    <xf numFmtId="0" fontId="35" fillId="9" borderId="52" xfId="0" applyFont="1" applyFill="1" applyBorder="1" applyAlignment="1">
      <alignment horizontal="center" vertical="center"/>
    </xf>
    <xf numFmtId="0" fontId="4" fillId="0" borderId="0" xfId="2" applyFont="1" applyAlignment="1">
      <alignment horizontal="center" shrinkToFit="1"/>
    </xf>
    <xf numFmtId="0" fontId="4" fillId="0" borderId="3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1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14" fontId="4" fillId="0" borderId="3" xfId="2" quotePrefix="1" applyNumberFormat="1" applyFont="1" applyBorder="1" applyAlignment="1">
      <alignment horizontal="center"/>
    </xf>
    <xf numFmtId="0" fontId="11" fillId="4" borderId="43" xfId="0" applyFont="1" applyFill="1" applyBorder="1" applyAlignment="1">
      <alignment horizontal="center" shrinkToFit="1"/>
    </xf>
    <xf numFmtId="0" fontId="11" fillId="4" borderId="18" xfId="0" applyFont="1" applyFill="1" applyBorder="1" applyAlignment="1">
      <alignment horizontal="center" shrinkToFit="1"/>
    </xf>
    <xf numFmtId="0" fontId="11" fillId="4" borderId="17" xfId="0" applyFont="1" applyFill="1" applyBorder="1" applyAlignment="1">
      <alignment horizontal="center" shrinkToFit="1"/>
    </xf>
    <xf numFmtId="0" fontId="4" fillId="0" borderId="0" xfId="2" applyFont="1"/>
    <xf numFmtId="0" fontId="4" fillId="0" borderId="2" xfId="2" applyFont="1" applyBorder="1" applyAlignment="1">
      <alignment horizontal="center" shrinkToFit="1"/>
    </xf>
    <xf numFmtId="0" fontId="4" fillId="0" borderId="2" xfId="2" applyFont="1" applyBorder="1" applyAlignment="1">
      <alignment shrinkToFit="1"/>
    </xf>
    <xf numFmtId="0" fontId="1" fillId="5" borderId="43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14" fontId="4" fillId="0" borderId="18" xfId="2" quotePrefix="1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8" fillId="0" borderId="0" xfId="6" applyFont="1" applyAlignment="1">
      <alignment horizontal="right" vertical="center"/>
    </xf>
    <xf numFmtId="0" fontId="8" fillId="0" borderId="0" xfId="6" applyFont="1" applyAlignment="1">
      <alignment horizontal="center" vertical="center"/>
    </xf>
    <xf numFmtId="0" fontId="9" fillId="13" borderId="43" xfId="6" applyFont="1" applyFill="1" applyBorder="1" applyAlignment="1">
      <alignment horizontal="center" vertical="center"/>
    </xf>
    <xf numFmtId="0" fontId="9" fillId="13" borderId="18" xfId="6" applyFont="1" applyFill="1" applyBorder="1" applyAlignment="1">
      <alignment horizontal="center" vertical="center"/>
    </xf>
    <xf numFmtId="0" fontId="9" fillId="13" borderId="17" xfId="6" applyFont="1" applyFill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46" fillId="0" borderId="0" xfId="6" applyFont="1" applyAlignment="1">
      <alignment horizontal="right" vertical="center"/>
    </xf>
    <xf numFmtId="0" fontId="46" fillId="0" borderId="0" xfId="6" applyFont="1" applyAlignment="1">
      <alignment horizontal="center" vertical="center"/>
    </xf>
    <xf numFmtId="0" fontId="9" fillId="0" borderId="0" xfId="6" applyFont="1" applyAlignment="1">
      <alignment horizontal="right" vertical="center"/>
    </xf>
    <xf numFmtId="0" fontId="9" fillId="13" borderId="16" xfId="6" applyFont="1" applyFill="1" applyBorder="1" applyAlignment="1">
      <alignment horizontal="center" vertical="center"/>
    </xf>
    <xf numFmtId="0" fontId="9" fillId="13" borderId="2" xfId="6" applyFont="1" applyFill="1" applyBorder="1" applyAlignment="1">
      <alignment horizontal="center" vertical="center"/>
    </xf>
    <xf numFmtId="0" fontId="9" fillId="13" borderId="14" xfId="6" applyFont="1" applyFill="1" applyBorder="1" applyAlignment="1">
      <alignment horizontal="center" vertical="center"/>
    </xf>
    <xf numFmtId="0" fontId="4" fillId="0" borderId="0" xfId="3" applyAlignment="1">
      <alignment horizontal="center"/>
    </xf>
    <xf numFmtId="10" fontId="36" fillId="8" borderId="12" xfId="0" applyNumberFormat="1" applyFont="1" applyFill="1" applyBorder="1" applyAlignment="1" applyProtection="1">
      <alignment horizontal="center" vertical="center"/>
      <protection locked="0"/>
    </xf>
    <xf numFmtId="10" fontId="54" fillId="8" borderId="12" xfId="0" applyNumberFormat="1" applyFont="1" applyFill="1" applyBorder="1" applyAlignment="1" applyProtection="1">
      <alignment horizontal="center" vertical="center"/>
      <protection locked="0"/>
    </xf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2 3" xfId="6" xr:uid="{CA5B73ED-1D8C-4CAC-9CB9-A8A9FFE16504}"/>
    <cellStyle name="Normal 3" xfId="3" xr:uid="{00000000-0005-0000-0000-000003000000}"/>
    <cellStyle name="Normal 3 2" xfId="7" xr:uid="{70119A95-B569-4FE5-9A1E-142925C808F6}"/>
    <cellStyle name="Normal 4" xfId="5" xr:uid="{57BEC5DE-EA47-46F6-96DE-E3405B2C27FF}"/>
    <cellStyle name="Percent" xfId="4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396875</xdr:colOff>
      <xdr:row>64</xdr:row>
      <xdr:rowOff>158750</xdr:rowOff>
    </xdr:from>
    <xdr:to>
      <xdr:col>34</xdr:col>
      <xdr:colOff>601209</xdr:colOff>
      <xdr:row>76</xdr:row>
      <xdr:rowOff>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03C49-58A7-4E9A-B52B-0FFEA36F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09750" y="13779500"/>
          <a:ext cx="7824334" cy="2562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330121</xdr:colOff>
      <xdr:row>61</xdr:row>
      <xdr:rowOff>111015</xdr:rowOff>
    </xdr:from>
    <xdr:to>
      <xdr:col>16</xdr:col>
      <xdr:colOff>475795</xdr:colOff>
      <xdr:row>71</xdr:row>
      <xdr:rowOff>95250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EB7B6E9-0E58-45B2-B82D-2AD231B4A010}"/>
            </a:ext>
          </a:extLst>
        </xdr:cNvPr>
        <xdr:cNvGrpSpPr/>
      </xdr:nvGrpSpPr>
      <xdr:grpSpPr>
        <a:xfrm>
          <a:off x="6730921" y="10302765"/>
          <a:ext cx="4446212" cy="1603485"/>
          <a:chOff x="8864521" y="6864240"/>
          <a:chExt cx="2860299" cy="1603485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F51747A-588C-4E7D-A754-10869037A7A9}"/>
              </a:ext>
            </a:extLst>
          </xdr:cNvPr>
          <xdr:cNvCxnSpPr/>
        </xdr:nvCxnSpPr>
        <xdr:spPr>
          <a:xfrm flipV="1">
            <a:off x="9291357" y="7648574"/>
            <a:ext cx="973791" cy="323851"/>
          </a:xfrm>
          <a:prstGeom prst="line">
            <a:avLst/>
          </a:prstGeom>
          <a:ln w="25400"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F9981D5-B540-4A1C-A797-6A79AA758D61}"/>
              </a:ext>
            </a:extLst>
          </xdr:cNvPr>
          <xdr:cNvSpPr txBox="1"/>
        </xdr:nvSpPr>
        <xdr:spPr>
          <a:xfrm>
            <a:off x="10252035" y="7095019"/>
            <a:ext cx="327643" cy="2309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>
                <a:solidFill>
                  <a:schemeClr val="accent2"/>
                </a:solidFill>
              </a:rPr>
              <a:t>Kb</a:t>
            </a:r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A300E0E-7EFE-4384-9A9F-862C482F7508}"/>
              </a:ext>
            </a:extLst>
          </xdr:cNvPr>
          <xdr:cNvCxnSpPr>
            <a:stCxn id="4" idx="2"/>
          </xdr:cNvCxnSpPr>
        </xdr:nvCxnSpPr>
        <xdr:spPr>
          <a:xfrm>
            <a:off x="10415947" y="7325946"/>
            <a:ext cx="15006" cy="170229"/>
          </a:xfrm>
          <a:prstGeom prst="straightConnector1">
            <a:avLst/>
          </a:prstGeom>
          <a:ln>
            <a:solidFill>
              <a:schemeClr val="accent2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60066D53-7D02-474F-9E8F-EE8DBDF086BE}"/>
              </a:ext>
            </a:extLst>
          </xdr:cNvPr>
          <xdr:cNvGrpSpPr/>
        </xdr:nvGrpSpPr>
        <xdr:grpSpPr>
          <a:xfrm>
            <a:off x="8864521" y="6864240"/>
            <a:ext cx="2860299" cy="1603485"/>
            <a:chOff x="8867149" y="6952593"/>
            <a:chExt cx="2871137" cy="1626476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13AD0E8-8033-464E-9F17-729D290EF580}"/>
                </a:ext>
              </a:extLst>
            </xdr:cNvPr>
            <xdr:cNvSpPr/>
          </xdr:nvSpPr>
          <xdr:spPr>
            <a:xfrm>
              <a:off x="8998711" y="7179493"/>
              <a:ext cx="323810" cy="1399576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4F4BE453-98F0-40BF-872C-2D63EB2647D7}"/>
                </a:ext>
              </a:extLst>
            </xdr:cNvPr>
            <xdr:cNvSpPr/>
          </xdr:nvSpPr>
          <xdr:spPr>
            <a:xfrm>
              <a:off x="10255469" y="7175011"/>
              <a:ext cx="332311" cy="1057062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4FF465E7-7B83-48C8-81CA-B385485F3307}"/>
                </a:ext>
              </a:extLst>
            </xdr:cNvPr>
            <xdr:cNvCxnSpPr/>
          </xdr:nvCxnSpPr>
          <xdr:spPr>
            <a:xfrm flipV="1">
              <a:off x="9311315" y="8108808"/>
              <a:ext cx="978389" cy="328449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E217CF2-C03C-4FC4-8217-F75831F5DC32}"/>
                </a:ext>
              </a:extLst>
            </xdr:cNvPr>
            <xdr:cNvSpPr txBox="1"/>
          </xdr:nvSpPr>
          <xdr:spPr>
            <a:xfrm>
              <a:off x="9251994" y="8185230"/>
              <a:ext cx="353476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A1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38B83BB-1EE1-419B-A476-EE3718C8BC18}"/>
                </a:ext>
              </a:extLst>
            </xdr:cNvPr>
            <xdr:cNvSpPr txBox="1"/>
          </xdr:nvSpPr>
          <xdr:spPr>
            <a:xfrm>
              <a:off x="9264057" y="7987086"/>
              <a:ext cx="345742" cy="2372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B1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F818E17-82E1-4FA8-B04D-3A9C882A5A33}"/>
                </a:ext>
              </a:extLst>
            </xdr:cNvPr>
            <xdr:cNvSpPr txBox="1"/>
          </xdr:nvSpPr>
          <xdr:spPr>
            <a:xfrm>
              <a:off x="10184364" y="7620511"/>
              <a:ext cx="329942" cy="233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E1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7CB4732-25B5-46E5-81C9-783C2AAB13CF}"/>
                </a:ext>
              </a:extLst>
            </xdr:cNvPr>
            <xdr:cNvSpPr txBox="1"/>
          </xdr:nvSpPr>
          <xdr:spPr>
            <a:xfrm>
              <a:off x="10184419" y="7897209"/>
              <a:ext cx="313250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F1</a:t>
              </a: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6E74E52-4C63-458A-8045-B5C42003B2D3}"/>
                </a:ext>
              </a:extLst>
            </xdr:cNvPr>
            <xdr:cNvSpPr txBox="1"/>
          </xdr:nvSpPr>
          <xdr:spPr>
            <a:xfrm>
              <a:off x="9974048" y="6955758"/>
              <a:ext cx="925061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TO 1/FROM</a:t>
              </a:r>
              <a:r>
                <a:rPr lang="en-US" sz="1000" b="1" baseline="0"/>
                <a:t> 2</a:t>
              </a:r>
              <a:endParaRPr lang="en-US" sz="1000" b="1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C1047E5-3040-41A3-97E8-CC4954AAAEC3}"/>
                </a:ext>
              </a:extLst>
            </xdr:cNvPr>
            <xdr:cNvSpPr txBox="1"/>
          </xdr:nvSpPr>
          <xdr:spPr>
            <a:xfrm>
              <a:off x="8867149" y="6952593"/>
              <a:ext cx="660390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FROM 1</a:t>
              </a:r>
            </a:p>
          </xdr:txBody>
        </xdr: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F64F5E3F-F3FA-4C33-AE84-A4ADAA9E255C}"/>
                </a:ext>
              </a:extLst>
            </xdr:cNvPr>
            <xdr:cNvCxnSpPr/>
          </xdr:nvCxnSpPr>
          <xdr:spPr>
            <a:xfrm flipV="1">
              <a:off x="9250919" y="7615540"/>
              <a:ext cx="1026413" cy="444192"/>
            </a:xfrm>
            <a:prstGeom prst="line">
              <a:avLst/>
            </a:prstGeom>
            <a:ln w="19050">
              <a:solidFill>
                <a:schemeClr val="accent2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CE1368BE-AD92-405C-B1DE-48668F72BCE6}"/>
                </a:ext>
              </a:extLst>
            </xdr:cNvPr>
            <xdr:cNvCxnSpPr/>
          </xdr:nvCxnSpPr>
          <xdr:spPr>
            <a:xfrm flipV="1">
              <a:off x="10573555" y="7240729"/>
              <a:ext cx="1048155" cy="161057"/>
            </a:xfrm>
            <a:prstGeom prst="line">
              <a:avLst/>
            </a:prstGeom>
            <a:ln w="19050">
              <a:solidFill>
                <a:schemeClr val="accent2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ADB4AE5D-B282-47F1-8838-CF3DB248A594}"/>
                </a:ext>
              </a:extLst>
            </xdr:cNvPr>
            <xdr:cNvCxnSpPr/>
          </xdr:nvCxnSpPr>
          <xdr:spPr>
            <a:xfrm flipV="1">
              <a:off x="10603470" y="7882759"/>
              <a:ext cx="951340" cy="69170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6E8006E1-B543-40CF-8F39-F0263FF3B2CA}"/>
                </a:ext>
              </a:extLst>
            </xdr:cNvPr>
            <xdr:cNvCxnSpPr/>
          </xdr:nvCxnSpPr>
          <xdr:spPr>
            <a:xfrm flipV="1">
              <a:off x="10587782" y="7495190"/>
              <a:ext cx="921046" cy="94053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68E001D-DCB8-4E43-9E98-9FEAC0A5FA4A}"/>
                </a:ext>
              </a:extLst>
            </xdr:cNvPr>
            <xdr:cNvSpPr txBox="1"/>
          </xdr:nvSpPr>
          <xdr:spPr>
            <a:xfrm>
              <a:off x="9278602" y="7267423"/>
              <a:ext cx="1058875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Sf * Pipe</a:t>
              </a:r>
              <a:r>
                <a:rPr lang="en-US" sz="1000" b="1" baseline="0">
                  <a:solidFill>
                    <a:schemeClr val="accent2"/>
                  </a:solidFill>
                </a:rPr>
                <a:t> Length</a:t>
              </a:r>
              <a:endParaRPr lang="en-US" sz="1000" b="1">
                <a:solidFill>
                  <a:schemeClr val="accent2"/>
                </a:solidFill>
              </a:endParaRP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958CD58-5CE1-4B05-8F5C-2B177435036E}"/>
                </a:ext>
              </a:extLst>
            </xdr:cNvPr>
            <xdr:cNvSpPr txBox="1"/>
          </xdr:nvSpPr>
          <xdr:spPr>
            <a:xfrm>
              <a:off x="10551175" y="7714937"/>
              <a:ext cx="366618" cy="237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A2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D63869A-0340-460D-AF1A-025D78EC6650}"/>
                </a:ext>
              </a:extLst>
            </xdr:cNvPr>
            <xdr:cNvSpPr txBox="1"/>
          </xdr:nvSpPr>
          <xdr:spPr>
            <a:xfrm>
              <a:off x="10548167" y="7522639"/>
              <a:ext cx="366618" cy="237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B2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83ABA1E-7A29-4AED-A2A7-26097BC678E7}"/>
                </a:ext>
              </a:extLst>
            </xdr:cNvPr>
            <xdr:cNvSpPr txBox="1"/>
          </xdr:nvSpPr>
          <xdr:spPr>
            <a:xfrm>
              <a:off x="9249559" y="7728287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D1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1004144-58EC-4C30-93F3-8FB1E361E174}"/>
                </a:ext>
              </a:extLst>
            </xdr:cNvPr>
            <xdr:cNvSpPr txBox="1"/>
          </xdr:nvSpPr>
          <xdr:spPr>
            <a:xfrm>
              <a:off x="9401959" y="7880687"/>
              <a:ext cx="334561" cy="457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D1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4AFC7C7-D9EC-4629-9CEC-1B79FAFCA7F2}"/>
                </a:ext>
              </a:extLst>
            </xdr:cNvPr>
            <xdr:cNvSpPr txBox="1"/>
          </xdr:nvSpPr>
          <xdr:spPr>
            <a:xfrm>
              <a:off x="9986597" y="7447136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H1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6FEF28E-F68D-40B0-8301-C74A9CC3AAE1}"/>
                </a:ext>
              </a:extLst>
            </xdr:cNvPr>
            <xdr:cNvSpPr txBox="1"/>
          </xdr:nvSpPr>
          <xdr:spPr>
            <a:xfrm>
              <a:off x="10536621" y="7173310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D2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47B2A1F-1CF6-40F1-B6EE-B48E2939377F}"/>
                </a:ext>
              </a:extLst>
            </xdr:cNvPr>
            <xdr:cNvSpPr txBox="1"/>
          </xdr:nvSpPr>
          <xdr:spPr>
            <a:xfrm>
              <a:off x="11403725" y="7041931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H2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330121</xdr:colOff>
      <xdr:row>61</xdr:row>
      <xdr:rowOff>111015</xdr:rowOff>
    </xdr:from>
    <xdr:to>
      <xdr:col>16</xdr:col>
      <xdr:colOff>475795</xdr:colOff>
      <xdr:row>71</xdr:row>
      <xdr:rowOff>95250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2B3AF80-602F-44A7-99FD-9D4F9A4CB6F6}"/>
            </a:ext>
          </a:extLst>
        </xdr:cNvPr>
        <xdr:cNvGrpSpPr/>
      </xdr:nvGrpSpPr>
      <xdr:grpSpPr>
        <a:xfrm>
          <a:off x="6733519" y="2479277"/>
          <a:ext cx="4440583" cy="1586167"/>
          <a:chOff x="8864521" y="6864240"/>
          <a:chExt cx="2860299" cy="1603485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F8E9E9B1-6B21-17BC-2D8F-3A446289D7C1}"/>
              </a:ext>
            </a:extLst>
          </xdr:cNvPr>
          <xdr:cNvCxnSpPr/>
        </xdr:nvCxnSpPr>
        <xdr:spPr>
          <a:xfrm flipV="1">
            <a:off x="9291357" y="7648574"/>
            <a:ext cx="973791" cy="323851"/>
          </a:xfrm>
          <a:prstGeom prst="line">
            <a:avLst/>
          </a:prstGeom>
          <a:ln w="25400">
            <a:solidFill>
              <a:schemeClr val="tx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96FBFF2-9B26-8A8B-9E16-F8805A9F1461}"/>
              </a:ext>
            </a:extLst>
          </xdr:cNvPr>
          <xdr:cNvSpPr txBox="1"/>
        </xdr:nvSpPr>
        <xdr:spPr>
          <a:xfrm>
            <a:off x="10252035" y="7095019"/>
            <a:ext cx="327643" cy="2309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>
                <a:solidFill>
                  <a:schemeClr val="accent2"/>
                </a:solidFill>
              </a:rPr>
              <a:t>Kb</a:t>
            </a:r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96E17B0-26A7-852A-D7D0-0A22FEC55F93}"/>
              </a:ext>
            </a:extLst>
          </xdr:cNvPr>
          <xdr:cNvCxnSpPr>
            <a:stCxn id="4" idx="2"/>
          </xdr:cNvCxnSpPr>
        </xdr:nvCxnSpPr>
        <xdr:spPr>
          <a:xfrm>
            <a:off x="10415947" y="7325946"/>
            <a:ext cx="15006" cy="170229"/>
          </a:xfrm>
          <a:prstGeom prst="straightConnector1">
            <a:avLst/>
          </a:prstGeom>
          <a:ln>
            <a:solidFill>
              <a:schemeClr val="accent2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81A092BC-10A2-F92F-3094-23995BD9A7AD}"/>
              </a:ext>
            </a:extLst>
          </xdr:cNvPr>
          <xdr:cNvGrpSpPr/>
        </xdr:nvGrpSpPr>
        <xdr:grpSpPr>
          <a:xfrm>
            <a:off x="8864521" y="6864240"/>
            <a:ext cx="2860299" cy="1603485"/>
            <a:chOff x="8867149" y="6952593"/>
            <a:chExt cx="2871137" cy="1626476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BDD5251B-007B-1F0E-DF27-1424893CBF8B}"/>
                </a:ext>
              </a:extLst>
            </xdr:cNvPr>
            <xdr:cNvSpPr/>
          </xdr:nvSpPr>
          <xdr:spPr>
            <a:xfrm>
              <a:off x="8998711" y="7179493"/>
              <a:ext cx="323810" cy="1399576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54FE0B90-91A2-4CAA-9F95-23509F31A001}"/>
                </a:ext>
              </a:extLst>
            </xdr:cNvPr>
            <xdr:cNvSpPr/>
          </xdr:nvSpPr>
          <xdr:spPr>
            <a:xfrm>
              <a:off x="10255469" y="7175011"/>
              <a:ext cx="332311" cy="1057062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810D2484-913D-BE9E-5F87-5352A0F9C123}"/>
                </a:ext>
              </a:extLst>
            </xdr:cNvPr>
            <xdr:cNvCxnSpPr/>
          </xdr:nvCxnSpPr>
          <xdr:spPr>
            <a:xfrm flipV="1">
              <a:off x="9311315" y="8108808"/>
              <a:ext cx="978389" cy="328449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0B3C20C-D250-D608-5F2F-FFB061D5F3B0}"/>
                </a:ext>
              </a:extLst>
            </xdr:cNvPr>
            <xdr:cNvSpPr txBox="1"/>
          </xdr:nvSpPr>
          <xdr:spPr>
            <a:xfrm>
              <a:off x="9251994" y="8185230"/>
              <a:ext cx="353476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A1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CF5119D-9CF6-5064-7FE7-EF62DE5DEB85}"/>
                </a:ext>
              </a:extLst>
            </xdr:cNvPr>
            <xdr:cNvSpPr txBox="1"/>
          </xdr:nvSpPr>
          <xdr:spPr>
            <a:xfrm>
              <a:off x="9264057" y="7987086"/>
              <a:ext cx="345742" cy="2372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B1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F2A2341-6102-C637-A624-D55D70F67F94}"/>
                </a:ext>
              </a:extLst>
            </xdr:cNvPr>
            <xdr:cNvSpPr txBox="1"/>
          </xdr:nvSpPr>
          <xdr:spPr>
            <a:xfrm>
              <a:off x="10184364" y="7620511"/>
              <a:ext cx="329942" cy="233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E1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3EE6CE0-1364-F744-A93D-2CFCA2466652}"/>
                </a:ext>
              </a:extLst>
            </xdr:cNvPr>
            <xdr:cNvSpPr txBox="1"/>
          </xdr:nvSpPr>
          <xdr:spPr>
            <a:xfrm>
              <a:off x="10184419" y="7897209"/>
              <a:ext cx="313250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F1</a:t>
              </a: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457628C-B72B-2933-0135-1695414E98B0}"/>
                </a:ext>
              </a:extLst>
            </xdr:cNvPr>
            <xdr:cNvSpPr txBox="1"/>
          </xdr:nvSpPr>
          <xdr:spPr>
            <a:xfrm>
              <a:off x="9974048" y="6955758"/>
              <a:ext cx="925061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TO 1/FROM</a:t>
              </a:r>
              <a:r>
                <a:rPr lang="en-US" sz="1000" b="1" baseline="0"/>
                <a:t> 2</a:t>
              </a:r>
              <a:endParaRPr lang="en-US" sz="1000" b="1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2D8D421-FA17-B8EA-4508-4F8C83BAF8F4}"/>
                </a:ext>
              </a:extLst>
            </xdr:cNvPr>
            <xdr:cNvSpPr txBox="1"/>
          </xdr:nvSpPr>
          <xdr:spPr>
            <a:xfrm>
              <a:off x="8867149" y="6952593"/>
              <a:ext cx="660390" cy="2372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FROM 1</a:t>
              </a:r>
            </a:p>
          </xdr:txBody>
        </xdr: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8BE2713C-357D-00F8-70AD-586687ECA47A}"/>
                </a:ext>
              </a:extLst>
            </xdr:cNvPr>
            <xdr:cNvCxnSpPr/>
          </xdr:nvCxnSpPr>
          <xdr:spPr>
            <a:xfrm flipV="1">
              <a:off x="9250919" y="7615540"/>
              <a:ext cx="1026413" cy="444192"/>
            </a:xfrm>
            <a:prstGeom prst="line">
              <a:avLst/>
            </a:prstGeom>
            <a:ln w="19050">
              <a:solidFill>
                <a:schemeClr val="accent2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467D3211-B245-8A23-FCB9-66C6575E3403}"/>
                </a:ext>
              </a:extLst>
            </xdr:cNvPr>
            <xdr:cNvCxnSpPr/>
          </xdr:nvCxnSpPr>
          <xdr:spPr>
            <a:xfrm flipV="1">
              <a:off x="10573555" y="7240729"/>
              <a:ext cx="1048155" cy="161057"/>
            </a:xfrm>
            <a:prstGeom prst="line">
              <a:avLst/>
            </a:prstGeom>
            <a:ln w="19050">
              <a:solidFill>
                <a:schemeClr val="accent2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53A938AA-FD91-F7DB-8534-27DB813EDB5E}"/>
                </a:ext>
              </a:extLst>
            </xdr:cNvPr>
            <xdr:cNvCxnSpPr/>
          </xdr:nvCxnSpPr>
          <xdr:spPr>
            <a:xfrm flipV="1">
              <a:off x="10603470" y="7882759"/>
              <a:ext cx="951340" cy="69170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808BF48B-5A45-C10F-D5C3-6FA26ECA860A}"/>
                </a:ext>
              </a:extLst>
            </xdr:cNvPr>
            <xdr:cNvCxnSpPr/>
          </xdr:nvCxnSpPr>
          <xdr:spPr>
            <a:xfrm flipV="1">
              <a:off x="10587782" y="7495190"/>
              <a:ext cx="921046" cy="94053"/>
            </a:xfrm>
            <a:prstGeom prst="line">
              <a:avLst/>
            </a:prstGeom>
            <a:ln w="25400">
              <a:solidFill>
                <a:schemeClr val="tx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2B81CCA-7881-7740-92E1-E9CA73FDCD03}"/>
                </a:ext>
              </a:extLst>
            </xdr:cNvPr>
            <xdr:cNvSpPr txBox="1"/>
          </xdr:nvSpPr>
          <xdr:spPr>
            <a:xfrm>
              <a:off x="9278602" y="7267423"/>
              <a:ext cx="1058875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Sf * Pipe</a:t>
              </a:r>
              <a:r>
                <a:rPr lang="en-US" sz="1000" b="1" baseline="0">
                  <a:solidFill>
                    <a:schemeClr val="accent2"/>
                  </a:solidFill>
                </a:rPr>
                <a:t> Length</a:t>
              </a:r>
              <a:endParaRPr lang="en-US" sz="1000" b="1">
                <a:solidFill>
                  <a:schemeClr val="accent2"/>
                </a:solidFill>
              </a:endParaRP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D602515-E437-7114-1516-4667DC9D2D64}"/>
                </a:ext>
              </a:extLst>
            </xdr:cNvPr>
            <xdr:cNvSpPr txBox="1"/>
          </xdr:nvSpPr>
          <xdr:spPr>
            <a:xfrm>
              <a:off x="10551175" y="7714937"/>
              <a:ext cx="366618" cy="237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A2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1B0F720-15E5-21B9-62AF-457AA21D752C}"/>
                </a:ext>
              </a:extLst>
            </xdr:cNvPr>
            <xdr:cNvSpPr txBox="1"/>
          </xdr:nvSpPr>
          <xdr:spPr>
            <a:xfrm>
              <a:off x="10548167" y="7522639"/>
              <a:ext cx="366618" cy="2372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/>
                <a:t>B2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CBF6FC7-358B-4D0E-7878-104A4CEE2619}"/>
                </a:ext>
              </a:extLst>
            </xdr:cNvPr>
            <xdr:cNvSpPr txBox="1"/>
          </xdr:nvSpPr>
          <xdr:spPr>
            <a:xfrm>
              <a:off x="9249559" y="7728287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D1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1F15345-0DF2-76B0-D322-145B96FE18DB}"/>
                </a:ext>
              </a:extLst>
            </xdr:cNvPr>
            <xdr:cNvSpPr txBox="1"/>
          </xdr:nvSpPr>
          <xdr:spPr>
            <a:xfrm>
              <a:off x="9401959" y="7880687"/>
              <a:ext cx="334561" cy="457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D1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E41749D-20EA-AEDE-4722-A2236C5E9927}"/>
                </a:ext>
              </a:extLst>
            </xdr:cNvPr>
            <xdr:cNvSpPr txBox="1"/>
          </xdr:nvSpPr>
          <xdr:spPr>
            <a:xfrm>
              <a:off x="9986597" y="7447136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H1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EEE1E12-E294-047F-131D-FAB2C9123B5F}"/>
                </a:ext>
              </a:extLst>
            </xdr:cNvPr>
            <xdr:cNvSpPr txBox="1"/>
          </xdr:nvSpPr>
          <xdr:spPr>
            <a:xfrm>
              <a:off x="10536621" y="7173310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D2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9029B02-030A-4877-9EC2-AD8CF90C66CE}"/>
                </a:ext>
              </a:extLst>
            </xdr:cNvPr>
            <xdr:cNvSpPr txBox="1"/>
          </xdr:nvSpPr>
          <xdr:spPr>
            <a:xfrm>
              <a:off x="11403725" y="7041931"/>
              <a:ext cx="334561" cy="2332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accent2"/>
                  </a:solidFill>
                </a:rPr>
                <a:t>H2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MD\300663_26Naylor_WR\Dept\Water_Resources\Drainage\Hydrology\HOCO_Rational_Inle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mt365-my.sharepoint.com/SMD/300663_26Naylor_WR/Dept/Water_Resources/Drainage/Hydrology/HOCO_Rational_Inlet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2026213107\600%20Disc\609%20Civil\Drainage\Fenton_StormDrain_Comps%20-%20Existing.xlsx" TargetMode="External"/><Relationship Id="rId1" Type="http://schemas.openxmlformats.org/officeDocument/2006/relationships/externalLinkPath" Target="file:///U:\2026213107\600%20Disc\609%20Civil\Drainage\Fenton_StormDrain_Comps%20-%20Exi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act i1-5"/>
      <sheetName val="Cfact i6-10"/>
      <sheetName val="Cfact i11-15"/>
      <sheetName val="Cfact i16"/>
      <sheetName val="Tc Paths"/>
      <sheetName val="Q peak i1-4"/>
      <sheetName val="Q peak i5-8"/>
      <sheetName val="Q peak i9-12"/>
      <sheetName val="Q peak i13-16"/>
      <sheetName val="INLET CAPACITY"/>
      <sheetName val="PIPE CAPACITY"/>
      <sheetName val="HOCO INTENSITY"/>
    </sheetNames>
    <sheetDataSet>
      <sheetData sheetId="0">
        <row r="16">
          <cell r="D16">
            <v>0.54269972451790638</v>
          </cell>
        </row>
      </sheetData>
      <sheetData sheetId="1">
        <row r="7">
          <cell r="D7">
            <v>8.7235996326905416E-2</v>
          </cell>
        </row>
      </sheetData>
      <sheetData sheetId="2">
        <row r="7">
          <cell r="D7">
            <v>1.4954086317722681</v>
          </cell>
        </row>
      </sheetData>
      <sheetData sheetId="3">
        <row r="7">
          <cell r="D7">
            <v>0.19281450872359962</v>
          </cell>
        </row>
      </sheetData>
      <sheetData sheetId="4">
        <row r="10">
          <cell r="F10">
            <v>16.166666666666668</v>
          </cell>
        </row>
      </sheetData>
      <sheetData sheetId="5">
        <row r="10">
          <cell r="C10">
            <v>10</v>
          </cell>
        </row>
        <row r="17">
          <cell r="C17">
            <v>10</v>
          </cell>
        </row>
        <row r="24">
          <cell r="C24">
            <v>10</v>
          </cell>
        </row>
        <row r="31">
          <cell r="C31">
            <v>10</v>
          </cell>
        </row>
      </sheetData>
      <sheetData sheetId="6">
        <row r="10">
          <cell r="C10">
            <v>10</v>
          </cell>
        </row>
        <row r="17">
          <cell r="C17">
            <v>10</v>
          </cell>
        </row>
        <row r="24">
          <cell r="C24">
            <v>16.2</v>
          </cell>
        </row>
        <row r="31">
          <cell r="C31">
            <v>17.600000000000001</v>
          </cell>
        </row>
      </sheetData>
      <sheetData sheetId="7">
        <row r="10">
          <cell r="C10">
            <v>15.4</v>
          </cell>
        </row>
        <row r="17">
          <cell r="C17">
            <v>16.8</v>
          </cell>
        </row>
        <row r="24">
          <cell r="C24">
            <v>19.899999999999999</v>
          </cell>
        </row>
        <row r="31">
          <cell r="C31">
            <v>12.8</v>
          </cell>
        </row>
      </sheetData>
      <sheetData sheetId="8">
        <row r="10">
          <cell r="C10">
            <v>10</v>
          </cell>
        </row>
        <row r="17">
          <cell r="C17">
            <v>10</v>
          </cell>
        </row>
        <row r="24">
          <cell r="C24">
            <v>10</v>
          </cell>
        </row>
        <row r="31">
          <cell r="C31">
            <v>10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act i1-5"/>
      <sheetName val="Cfact i6-10"/>
      <sheetName val="Cfact i11-15"/>
      <sheetName val="Cfact i16"/>
      <sheetName val="Tc Paths"/>
      <sheetName val="Q peak i1-4"/>
      <sheetName val="Q peak i5-8"/>
      <sheetName val="Q peak i9-12"/>
      <sheetName val="Q peak i13-16"/>
      <sheetName val="INLET CAPACITY"/>
      <sheetName val="PIPE CAPACITY"/>
      <sheetName val="HOCO INTENSITY"/>
    </sheetNames>
    <sheetDataSet>
      <sheetData sheetId="0"/>
      <sheetData sheetId="1"/>
      <sheetData sheetId="2"/>
      <sheetData sheetId="3"/>
      <sheetData sheetId="4"/>
      <sheetData sheetId="5">
        <row r="10">
          <cell r="C10">
            <v>10</v>
          </cell>
        </row>
        <row r="17">
          <cell r="C17">
            <v>10</v>
          </cell>
        </row>
        <row r="24">
          <cell r="C24">
            <v>10</v>
          </cell>
        </row>
        <row r="31">
          <cell r="C31">
            <v>10</v>
          </cell>
        </row>
      </sheetData>
      <sheetData sheetId="6">
        <row r="10">
          <cell r="C10">
            <v>10</v>
          </cell>
        </row>
        <row r="17">
          <cell r="C17">
            <v>10</v>
          </cell>
        </row>
        <row r="24">
          <cell r="C24">
            <v>16.2</v>
          </cell>
        </row>
        <row r="31">
          <cell r="C31">
            <v>17.600000000000001</v>
          </cell>
        </row>
      </sheetData>
      <sheetData sheetId="7">
        <row r="10">
          <cell r="C10">
            <v>15.4</v>
          </cell>
        </row>
        <row r="17">
          <cell r="C17">
            <v>16.8</v>
          </cell>
        </row>
        <row r="24">
          <cell r="C24">
            <v>19.899999999999999</v>
          </cell>
        </row>
        <row r="31">
          <cell r="C31">
            <v>12.8</v>
          </cell>
        </row>
      </sheetData>
      <sheetData sheetId="8">
        <row r="10">
          <cell r="C10">
            <v>10</v>
          </cell>
        </row>
        <row r="17">
          <cell r="C17">
            <v>10</v>
          </cell>
        </row>
        <row r="24">
          <cell r="C24">
            <v>10</v>
          </cell>
        </row>
        <row r="31">
          <cell r="C31">
            <v>10</v>
          </cell>
        </row>
      </sheetData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pe Properties"/>
      <sheetName val="Drainage Areas &amp; C Values"/>
      <sheetName val="Inlet 10-Yr"/>
      <sheetName val="Inlet 2-Yr"/>
      <sheetName val="Storm Sewer -10yr"/>
      <sheetName val="HGL 25-yr"/>
      <sheetName val="TABLES"/>
      <sheetName val="Inlet 2-Yr (2)"/>
      <sheetName val="Drainage Areas &amp; C Values (2)"/>
      <sheetName val="Storm Sewer -10yr (2)"/>
      <sheetName val="HGL 25-yr (2)"/>
    </sheetNames>
    <sheetDataSet>
      <sheetData sheetId="0"/>
      <sheetData sheetId="1"/>
      <sheetData sheetId="2"/>
      <sheetData sheetId="3"/>
      <sheetData sheetId="4">
        <row r="13">
          <cell r="B13" t="str">
            <v>EX-01</v>
          </cell>
          <cell r="C13" t="str">
            <v>MH-01</v>
          </cell>
          <cell r="J13">
            <v>8.6399999999999991E-2</v>
          </cell>
          <cell r="M13">
            <v>0.60479999999999989</v>
          </cell>
          <cell r="N13">
            <v>18</v>
          </cell>
          <cell r="R13">
            <v>20</v>
          </cell>
          <cell r="T13">
            <v>18.560882016182312</v>
          </cell>
          <cell r="W13">
            <v>0.18</v>
          </cell>
          <cell r="AM13">
            <v>3.3150200655028955E-5</v>
          </cell>
        </row>
        <row r="15">
          <cell r="B15" t="str">
            <v>MH-03</v>
          </cell>
          <cell r="C15" t="str">
            <v>I-01</v>
          </cell>
          <cell r="J15">
            <v>0.13039999999999999</v>
          </cell>
          <cell r="M15">
            <v>0.90627999999999997</v>
          </cell>
          <cell r="N15">
            <v>18</v>
          </cell>
          <cell r="R15">
            <v>9</v>
          </cell>
          <cell r="S15">
            <v>19.93</v>
          </cell>
          <cell r="T15">
            <v>23.82891349381562</v>
          </cell>
          <cell r="W15">
            <v>1.6199999999999997</v>
          </cell>
          <cell r="AM15">
            <v>7.4436747503797376E-5</v>
          </cell>
        </row>
        <row r="16">
          <cell r="B16" t="str">
            <v xml:space="preserve">I-01 </v>
          </cell>
          <cell r="C16" t="str">
            <v>MH-02</v>
          </cell>
          <cell r="J16">
            <v>0.39359999999999995</v>
          </cell>
          <cell r="M16">
            <v>2.7040319999999998</v>
          </cell>
          <cell r="N16">
            <v>18</v>
          </cell>
          <cell r="R16">
            <v>39</v>
          </cell>
          <cell r="S16">
            <v>16.7</v>
          </cell>
          <cell r="T16">
            <v>17.713434883918559</v>
          </cell>
          <cell r="W16">
            <v>1.7999999999999998</v>
          </cell>
          <cell r="AM16">
            <v>6.6265312461614024E-4</v>
          </cell>
        </row>
        <row r="17">
          <cell r="B17" t="str">
            <v xml:space="preserve">MH-02 </v>
          </cell>
          <cell r="C17" t="str">
            <v>I-02</v>
          </cell>
          <cell r="J17">
            <v>0.39359999999999995</v>
          </cell>
          <cell r="M17">
            <v>2.6961599999999994</v>
          </cell>
          <cell r="N17">
            <v>18</v>
          </cell>
          <cell r="R17">
            <v>19</v>
          </cell>
          <cell r="T17">
            <v>18.522769281887921</v>
          </cell>
          <cell r="W17">
            <v>3.42</v>
          </cell>
          <cell r="AM17">
            <v>6.5880049833359452E-4</v>
          </cell>
        </row>
        <row r="18">
          <cell r="B18" t="str">
            <v>I-02</v>
          </cell>
          <cell r="C18" t="str">
            <v>EX-EW-01</v>
          </cell>
          <cell r="J18">
            <v>0.41259999999999997</v>
          </cell>
          <cell r="M18">
            <v>2.8139319999999999</v>
          </cell>
          <cell r="N18">
            <v>18</v>
          </cell>
          <cell r="R18">
            <v>28</v>
          </cell>
          <cell r="T18">
            <v>11.73893251055887</v>
          </cell>
          <cell r="W18">
            <v>3.42</v>
          </cell>
          <cell r="AM18">
            <v>7.1761216634047532E-4</v>
          </cell>
        </row>
        <row r="20">
          <cell r="B20" t="str">
            <v>EX-02</v>
          </cell>
          <cell r="C20" t="str">
            <v>MH-01</v>
          </cell>
          <cell r="J20">
            <v>4.4000000000000004E-2</v>
          </cell>
          <cell r="M20">
            <v>0.30800000000000005</v>
          </cell>
          <cell r="N20">
            <v>15</v>
          </cell>
          <cell r="R20">
            <v>26</v>
          </cell>
          <cell r="T20">
            <v>3.9038232804203443</v>
          </cell>
          <cell r="W20">
            <v>0.15</v>
          </cell>
          <cell r="AM20">
            <v>2.2733379841807659E-5</v>
          </cell>
        </row>
        <row r="22">
          <cell r="B22" t="str">
            <v>I-03</v>
          </cell>
          <cell r="C22" t="str">
            <v>I-04</v>
          </cell>
          <cell r="J22">
            <v>0.63</v>
          </cell>
          <cell r="M22">
            <v>4.41</v>
          </cell>
          <cell r="N22">
            <v>15</v>
          </cell>
          <cell r="R22">
            <v>56</v>
          </cell>
          <cell r="T22">
            <v>6.5111023215972983</v>
          </cell>
          <cell r="W22">
            <v>0.15</v>
          </cell>
          <cell r="AM22">
            <v>4.6605777165358757E-3</v>
          </cell>
        </row>
        <row r="23">
          <cell r="B23" t="str">
            <v>I-04</v>
          </cell>
          <cell r="C23" t="str">
            <v>HW-01</v>
          </cell>
          <cell r="J23">
            <v>0.77439999999999998</v>
          </cell>
          <cell r="M23">
            <v>5.3743360000000004</v>
          </cell>
          <cell r="N23">
            <v>15</v>
          </cell>
          <cell r="R23">
            <v>32</v>
          </cell>
          <cell r="T23">
            <v>12.42328368687148</v>
          </cell>
          <cell r="W23">
            <v>7.9499999999999993</v>
          </cell>
          <cell r="AM23">
            <v>6.9216909591622699E-3</v>
          </cell>
        </row>
        <row r="25">
          <cell r="B25"/>
          <cell r="C25"/>
          <cell r="M25"/>
          <cell r="N25"/>
          <cell r="T25"/>
          <cell r="W25"/>
          <cell r="AM25" t="e">
            <v>#DIV/0!</v>
          </cell>
        </row>
        <row r="27">
          <cell r="B27"/>
          <cell r="C27"/>
          <cell r="M27"/>
          <cell r="N27"/>
          <cell r="R27"/>
          <cell r="T27"/>
          <cell r="W27"/>
          <cell r="AM27" t="e">
            <v>#DIV/0!</v>
          </cell>
        </row>
        <row r="29">
          <cell r="B29"/>
          <cell r="C29"/>
          <cell r="M29"/>
          <cell r="N29"/>
          <cell r="R29"/>
          <cell r="T29"/>
          <cell r="W29"/>
          <cell r="AM29" t="e">
            <v>#DIV/0!</v>
          </cell>
        </row>
        <row r="31">
          <cell r="B31"/>
          <cell r="C31"/>
          <cell r="M31"/>
          <cell r="N31"/>
          <cell r="R31"/>
          <cell r="T31"/>
          <cell r="W31"/>
          <cell r="AM31" t="e">
            <v>#DIV/0!</v>
          </cell>
        </row>
        <row r="33">
          <cell r="B33"/>
          <cell r="C33"/>
          <cell r="M33"/>
          <cell r="N33"/>
          <cell r="R33"/>
          <cell r="T33"/>
          <cell r="W33"/>
          <cell r="AM33" t="e">
            <v>#DIV/0!</v>
          </cell>
        </row>
        <row r="35">
          <cell r="B35"/>
          <cell r="C35"/>
          <cell r="M35"/>
          <cell r="N35"/>
          <cell r="R35"/>
          <cell r="T35"/>
          <cell r="W35"/>
          <cell r="AM35" t="e">
            <v>#DIV/0!</v>
          </cell>
        </row>
        <row r="37">
          <cell r="B37"/>
          <cell r="C37"/>
          <cell r="M37"/>
          <cell r="N37"/>
          <cell r="R37"/>
          <cell r="T37"/>
          <cell r="W37"/>
          <cell r="AM37" t="e">
            <v>#DIV/0!</v>
          </cell>
        </row>
        <row r="39">
          <cell r="B39"/>
          <cell r="C39"/>
          <cell r="M39"/>
          <cell r="N39"/>
          <cell r="R39"/>
          <cell r="T39"/>
          <cell r="W39"/>
          <cell r="AM39" t="e">
            <v>#DIV/0!</v>
          </cell>
        </row>
        <row r="41">
          <cell r="B41"/>
          <cell r="C41"/>
          <cell r="M41"/>
          <cell r="N41"/>
          <cell r="R41"/>
          <cell r="T41"/>
          <cell r="W41"/>
          <cell r="AM41" t="e">
            <v>#DIV/0!</v>
          </cell>
        </row>
        <row r="43">
          <cell r="B43"/>
          <cell r="C43"/>
          <cell r="M43"/>
          <cell r="N43"/>
          <cell r="R43"/>
          <cell r="T43"/>
          <cell r="W43"/>
          <cell r="AM43" t="e">
            <v>#DIV/0!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76" transitionEvaluation="1" transitionEntry="1">
    <tabColor rgb="FF00B050"/>
    <pageSetUpPr fitToPage="1"/>
  </sheetPr>
  <dimension ref="A1:BO101"/>
  <sheetViews>
    <sheetView topLeftCell="A76" workbookViewId="0">
      <selection activeCell="A27" sqref="A27"/>
    </sheetView>
  </sheetViews>
  <sheetFormatPr defaultColWidth="12.59765625" defaultRowHeight="15.4"/>
  <cols>
    <col min="1" max="2" width="11.265625" style="2" customWidth="1"/>
    <col min="3" max="3" width="12.59765625" style="2"/>
    <col min="4" max="5" width="8.73046875" style="2" customWidth="1"/>
    <col min="6" max="7" width="11.265625" style="2" customWidth="1"/>
    <col min="8" max="8" width="10" style="2" customWidth="1"/>
    <col min="9" max="9" width="11.265625" style="2" customWidth="1"/>
    <col min="10" max="10" width="10" style="2" customWidth="1"/>
    <col min="11" max="16" width="11.265625" style="2" customWidth="1"/>
    <col min="17" max="16384" width="12.59765625" style="2"/>
  </cols>
  <sheetData>
    <row r="1" spans="1:67">
      <c r="D1" s="3" t="s">
        <v>7</v>
      </c>
      <c r="G1" s="4" t="s">
        <v>52</v>
      </c>
    </row>
    <row r="4" spans="1:67">
      <c r="A4" s="3" t="s">
        <v>53</v>
      </c>
      <c r="C4" s="5" t="s">
        <v>51</v>
      </c>
      <c r="D4" s="6"/>
      <c r="E4" s="6"/>
      <c r="F4" s="6"/>
      <c r="G4" s="6"/>
      <c r="J4" s="3" t="s">
        <v>54</v>
      </c>
      <c r="M4" s="7">
        <v>0.125</v>
      </c>
      <c r="N4" s="3" t="s">
        <v>55</v>
      </c>
      <c r="V4" s="3" t="s">
        <v>56</v>
      </c>
    </row>
    <row r="5" spans="1:67">
      <c r="C5" s="7"/>
      <c r="L5" s="3" t="s">
        <v>57</v>
      </c>
      <c r="M5" s="7">
        <v>1.4999999999999999E-2</v>
      </c>
      <c r="V5" s="3" t="s">
        <v>58</v>
      </c>
    </row>
    <row r="6" spans="1:67">
      <c r="A6" s="3" t="s">
        <v>59</v>
      </c>
      <c r="C6" s="5"/>
      <c r="D6" s="6"/>
      <c r="G6" s="2" t="s">
        <v>60</v>
      </c>
      <c r="K6" s="3" t="s">
        <v>61</v>
      </c>
      <c r="M6" s="7">
        <v>1</v>
      </c>
      <c r="N6" s="3" t="s">
        <v>55</v>
      </c>
    </row>
    <row r="7" spans="1:67">
      <c r="V7" s="3" t="s">
        <v>62</v>
      </c>
      <c r="X7" s="3" t="s">
        <v>63</v>
      </c>
    </row>
    <row r="8" spans="1:67">
      <c r="A8" s="8" t="s">
        <v>4</v>
      </c>
      <c r="B8" s="9" t="s">
        <v>4</v>
      </c>
      <c r="C8" s="9" t="s">
        <v>21</v>
      </c>
      <c r="D8" s="10"/>
      <c r="E8" s="10"/>
      <c r="F8" s="9" t="s">
        <v>64</v>
      </c>
      <c r="G8" s="9" t="s">
        <v>2</v>
      </c>
      <c r="H8" s="9" t="s">
        <v>65</v>
      </c>
      <c r="I8" s="9" t="s">
        <v>66</v>
      </c>
      <c r="J8" s="9" t="s">
        <v>45</v>
      </c>
      <c r="K8" s="9" t="s">
        <v>67</v>
      </c>
      <c r="L8" s="9" t="s">
        <v>68</v>
      </c>
      <c r="M8" s="9" t="s">
        <v>69</v>
      </c>
      <c r="N8" s="9" t="s">
        <v>70</v>
      </c>
      <c r="O8" s="9" t="s">
        <v>64</v>
      </c>
      <c r="P8" s="9" t="s">
        <v>64</v>
      </c>
      <c r="S8" s="3" t="s">
        <v>71</v>
      </c>
      <c r="T8" s="3" t="s">
        <v>72</v>
      </c>
      <c r="U8" s="3" t="s">
        <v>73</v>
      </c>
      <c r="V8" s="3" t="s">
        <v>74</v>
      </c>
      <c r="X8" s="3" t="s">
        <v>75</v>
      </c>
      <c r="Y8" s="3" t="s">
        <v>76</v>
      </c>
    </row>
    <row r="9" spans="1:67" ht="15.75" thickBot="1">
      <c r="A9" s="11" t="s">
        <v>77</v>
      </c>
      <c r="B9" s="12" t="s">
        <v>1</v>
      </c>
      <c r="C9" s="13" t="s">
        <v>78</v>
      </c>
      <c r="D9" s="12" t="s">
        <v>79</v>
      </c>
      <c r="E9" s="12" t="s">
        <v>80</v>
      </c>
      <c r="F9" s="12" t="s">
        <v>80</v>
      </c>
      <c r="G9" s="12" t="s">
        <v>80</v>
      </c>
      <c r="H9" s="12" t="s">
        <v>81</v>
      </c>
      <c r="I9" s="12" t="s">
        <v>82</v>
      </c>
      <c r="J9" s="12" t="s">
        <v>83</v>
      </c>
      <c r="K9" s="12" t="s">
        <v>84</v>
      </c>
      <c r="L9" s="12" t="s">
        <v>84</v>
      </c>
      <c r="M9" s="12" t="s">
        <v>85</v>
      </c>
      <c r="N9" s="12" t="s">
        <v>86</v>
      </c>
      <c r="O9" s="12" t="s">
        <v>80</v>
      </c>
      <c r="P9" s="12" t="s">
        <v>8</v>
      </c>
      <c r="S9" s="3" t="s">
        <v>87</v>
      </c>
      <c r="U9" s="3" t="s">
        <v>87</v>
      </c>
      <c r="V9" s="3" t="s">
        <v>88</v>
      </c>
      <c r="W9" s="3" t="s">
        <v>88</v>
      </c>
      <c r="X9" s="3" t="s">
        <v>89</v>
      </c>
      <c r="Y9" s="3" t="s">
        <v>90</v>
      </c>
    </row>
    <row r="10" spans="1:67" ht="15.75" thickTop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67">
      <c r="A11" s="16" t="s">
        <v>153</v>
      </c>
      <c r="B11" s="17">
        <v>5</v>
      </c>
      <c r="C11" s="18">
        <v>0.06</v>
      </c>
      <c r="D11" s="18">
        <v>0.86</v>
      </c>
      <c r="E11" s="19">
        <f t="shared" ref="E11:E30" si="0">IF(AND(C11=0,D11=0)," ",+C11*D11)</f>
        <v>5.16E-2</v>
      </c>
      <c r="F11" s="19">
        <f>IF(AND(C11=0,D11=0)," ",+AC32)</f>
        <v>0</v>
      </c>
      <c r="G11" s="19">
        <f t="shared" ref="G11:G30" si="1">IF(AND(C11=0,D11=0)," ",+E11+F11)</f>
        <v>5.16E-2</v>
      </c>
      <c r="H11" s="17">
        <v>5</v>
      </c>
      <c r="I11" s="20">
        <v>7.07</v>
      </c>
      <c r="J11" s="21">
        <f t="shared" ref="J11:J30" si="2">IF(AND(C11=0,D11=0)," ",+G11*I11)</f>
        <v>0.36481200000000003</v>
      </c>
      <c r="K11" s="20">
        <v>0.02</v>
      </c>
      <c r="L11" s="20">
        <v>1.2E-2</v>
      </c>
      <c r="M11" s="21">
        <f t="shared" ref="M11:M30" si="3">IF(AND(C11=0,D11=0)," ",+K34)</f>
        <v>4.6717466309028479</v>
      </c>
      <c r="N11" s="21">
        <f t="shared" ref="N11:N30" si="4">IF(AND(C11=0,D11=0)," ",O34)</f>
        <v>94.388274648003616</v>
      </c>
      <c r="O11" s="19">
        <f t="shared" ref="O11:O30" si="5">IF(AND(C11=0,D11=0)," ",+G11*(1-(N11/100)))</f>
        <v>2.8956502816301364E-3</v>
      </c>
      <c r="P11" s="16"/>
      <c r="Q11" s="22" t="s">
        <v>7</v>
      </c>
      <c r="R11" s="2">
        <f t="shared" ref="R11:R30" si="6">K11+0.25*(1-(1-$M$6/M11)^2.67)</f>
        <v>0.13858635824659044</v>
      </c>
      <c r="S11" s="2">
        <f t="shared" ref="S11:S30" si="7">($M$4+K11*$M$6)/$M$6</f>
        <v>0.14499999999999999</v>
      </c>
      <c r="T11" s="2">
        <f t="shared" ref="T11:T30" si="8">($M$4/($M$4+$M$6*K11))*(0.56/$M$5*S11^1.667*L11^0.5*$M$6^2.667)/J11</f>
        <v>0.38651001009479391</v>
      </c>
      <c r="U11" s="2">
        <f t="shared" ref="U11:U30" si="9">K11+($M$4/$M$6)*T11</f>
        <v>6.8313751261849243E-2</v>
      </c>
      <c r="V11" s="2">
        <f t="shared" ref="V11:V30" si="10">IF(B11&gt;=15,0.54*J11^0.42*L11^0.3*(1/($M$5*U11))^0.6,W11)</f>
        <v>6.2645771198916238</v>
      </c>
      <c r="W11" s="2">
        <f t="shared" ref="W11:W30" si="11">0.58*J11^0.42*L11^0.3*(1/($M$5*U11))^0.6</f>
        <v>6.2645771198916238</v>
      </c>
      <c r="X11" s="2">
        <f t="shared" ref="X11:X30" si="12">IF($M$4=0,0.6*J11^0.42*L11^0.3*(1/($M$5*U11))^0.6,V11)</f>
        <v>6.2645771198916238</v>
      </c>
      <c r="Y11" s="2">
        <f t="shared" ref="Y11:Y30" si="13">IF(B11&gt;X11,1,1-(1-B11/X11)^1.8)</f>
        <v>0.94388274648003612</v>
      </c>
      <c r="AB11" s="2" t="e">
        <f t="shared" ref="AB11:AB30" si="14">IF(EXACT($A$11,$P11),$O11,0)</f>
        <v>#VALUE!</v>
      </c>
      <c r="AC11" s="2">
        <f t="shared" ref="AC11:AC30" si="15">IF(ISERR(AB11),0,AB11)</f>
        <v>0</v>
      </c>
      <c r="AD11" s="2" t="e">
        <f t="shared" ref="AD11:AD30" si="16">IF(EXACT($A$12,$P11),$O11,0)</f>
        <v>#VALUE!</v>
      </c>
      <c r="AE11" s="2">
        <f t="shared" ref="AE11:AE30" si="17">IF(ISERR(AD11),0,AD11)</f>
        <v>0</v>
      </c>
      <c r="AF11" s="2" t="e">
        <f t="shared" ref="AF11:AF30" si="18">IF(EXACT($A$13,$P11),$O11,0)</f>
        <v>#VALUE!</v>
      </c>
      <c r="AG11" s="2">
        <f t="shared" ref="AG11:AG30" si="19">IF(ISERR(AF11),0,AF11)</f>
        <v>0</v>
      </c>
      <c r="AH11" s="2" t="e">
        <f t="shared" ref="AH11:AH30" si="20">IF(EXACT($A$14,$P11),$O11,0)</f>
        <v>#VALUE!</v>
      </c>
      <c r="AI11" s="2">
        <f t="shared" ref="AI11:AI30" si="21">IF(ISERR(AH11),0,AH11)</f>
        <v>0</v>
      </c>
      <c r="AJ11" s="2" t="e">
        <f t="shared" ref="AJ11:AJ30" si="22">IF(EXACT($A$15,$P11),$O11,0)</f>
        <v>#VALUE!</v>
      </c>
      <c r="AK11" s="2">
        <f t="shared" ref="AK11:AK30" si="23">IF(ISERR(AJ11),0,AJ11)</f>
        <v>0</v>
      </c>
      <c r="AL11" s="2" t="e">
        <f t="shared" ref="AL11:AL30" si="24">IF(EXACT($A$16,$P11),$O11,0)</f>
        <v>#VALUE!</v>
      </c>
      <c r="AM11" s="2">
        <f t="shared" ref="AM11:AM30" si="25">IF(ISERR(AL11),0,AL11)</f>
        <v>0</v>
      </c>
      <c r="AN11" s="2" t="e">
        <f t="shared" ref="AN11:AN30" si="26">IF(EXACT($A$17,$P11),$O11,0)</f>
        <v>#VALUE!</v>
      </c>
      <c r="AO11" s="2">
        <f t="shared" ref="AO11:AO30" si="27">IF(ISERR(AN11),0,AN11)</f>
        <v>0</v>
      </c>
      <c r="AP11" s="2" t="e">
        <f t="shared" ref="AP11:AP30" si="28">IF(EXACT($A$18,$P11),$O11,0)</f>
        <v>#VALUE!</v>
      </c>
      <c r="AQ11" s="2">
        <f t="shared" ref="AQ11:AQ30" si="29">IF(ISERR(AP11),0,AP11)</f>
        <v>0</v>
      </c>
      <c r="AR11" s="2" t="e">
        <f t="shared" ref="AR11:AR30" si="30">IF(EXACT($A$19,$P11),$O11,0)</f>
        <v>#VALUE!</v>
      </c>
      <c r="AS11" s="2">
        <f t="shared" ref="AS11:AS30" si="31">IF(ISERR(AR11),0,AR11)</f>
        <v>0</v>
      </c>
      <c r="AT11" s="2" t="e">
        <f t="shared" ref="AT11:AT30" si="32">IF(EXACT($A$20,$P11),$O11,0)</f>
        <v>#VALUE!</v>
      </c>
      <c r="AU11" s="2">
        <f t="shared" ref="AU11:AU30" si="33">IF(ISERR(AT11),0,AT11)</f>
        <v>0</v>
      </c>
      <c r="AV11" s="2" t="e">
        <f t="shared" ref="AV11:AV30" si="34">IF(EXACT($A$21,$P11),$O11,0)</f>
        <v>#VALUE!</v>
      </c>
      <c r="AW11" s="2">
        <f t="shared" ref="AW11:AW30" si="35">IF(ISERR(AV11),0,AV11)</f>
        <v>0</v>
      </c>
      <c r="AX11" s="2" t="e">
        <f t="shared" ref="AX11:AX30" si="36">IF(EXACT($A$22,$P11),$O11,0)</f>
        <v>#VALUE!</v>
      </c>
      <c r="AY11" s="2">
        <f t="shared" ref="AY11:AY30" si="37">IF(ISERR(AX11),0,AX11)</f>
        <v>0</v>
      </c>
      <c r="AZ11" s="2" t="e">
        <f t="shared" ref="AZ11:AZ30" si="38">IF(EXACT($A$23,$P11),$O11,0)</f>
        <v>#VALUE!</v>
      </c>
      <c r="BA11" s="2">
        <f t="shared" ref="BA11:BA30" si="39">IF(ISERR(AZ11),0,AZ11)</f>
        <v>0</v>
      </c>
      <c r="BB11" s="2" t="e">
        <f t="shared" ref="BB11:BB30" si="40">IF(EXACT($A$24,$P11),$O11,0)</f>
        <v>#VALUE!</v>
      </c>
      <c r="BC11" s="2">
        <f t="shared" ref="BC11:BC30" si="41">IF(ISERR(BB11),0,BB11)</f>
        <v>0</v>
      </c>
      <c r="BD11" s="2" t="e">
        <f t="shared" ref="BD11:BD30" si="42">IF(EXACT($A$25,$P11),$O11,0)</f>
        <v>#VALUE!</v>
      </c>
      <c r="BE11" s="2">
        <f t="shared" ref="BE11:BE30" si="43">IF(ISERR(BD11),0,BD11)</f>
        <v>0</v>
      </c>
      <c r="BF11" s="2" t="e">
        <f t="shared" ref="BF11:BF30" si="44">IF(EXACT($A$26,$P11),$O11,0)</f>
        <v>#VALUE!</v>
      </c>
      <c r="BG11" s="2">
        <f t="shared" ref="BG11:BG30" si="45">IF(ISERR(BF11),0,BF11)</f>
        <v>0</v>
      </c>
      <c r="BH11" s="2" t="e">
        <f t="shared" ref="BH11:BH30" si="46">IF(EXACT($A$27,$P11),$O11,0)</f>
        <v>#VALUE!</v>
      </c>
      <c r="BI11" s="2">
        <f t="shared" ref="BI11:BI30" si="47">IF(ISERR(BH11),0,BH11)</f>
        <v>0</v>
      </c>
      <c r="BJ11" s="2" t="e">
        <f t="shared" ref="BJ11:BJ30" si="48">IF(EXACT($A$28,$P11),$O11,0)</f>
        <v>#VALUE!</v>
      </c>
      <c r="BK11" s="2">
        <f t="shared" ref="BK11:BK30" si="49">IF(ISERR(BJ11),0,BJ11)</f>
        <v>0</v>
      </c>
      <c r="BL11" s="2" t="e">
        <f t="shared" ref="BL11:BL30" si="50">IF(EXACT($A$29,$P11),$O11,0)</f>
        <v>#VALUE!</v>
      </c>
      <c r="BM11" s="2">
        <f t="shared" ref="BM11:BM30" si="51">IF(ISERR(BL11),0,BL11)</f>
        <v>0</v>
      </c>
      <c r="BN11" s="2" t="e">
        <f t="shared" ref="BN11:BN30" si="52">IF(EXACT($A$30,$P11),$O11,0)</f>
        <v>#VALUE!</v>
      </c>
      <c r="BO11" s="2">
        <f t="shared" ref="BO11:BO30" si="53">IF(ISERR(BN11),0,BN11)</f>
        <v>0</v>
      </c>
    </row>
    <row r="12" spans="1:67">
      <c r="A12" s="16"/>
      <c r="B12" s="17"/>
      <c r="C12" s="18"/>
      <c r="D12" s="18"/>
      <c r="E12" s="19"/>
      <c r="F12" s="19"/>
      <c r="G12" s="19"/>
      <c r="H12" s="17"/>
      <c r="I12" s="20"/>
      <c r="J12" s="21"/>
      <c r="K12" s="20"/>
      <c r="L12" s="20"/>
      <c r="M12" s="21"/>
      <c r="N12" s="21"/>
      <c r="O12" s="19"/>
      <c r="P12" s="16"/>
      <c r="Q12" s="22" t="s">
        <v>7</v>
      </c>
      <c r="R12" s="2" t="e">
        <f t="shared" si="6"/>
        <v>#DIV/0!</v>
      </c>
      <c r="S12" s="2">
        <f t="shared" si="7"/>
        <v>0.125</v>
      </c>
      <c r="T12" s="2" t="e">
        <f t="shared" si="8"/>
        <v>#DIV/0!</v>
      </c>
      <c r="U12" s="2" t="e">
        <f t="shared" si="9"/>
        <v>#DIV/0!</v>
      </c>
      <c r="V12" s="2" t="e">
        <f t="shared" si="10"/>
        <v>#DIV/0!</v>
      </c>
      <c r="W12" s="2" t="e">
        <f t="shared" si="11"/>
        <v>#DIV/0!</v>
      </c>
      <c r="X12" s="2" t="e">
        <f t="shared" si="12"/>
        <v>#DIV/0!</v>
      </c>
      <c r="Y12" s="2" t="e">
        <f t="shared" si="13"/>
        <v>#DIV/0!</v>
      </c>
      <c r="AB12" s="2" t="e">
        <f t="shared" si="14"/>
        <v>#VALUE!</v>
      </c>
      <c r="AC12" s="2">
        <f t="shared" si="15"/>
        <v>0</v>
      </c>
      <c r="AD12" s="2" t="e">
        <f t="shared" si="16"/>
        <v>#VALUE!</v>
      </c>
      <c r="AE12" s="2">
        <f t="shared" si="17"/>
        <v>0</v>
      </c>
      <c r="AF12" s="2" t="e">
        <f t="shared" si="18"/>
        <v>#VALUE!</v>
      </c>
      <c r="AG12" s="2">
        <f t="shared" si="19"/>
        <v>0</v>
      </c>
      <c r="AH12" s="2" t="e">
        <f t="shared" si="20"/>
        <v>#VALUE!</v>
      </c>
      <c r="AI12" s="2">
        <f t="shared" si="21"/>
        <v>0</v>
      </c>
      <c r="AJ12" s="2" t="e">
        <f t="shared" si="22"/>
        <v>#VALUE!</v>
      </c>
      <c r="AK12" s="2">
        <f t="shared" si="23"/>
        <v>0</v>
      </c>
      <c r="AL12" s="2" t="e">
        <f t="shared" si="24"/>
        <v>#VALUE!</v>
      </c>
      <c r="AM12" s="2">
        <f t="shared" si="25"/>
        <v>0</v>
      </c>
      <c r="AN12" s="2" t="e">
        <f t="shared" si="26"/>
        <v>#VALUE!</v>
      </c>
      <c r="AO12" s="2">
        <f t="shared" si="27"/>
        <v>0</v>
      </c>
      <c r="AP12" s="2" t="e">
        <f t="shared" si="28"/>
        <v>#VALUE!</v>
      </c>
      <c r="AQ12" s="2">
        <f t="shared" si="29"/>
        <v>0</v>
      </c>
      <c r="AR12" s="2" t="e">
        <f t="shared" si="30"/>
        <v>#VALUE!</v>
      </c>
      <c r="AS12" s="2">
        <f t="shared" si="31"/>
        <v>0</v>
      </c>
      <c r="AT12" s="2" t="e">
        <f t="shared" si="32"/>
        <v>#VALUE!</v>
      </c>
      <c r="AU12" s="2">
        <f t="shared" si="33"/>
        <v>0</v>
      </c>
      <c r="AV12" s="2" t="e">
        <f t="shared" si="34"/>
        <v>#VALUE!</v>
      </c>
      <c r="AW12" s="2">
        <f t="shared" si="35"/>
        <v>0</v>
      </c>
      <c r="AX12" s="2" t="e">
        <f t="shared" si="36"/>
        <v>#VALUE!</v>
      </c>
      <c r="AY12" s="2">
        <f t="shared" si="37"/>
        <v>0</v>
      </c>
      <c r="AZ12" s="2" t="e">
        <f t="shared" si="38"/>
        <v>#VALUE!</v>
      </c>
      <c r="BA12" s="2">
        <f t="shared" si="39"/>
        <v>0</v>
      </c>
      <c r="BB12" s="2" t="e">
        <f t="shared" si="40"/>
        <v>#VALUE!</v>
      </c>
      <c r="BC12" s="2">
        <f t="shared" si="41"/>
        <v>0</v>
      </c>
      <c r="BD12" s="2" t="e">
        <f t="shared" si="42"/>
        <v>#VALUE!</v>
      </c>
      <c r="BE12" s="2">
        <f t="shared" si="43"/>
        <v>0</v>
      </c>
      <c r="BF12" s="2" t="e">
        <f t="shared" si="44"/>
        <v>#VALUE!</v>
      </c>
      <c r="BG12" s="2">
        <f t="shared" si="45"/>
        <v>0</v>
      </c>
      <c r="BH12" s="2" t="e">
        <f t="shared" si="46"/>
        <v>#VALUE!</v>
      </c>
      <c r="BI12" s="2">
        <f t="shared" si="47"/>
        <v>0</v>
      </c>
      <c r="BJ12" s="2" t="e">
        <f t="shared" si="48"/>
        <v>#VALUE!</v>
      </c>
      <c r="BK12" s="2">
        <f t="shared" si="49"/>
        <v>0</v>
      </c>
      <c r="BL12" s="2" t="e">
        <f t="shared" si="50"/>
        <v>#VALUE!</v>
      </c>
      <c r="BM12" s="2">
        <f t="shared" si="51"/>
        <v>0</v>
      </c>
      <c r="BN12" s="2" t="e">
        <f t="shared" si="52"/>
        <v>#VALUE!</v>
      </c>
      <c r="BO12" s="2">
        <f t="shared" si="53"/>
        <v>0</v>
      </c>
    </row>
    <row r="13" spans="1:67">
      <c r="A13" s="16"/>
      <c r="B13" s="17"/>
      <c r="C13" s="18"/>
      <c r="D13" s="18"/>
      <c r="E13" s="19"/>
      <c r="F13" s="19"/>
      <c r="G13" s="19"/>
      <c r="H13" s="17"/>
      <c r="I13" s="20"/>
      <c r="J13" s="21"/>
      <c r="K13" s="20"/>
      <c r="L13" s="20"/>
      <c r="M13" s="21"/>
      <c r="N13" s="21"/>
      <c r="O13" s="19"/>
      <c r="P13" s="16"/>
      <c r="Q13" s="22" t="s">
        <v>7</v>
      </c>
      <c r="R13" s="2" t="e">
        <f t="shared" si="6"/>
        <v>#DIV/0!</v>
      </c>
      <c r="S13" s="2">
        <f t="shared" si="7"/>
        <v>0.125</v>
      </c>
      <c r="T13" s="2" t="e">
        <f t="shared" si="8"/>
        <v>#DIV/0!</v>
      </c>
      <c r="U13" s="2" t="e">
        <f t="shared" si="9"/>
        <v>#DIV/0!</v>
      </c>
      <c r="V13" s="2" t="e">
        <f t="shared" si="10"/>
        <v>#DIV/0!</v>
      </c>
      <c r="W13" s="2" t="e">
        <f t="shared" si="11"/>
        <v>#DIV/0!</v>
      </c>
      <c r="X13" s="2" t="e">
        <f t="shared" si="12"/>
        <v>#DIV/0!</v>
      </c>
      <c r="Y13" s="2" t="e">
        <f t="shared" si="13"/>
        <v>#DIV/0!</v>
      </c>
      <c r="AB13" s="2" t="e">
        <f t="shared" si="14"/>
        <v>#VALUE!</v>
      </c>
      <c r="AC13" s="2">
        <f t="shared" si="15"/>
        <v>0</v>
      </c>
      <c r="AD13" s="2" t="e">
        <f t="shared" si="16"/>
        <v>#VALUE!</v>
      </c>
      <c r="AE13" s="2">
        <f t="shared" si="17"/>
        <v>0</v>
      </c>
      <c r="AF13" s="2" t="e">
        <f t="shared" si="18"/>
        <v>#VALUE!</v>
      </c>
      <c r="AG13" s="2">
        <f t="shared" si="19"/>
        <v>0</v>
      </c>
      <c r="AH13" s="2" t="e">
        <f t="shared" si="20"/>
        <v>#VALUE!</v>
      </c>
      <c r="AI13" s="2">
        <f t="shared" si="21"/>
        <v>0</v>
      </c>
      <c r="AJ13" s="2" t="e">
        <f t="shared" si="22"/>
        <v>#VALUE!</v>
      </c>
      <c r="AK13" s="2">
        <f t="shared" si="23"/>
        <v>0</v>
      </c>
      <c r="AL13" s="2" t="e">
        <f t="shared" si="24"/>
        <v>#VALUE!</v>
      </c>
      <c r="AM13" s="2">
        <f t="shared" si="25"/>
        <v>0</v>
      </c>
      <c r="AN13" s="2" t="e">
        <f t="shared" si="26"/>
        <v>#VALUE!</v>
      </c>
      <c r="AO13" s="2">
        <f t="shared" si="27"/>
        <v>0</v>
      </c>
      <c r="AP13" s="2" t="e">
        <f t="shared" si="28"/>
        <v>#VALUE!</v>
      </c>
      <c r="AQ13" s="2">
        <f t="shared" si="29"/>
        <v>0</v>
      </c>
      <c r="AR13" s="2" t="e">
        <f t="shared" si="30"/>
        <v>#VALUE!</v>
      </c>
      <c r="AS13" s="2">
        <f t="shared" si="31"/>
        <v>0</v>
      </c>
      <c r="AT13" s="2" t="e">
        <f t="shared" si="32"/>
        <v>#VALUE!</v>
      </c>
      <c r="AU13" s="2">
        <f t="shared" si="33"/>
        <v>0</v>
      </c>
      <c r="AV13" s="2" t="e">
        <f t="shared" si="34"/>
        <v>#VALUE!</v>
      </c>
      <c r="AW13" s="2">
        <f t="shared" si="35"/>
        <v>0</v>
      </c>
      <c r="AX13" s="2" t="e">
        <f t="shared" si="36"/>
        <v>#VALUE!</v>
      </c>
      <c r="AY13" s="2">
        <f t="shared" si="37"/>
        <v>0</v>
      </c>
      <c r="AZ13" s="2" t="e">
        <f t="shared" si="38"/>
        <v>#VALUE!</v>
      </c>
      <c r="BA13" s="2">
        <f t="shared" si="39"/>
        <v>0</v>
      </c>
      <c r="BB13" s="2" t="e">
        <f t="shared" si="40"/>
        <v>#VALUE!</v>
      </c>
      <c r="BC13" s="2">
        <f t="shared" si="41"/>
        <v>0</v>
      </c>
      <c r="BD13" s="2" t="e">
        <f t="shared" si="42"/>
        <v>#VALUE!</v>
      </c>
      <c r="BE13" s="2">
        <f t="shared" si="43"/>
        <v>0</v>
      </c>
      <c r="BF13" s="2" t="e">
        <f t="shared" si="44"/>
        <v>#VALUE!</v>
      </c>
      <c r="BG13" s="2">
        <f t="shared" si="45"/>
        <v>0</v>
      </c>
      <c r="BH13" s="2" t="e">
        <f t="shared" si="46"/>
        <v>#VALUE!</v>
      </c>
      <c r="BI13" s="2">
        <f t="shared" si="47"/>
        <v>0</v>
      </c>
      <c r="BJ13" s="2" t="e">
        <f t="shared" si="48"/>
        <v>#VALUE!</v>
      </c>
      <c r="BK13" s="2">
        <f t="shared" si="49"/>
        <v>0</v>
      </c>
      <c r="BL13" s="2" t="e">
        <f t="shared" si="50"/>
        <v>#VALUE!</v>
      </c>
      <c r="BM13" s="2">
        <f t="shared" si="51"/>
        <v>0</v>
      </c>
      <c r="BN13" s="2" t="e">
        <f t="shared" si="52"/>
        <v>#VALUE!</v>
      </c>
      <c r="BO13" s="2">
        <f t="shared" si="53"/>
        <v>0</v>
      </c>
    </row>
    <row r="14" spans="1:67">
      <c r="A14" s="16"/>
      <c r="B14" s="17"/>
      <c r="C14" s="18"/>
      <c r="D14" s="18"/>
      <c r="E14" s="19" t="str">
        <f t="shared" si="0"/>
        <v xml:space="preserve"> </v>
      </c>
      <c r="F14" s="19" t="str">
        <f>IF(AND(C14=0,D14=0)," ",+AI32)</f>
        <v xml:space="preserve"> </v>
      </c>
      <c r="G14" s="19" t="str">
        <f t="shared" si="1"/>
        <v xml:space="preserve"> </v>
      </c>
      <c r="H14" s="17"/>
      <c r="I14" s="20"/>
      <c r="J14" s="21" t="str">
        <f t="shared" si="2"/>
        <v xml:space="preserve"> </v>
      </c>
      <c r="K14" s="20"/>
      <c r="L14" s="20"/>
      <c r="M14" s="21" t="str">
        <f t="shared" si="3"/>
        <v xml:space="preserve"> </v>
      </c>
      <c r="N14" s="21" t="str">
        <f t="shared" si="4"/>
        <v xml:space="preserve"> </v>
      </c>
      <c r="O14" s="19" t="str">
        <f t="shared" si="5"/>
        <v xml:space="preserve"> </v>
      </c>
      <c r="P14" s="23"/>
      <c r="Q14" s="22" t="s">
        <v>7</v>
      </c>
      <c r="R14" s="2" t="e">
        <f t="shared" si="6"/>
        <v>#DIV/0!</v>
      </c>
      <c r="S14" s="2">
        <f t="shared" si="7"/>
        <v>0.125</v>
      </c>
      <c r="T14" s="2" t="e">
        <f t="shared" si="8"/>
        <v>#DIV/0!</v>
      </c>
      <c r="U14" s="2" t="e">
        <f t="shared" si="9"/>
        <v>#DIV/0!</v>
      </c>
      <c r="V14" s="2" t="e">
        <f t="shared" si="10"/>
        <v>#DIV/0!</v>
      </c>
      <c r="W14" s="2" t="e">
        <f t="shared" si="11"/>
        <v>#DIV/0!</v>
      </c>
      <c r="X14" s="2" t="e">
        <f t="shared" si="12"/>
        <v>#DIV/0!</v>
      </c>
      <c r="Y14" s="2" t="e">
        <f t="shared" si="13"/>
        <v>#DIV/0!</v>
      </c>
      <c r="AB14" s="2" t="e">
        <f t="shared" si="14"/>
        <v>#VALUE!</v>
      </c>
      <c r="AC14" s="2">
        <f t="shared" si="15"/>
        <v>0</v>
      </c>
      <c r="AD14" s="2" t="e">
        <f t="shared" si="16"/>
        <v>#VALUE!</v>
      </c>
      <c r="AE14" s="2">
        <f t="shared" si="17"/>
        <v>0</v>
      </c>
      <c r="AF14" s="2" t="e">
        <f t="shared" si="18"/>
        <v>#VALUE!</v>
      </c>
      <c r="AG14" s="2">
        <f t="shared" si="19"/>
        <v>0</v>
      </c>
      <c r="AH14" s="2" t="e">
        <f t="shared" si="20"/>
        <v>#VALUE!</v>
      </c>
      <c r="AI14" s="2">
        <f t="shared" si="21"/>
        <v>0</v>
      </c>
      <c r="AJ14" s="2" t="e">
        <f t="shared" si="22"/>
        <v>#VALUE!</v>
      </c>
      <c r="AK14" s="2">
        <f t="shared" si="23"/>
        <v>0</v>
      </c>
      <c r="AL14" s="2" t="e">
        <f t="shared" si="24"/>
        <v>#VALUE!</v>
      </c>
      <c r="AM14" s="2">
        <f t="shared" si="25"/>
        <v>0</v>
      </c>
      <c r="AN14" s="2" t="e">
        <f t="shared" si="26"/>
        <v>#VALUE!</v>
      </c>
      <c r="AO14" s="2">
        <f t="shared" si="27"/>
        <v>0</v>
      </c>
      <c r="AP14" s="2" t="e">
        <f t="shared" si="28"/>
        <v>#VALUE!</v>
      </c>
      <c r="AQ14" s="2">
        <f t="shared" si="29"/>
        <v>0</v>
      </c>
      <c r="AR14" s="2" t="e">
        <f t="shared" si="30"/>
        <v>#VALUE!</v>
      </c>
      <c r="AS14" s="2">
        <f t="shared" si="31"/>
        <v>0</v>
      </c>
      <c r="AT14" s="2" t="e">
        <f t="shared" si="32"/>
        <v>#VALUE!</v>
      </c>
      <c r="AU14" s="2">
        <f t="shared" si="33"/>
        <v>0</v>
      </c>
      <c r="AV14" s="2" t="e">
        <f t="shared" si="34"/>
        <v>#VALUE!</v>
      </c>
      <c r="AW14" s="2">
        <f t="shared" si="35"/>
        <v>0</v>
      </c>
      <c r="AX14" s="2" t="e">
        <f t="shared" si="36"/>
        <v>#VALUE!</v>
      </c>
      <c r="AY14" s="2">
        <f t="shared" si="37"/>
        <v>0</v>
      </c>
      <c r="AZ14" s="2" t="e">
        <f t="shared" si="38"/>
        <v>#VALUE!</v>
      </c>
      <c r="BA14" s="2">
        <f t="shared" si="39"/>
        <v>0</v>
      </c>
      <c r="BB14" s="2" t="e">
        <f t="shared" si="40"/>
        <v>#VALUE!</v>
      </c>
      <c r="BC14" s="2">
        <f t="shared" si="41"/>
        <v>0</v>
      </c>
      <c r="BD14" s="2" t="e">
        <f t="shared" si="42"/>
        <v>#VALUE!</v>
      </c>
      <c r="BE14" s="2">
        <f t="shared" si="43"/>
        <v>0</v>
      </c>
      <c r="BF14" s="2" t="e">
        <f t="shared" si="44"/>
        <v>#VALUE!</v>
      </c>
      <c r="BG14" s="2">
        <f t="shared" si="45"/>
        <v>0</v>
      </c>
      <c r="BH14" s="2" t="e">
        <f t="shared" si="46"/>
        <v>#VALUE!</v>
      </c>
      <c r="BI14" s="2">
        <f t="shared" si="47"/>
        <v>0</v>
      </c>
      <c r="BJ14" s="2" t="e">
        <f t="shared" si="48"/>
        <v>#VALUE!</v>
      </c>
      <c r="BK14" s="2">
        <f t="shared" si="49"/>
        <v>0</v>
      </c>
      <c r="BL14" s="2" t="e">
        <f t="shared" si="50"/>
        <v>#VALUE!</v>
      </c>
      <c r="BM14" s="2">
        <f t="shared" si="51"/>
        <v>0</v>
      </c>
      <c r="BN14" s="2" t="e">
        <f t="shared" si="52"/>
        <v>#VALUE!</v>
      </c>
      <c r="BO14" s="2">
        <f t="shared" si="53"/>
        <v>0</v>
      </c>
    </row>
    <row r="15" spans="1:67">
      <c r="A15" s="24"/>
      <c r="B15" s="17"/>
      <c r="C15" s="20"/>
      <c r="D15" s="20"/>
      <c r="E15" s="19" t="str">
        <f t="shared" si="0"/>
        <v xml:space="preserve"> </v>
      </c>
      <c r="F15" s="19" t="str">
        <f>IF(AND(C15=0,D15=0)," ",+AK32)</f>
        <v xml:space="preserve"> </v>
      </c>
      <c r="G15" s="19" t="str">
        <f t="shared" si="1"/>
        <v xml:space="preserve"> </v>
      </c>
      <c r="H15" s="17"/>
      <c r="I15" s="20"/>
      <c r="J15" s="21" t="str">
        <f t="shared" si="2"/>
        <v xml:space="preserve"> </v>
      </c>
      <c r="K15" s="20"/>
      <c r="L15" s="20"/>
      <c r="M15" s="21" t="str">
        <f t="shared" si="3"/>
        <v xml:space="preserve"> </v>
      </c>
      <c r="N15" s="21" t="str">
        <f t="shared" si="4"/>
        <v xml:space="preserve"> </v>
      </c>
      <c r="O15" s="19" t="str">
        <f t="shared" si="5"/>
        <v xml:space="preserve"> </v>
      </c>
      <c r="P15" s="20"/>
      <c r="Q15" s="22" t="s">
        <v>7</v>
      </c>
      <c r="R15" s="2" t="e">
        <f t="shared" si="6"/>
        <v>#DIV/0!</v>
      </c>
      <c r="S15" s="2">
        <f t="shared" si="7"/>
        <v>0.125</v>
      </c>
      <c r="T15" s="2" t="e">
        <f t="shared" si="8"/>
        <v>#DIV/0!</v>
      </c>
      <c r="U15" s="2" t="e">
        <f t="shared" si="9"/>
        <v>#DIV/0!</v>
      </c>
      <c r="V15" s="2" t="e">
        <f t="shared" si="10"/>
        <v>#DIV/0!</v>
      </c>
      <c r="W15" s="2" t="e">
        <f t="shared" si="11"/>
        <v>#DIV/0!</v>
      </c>
      <c r="X15" s="2" t="e">
        <f t="shared" si="12"/>
        <v>#DIV/0!</v>
      </c>
      <c r="Y15" s="2" t="e">
        <f t="shared" si="13"/>
        <v>#DIV/0!</v>
      </c>
      <c r="AB15" s="2" t="e">
        <f t="shared" si="14"/>
        <v>#VALUE!</v>
      </c>
      <c r="AC15" s="2">
        <f t="shared" si="15"/>
        <v>0</v>
      </c>
      <c r="AD15" s="2" t="e">
        <f t="shared" si="16"/>
        <v>#VALUE!</v>
      </c>
      <c r="AE15" s="2">
        <f t="shared" si="17"/>
        <v>0</v>
      </c>
      <c r="AF15" s="2" t="e">
        <f t="shared" si="18"/>
        <v>#VALUE!</v>
      </c>
      <c r="AG15" s="2">
        <f t="shared" si="19"/>
        <v>0</v>
      </c>
      <c r="AH15" s="2" t="e">
        <f t="shared" si="20"/>
        <v>#VALUE!</v>
      </c>
      <c r="AI15" s="2">
        <f t="shared" si="21"/>
        <v>0</v>
      </c>
      <c r="AJ15" s="2" t="e">
        <f t="shared" si="22"/>
        <v>#VALUE!</v>
      </c>
      <c r="AK15" s="2">
        <f t="shared" si="23"/>
        <v>0</v>
      </c>
      <c r="AL15" s="2" t="e">
        <f t="shared" si="24"/>
        <v>#VALUE!</v>
      </c>
      <c r="AM15" s="2">
        <f t="shared" si="25"/>
        <v>0</v>
      </c>
      <c r="AN15" s="2" t="e">
        <f t="shared" si="26"/>
        <v>#VALUE!</v>
      </c>
      <c r="AO15" s="2">
        <f t="shared" si="27"/>
        <v>0</v>
      </c>
      <c r="AP15" s="2" t="e">
        <f t="shared" si="28"/>
        <v>#VALUE!</v>
      </c>
      <c r="AQ15" s="2">
        <f t="shared" si="29"/>
        <v>0</v>
      </c>
      <c r="AR15" s="2" t="e">
        <f t="shared" si="30"/>
        <v>#VALUE!</v>
      </c>
      <c r="AS15" s="2">
        <f t="shared" si="31"/>
        <v>0</v>
      </c>
      <c r="AT15" s="2" t="e">
        <f t="shared" si="32"/>
        <v>#VALUE!</v>
      </c>
      <c r="AU15" s="2">
        <f t="shared" si="33"/>
        <v>0</v>
      </c>
      <c r="AV15" s="2" t="e">
        <f t="shared" si="34"/>
        <v>#VALUE!</v>
      </c>
      <c r="AW15" s="2">
        <f t="shared" si="35"/>
        <v>0</v>
      </c>
      <c r="AX15" s="2" t="e">
        <f t="shared" si="36"/>
        <v>#VALUE!</v>
      </c>
      <c r="AY15" s="2">
        <f t="shared" si="37"/>
        <v>0</v>
      </c>
      <c r="AZ15" s="2" t="e">
        <f t="shared" si="38"/>
        <v>#VALUE!</v>
      </c>
      <c r="BA15" s="2">
        <f t="shared" si="39"/>
        <v>0</v>
      </c>
      <c r="BB15" s="2" t="e">
        <f t="shared" si="40"/>
        <v>#VALUE!</v>
      </c>
      <c r="BC15" s="2">
        <f t="shared" si="41"/>
        <v>0</v>
      </c>
      <c r="BD15" s="2" t="e">
        <f t="shared" si="42"/>
        <v>#VALUE!</v>
      </c>
      <c r="BE15" s="2">
        <f t="shared" si="43"/>
        <v>0</v>
      </c>
      <c r="BF15" s="2" t="e">
        <f t="shared" si="44"/>
        <v>#VALUE!</v>
      </c>
      <c r="BG15" s="2">
        <f t="shared" si="45"/>
        <v>0</v>
      </c>
      <c r="BH15" s="2" t="e">
        <f t="shared" si="46"/>
        <v>#VALUE!</v>
      </c>
      <c r="BI15" s="2">
        <f t="shared" si="47"/>
        <v>0</v>
      </c>
      <c r="BJ15" s="2" t="e">
        <f t="shared" si="48"/>
        <v>#VALUE!</v>
      </c>
      <c r="BK15" s="2">
        <f t="shared" si="49"/>
        <v>0</v>
      </c>
      <c r="BL15" s="2" t="e">
        <f t="shared" si="50"/>
        <v>#VALUE!</v>
      </c>
      <c r="BM15" s="2">
        <f t="shared" si="51"/>
        <v>0</v>
      </c>
      <c r="BN15" s="2" t="e">
        <f t="shared" si="52"/>
        <v>#VALUE!</v>
      </c>
      <c r="BO15" s="2">
        <f t="shared" si="53"/>
        <v>0</v>
      </c>
    </row>
    <row r="16" spans="1:67">
      <c r="A16" s="24"/>
      <c r="B16" s="17"/>
      <c r="C16" s="20"/>
      <c r="D16" s="20"/>
      <c r="E16" s="19" t="str">
        <f t="shared" si="0"/>
        <v xml:space="preserve"> </v>
      </c>
      <c r="F16" s="19" t="str">
        <f>IF(AND(C16=0,D16=0)," ",+AM32)</f>
        <v xml:space="preserve"> </v>
      </c>
      <c r="G16" s="19" t="str">
        <f t="shared" si="1"/>
        <v xml:space="preserve"> </v>
      </c>
      <c r="H16" s="17"/>
      <c r="I16" s="20"/>
      <c r="J16" s="21" t="str">
        <f t="shared" si="2"/>
        <v xml:space="preserve"> </v>
      </c>
      <c r="K16" s="20"/>
      <c r="L16" s="20"/>
      <c r="M16" s="21" t="str">
        <f t="shared" si="3"/>
        <v xml:space="preserve"> </v>
      </c>
      <c r="N16" s="21" t="str">
        <f t="shared" si="4"/>
        <v xml:space="preserve"> </v>
      </c>
      <c r="O16" s="19" t="str">
        <f t="shared" si="5"/>
        <v xml:space="preserve"> </v>
      </c>
      <c r="P16" s="20"/>
      <c r="Q16" s="22" t="s">
        <v>7</v>
      </c>
      <c r="R16" s="2" t="e">
        <f t="shared" si="6"/>
        <v>#DIV/0!</v>
      </c>
      <c r="S16" s="2">
        <f t="shared" si="7"/>
        <v>0.125</v>
      </c>
      <c r="T16" s="2" t="e">
        <f t="shared" si="8"/>
        <v>#DIV/0!</v>
      </c>
      <c r="U16" s="2" t="e">
        <f t="shared" si="9"/>
        <v>#DIV/0!</v>
      </c>
      <c r="V16" s="2" t="e">
        <f t="shared" si="10"/>
        <v>#DIV/0!</v>
      </c>
      <c r="W16" s="2" t="e">
        <f t="shared" si="11"/>
        <v>#DIV/0!</v>
      </c>
      <c r="X16" s="2" t="e">
        <f t="shared" si="12"/>
        <v>#DIV/0!</v>
      </c>
      <c r="Y16" s="2" t="e">
        <f t="shared" si="13"/>
        <v>#DIV/0!</v>
      </c>
      <c r="AB16" s="2" t="e">
        <f t="shared" si="14"/>
        <v>#VALUE!</v>
      </c>
      <c r="AC16" s="2">
        <f t="shared" si="15"/>
        <v>0</v>
      </c>
      <c r="AD16" s="2" t="e">
        <f t="shared" si="16"/>
        <v>#VALUE!</v>
      </c>
      <c r="AE16" s="2">
        <f t="shared" si="17"/>
        <v>0</v>
      </c>
      <c r="AF16" s="2" t="e">
        <f t="shared" si="18"/>
        <v>#VALUE!</v>
      </c>
      <c r="AG16" s="2">
        <f t="shared" si="19"/>
        <v>0</v>
      </c>
      <c r="AH16" s="2" t="e">
        <f t="shared" si="20"/>
        <v>#VALUE!</v>
      </c>
      <c r="AI16" s="2">
        <f t="shared" si="21"/>
        <v>0</v>
      </c>
      <c r="AJ16" s="2" t="e">
        <f t="shared" si="22"/>
        <v>#VALUE!</v>
      </c>
      <c r="AK16" s="2">
        <f t="shared" si="23"/>
        <v>0</v>
      </c>
      <c r="AL16" s="2" t="e">
        <f t="shared" si="24"/>
        <v>#VALUE!</v>
      </c>
      <c r="AM16" s="2">
        <f t="shared" si="25"/>
        <v>0</v>
      </c>
      <c r="AN16" s="2" t="e">
        <f t="shared" si="26"/>
        <v>#VALUE!</v>
      </c>
      <c r="AO16" s="2">
        <f t="shared" si="27"/>
        <v>0</v>
      </c>
      <c r="AP16" s="2" t="e">
        <f t="shared" si="28"/>
        <v>#VALUE!</v>
      </c>
      <c r="AQ16" s="2">
        <f t="shared" si="29"/>
        <v>0</v>
      </c>
      <c r="AR16" s="2" t="e">
        <f t="shared" si="30"/>
        <v>#VALUE!</v>
      </c>
      <c r="AS16" s="2">
        <f t="shared" si="31"/>
        <v>0</v>
      </c>
      <c r="AT16" s="2" t="e">
        <f t="shared" si="32"/>
        <v>#VALUE!</v>
      </c>
      <c r="AU16" s="2">
        <f t="shared" si="33"/>
        <v>0</v>
      </c>
      <c r="AV16" s="2" t="e">
        <f t="shared" si="34"/>
        <v>#VALUE!</v>
      </c>
      <c r="AW16" s="2">
        <f t="shared" si="35"/>
        <v>0</v>
      </c>
      <c r="AX16" s="2" t="e">
        <f t="shared" si="36"/>
        <v>#VALUE!</v>
      </c>
      <c r="AY16" s="2">
        <f t="shared" si="37"/>
        <v>0</v>
      </c>
      <c r="AZ16" s="2" t="e">
        <f t="shared" si="38"/>
        <v>#VALUE!</v>
      </c>
      <c r="BA16" s="2">
        <f t="shared" si="39"/>
        <v>0</v>
      </c>
      <c r="BB16" s="2" t="e">
        <f t="shared" si="40"/>
        <v>#VALUE!</v>
      </c>
      <c r="BC16" s="2">
        <f t="shared" si="41"/>
        <v>0</v>
      </c>
      <c r="BD16" s="2" t="e">
        <f t="shared" si="42"/>
        <v>#VALUE!</v>
      </c>
      <c r="BE16" s="2">
        <f t="shared" si="43"/>
        <v>0</v>
      </c>
      <c r="BF16" s="2" t="e">
        <f t="shared" si="44"/>
        <v>#VALUE!</v>
      </c>
      <c r="BG16" s="2">
        <f t="shared" si="45"/>
        <v>0</v>
      </c>
      <c r="BH16" s="2" t="e">
        <f t="shared" si="46"/>
        <v>#VALUE!</v>
      </c>
      <c r="BI16" s="2">
        <f t="shared" si="47"/>
        <v>0</v>
      </c>
      <c r="BJ16" s="2" t="e">
        <f t="shared" si="48"/>
        <v>#VALUE!</v>
      </c>
      <c r="BK16" s="2">
        <f t="shared" si="49"/>
        <v>0</v>
      </c>
      <c r="BL16" s="2" t="e">
        <f t="shared" si="50"/>
        <v>#VALUE!</v>
      </c>
      <c r="BM16" s="2">
        <f t="shared" si="51"/>
        <v>0</v>
      </c>
      <c r="BN16" s="2" t="e">
        <f t="shared" si="52"/>
        <v>#VALUE!</v>
      </c>
      <c r="BO16" s="2">
        <f t="shared" si="53"/>
        <v>0</v>
      </c>
    </row>
    <row r="17" spans="1:67">
      <c r="A17" s="24"/>
      <c r="B17" s="17"/>
      <c r="C17" s="20"/>
      <c r="D17" s="20"/>
      <c r="E17" s="19" t="str">
        <f t="shared" si="0"/>
        <v xml:space="preserve"> </v>
      </c>
      <c r="F17" s="19" t="str">
        <f>IF(AND(C17=0,D17=0)," ",+AO32)</f>
        <v xml:space="preserve"> </v>
      </c>
      <c r="G17" s="19" t="str">
        <f t="shared" si="1"/>
        <v xml:space="preserve"> </v>
      </c>
      <c r="H17" s="17"/>
      <c r="I17" s="20"/>
      <c r="J17" s="21" t="str">
        <f t="shared" si="2"/>
        <v xml:space="preserve"> </v>
      </c>
      <c r="K17" s="20"/>
      <c r="L17" s="20"/>
      <c r="M17" s="21" t="str">
        <f t="shared" si="3"/>
        <v xml:space="preserve"> </v>
      </c>
      <c r="N17" s="21" t="str">
        <f t="shared" si="4"/>
        <v xml:space="preserve"> </v>
      </c>
      <c r="O17" s="19" t="str">
        <f t="shared" si="5"/>
        <v xml:space="preserve"> </v>
      </c>
      <c r="P17" s="20"/>
      <c r="Q17" s="22" t="s">
        <v>7</v>
      </c>
      <c r="R17" s="2" t="e">
        <f t="shared" si="6"/>
        <v>#DIV/0!</v>
      </c>
      <c r="S17" s="2">
        <f t="shared" si="7"/>
        <v>0.125</v>
      </c>
      <c r="T17" s="2" t="e">
        <f t="shared" si="8"/>
        <v>#DIV/0!</v>
      </c>
      <c r="U17" s="2" t="e">
        <f t="shared" si="9"/>
        <v>#DIV/0!</v>
      </c>
      <c r="V17" s="2" t="e">
        <f t="shared" si="10"/>
        <v>#DIV/0!</v>
      </c>
      <c r="W17" s="2" t="e">
        <f t="shared" si="11"/>
        <v>#DIV/0!</v>
      </c>
      <c r="X17" s="2" t="e">
        <f t="shared" si="12"/>
        <v>#DIV/0!</v>
      </c>
      <c r="Y17" s="2" t="e">
        <f t="shared" si="13"/>
        <v>#DIV/0!</v>
      </c>
      <c r="AB17" s="2" t="e">
        <f t="shared" si="14"/>
        <v>#VALUE!</v>
      </c>
      <c r="AC17" s="2">
        <f t="shared" si="15"/>
        <v>0</v>
      </c>
      <c r="AD17" s="2" t="e">
        <f t="shared" si="16"/>
        <v>#VALUE!</v>
      </c>
      <c r="AE17" s="2">
        <f t="shared" si="17"/>
        <v>0</v>
      </c>
      <c r="AF17" s="2" t="e">
        <f t="shared" si="18"/>
        <v>#VALUE!</v>
      </c>
      <c r="AG17" s="2">
        <f t="shared" si="19"/>
        <v>0</v>
      </c>
      <c r="AH17" s="2" t="e">
        <f t="shared" si="20"/>
        <v>#VALUE!</v>
      </c>
      <c r="AI17" s="2">
        <f t="shared" si="21"/>
        <v>0</v>
      </c>
      <c r="AJ17" s="2" t="e">
        <f t="shared" si="22"/>
        <v>#VALUE!</v>
      </c>
      <c r="AK17" s="2">
        <f t="shared" si="23"/>
        <v>0</v>
      </c>
      <c r="AL17" s="2" t="e">
        <f t="shared" si="24"/>
        <v>#VALUE!</v>
      </c>
      <c r="AM17" s="2">
        <f t="shared" si="25"/>
        <v>0</v>
      </c>
      <c r="AN17" s="2" t="e">
        <f t="shared" si="26"/>
        <v>#VALUE!</v>
      </c>
      <c r="AO17" s="2">
        <f t="shared" si="27"/>
        <v>0</v>
      </c>
      <c r="AP17" s="2" t="e">
        <f t="shared" si="28"/>
        <v>#VALUE!</v>
      </c>
      <c r="AQ17" s="2">
        <f t="shared" si="29"/>
        <v>0</v>
      </c>
      <c r="AR17" s="2" t="e">
        <f t="shared" si="30"/>
        <v>#VALUE!</v>
      </c>
      <c r="AS17" s="2">
        <f t="shared" si="31"/>
        <v>0</v>
      </c>
      <c r="AT17" s="2" t="e">
        <f t="shared" si="32"/>
        <v>#VALUE!</v>
      </c>
      <c r="AU17" s="2">
        <f t="shared" si="33"/>
        <v>0</v>
      </c>
      <c r="AV17" s="2" t="e">
        <f t="shared" si="34"/>
        <v>#VALUE!</v>
      </c>
      <c r="AW17" s="2">
        <f t="shared" si="35"/>
        <v>0</v>
      </c>
      <c r="AX17" s="2" t="e">
        <f t="shared" si="36"/>
        <v>#VALUE!</v>
      </c>
      <c r="AY17" s="2">
        <f t="shared" si="37"/>
        <v>0</v>
      </c>
      <c r="AZ17" s="2" t="e">
        <f t="shared" si="38"/>
        <v>#VALUE!</v>
      </c>
      <c r="BA17" s="2">
        <f t="shared" si="39"/>
        <v>0</v>
      </c>
      <c r="BB17" s="2" t="e">
        <f t="shared" si="40"/>
        <v>#VALUE!</v>
      </c>
      <c r="BC17" s="2">
        <f t="shared" si="41"/>
        <v>0</v>
      </c>
      <c r="BD17" s="2" t="e">
        <f t="shared" si="42"/>
        <v>#VALUE!</v>
      </c>
      <c r="BE17" s="2">
        <f t="shared" si="43"/>
        <v>0</v>
      </c>
      <c r="BF17" s="2" t="e">
        <f t="shared" si="44"/>
        <v>#VALUE!</v>
      </c>
      <c r="BG17" s="2">
        <f t="shared" si="45"/>
        <v>0</v>
      </c>
      <c r="BH17" s="2" t="e">
        <f t="shared" si="46"/>
        <v>#VALUE!</v>
      </c>
      <c r="BI17" s="2">
        <f t="shared" si="47"/>
        <v>0</v>
      </c>
      <c r="BJ17" s="2" t="e">
        <f t="shared" si="48"/>
        <v>#VALUE!</v>
      </c>
      <c r="BK17" s="2">
        <f t="shared" si="49"/>
        <v>0</v>
      </c>
      <c r="BL17" s="2" t="e">
        <f t="shared" si="50"/>
        <v>#VALUE!</v>
      </c>
      <c r="BM17" s="2">
        <f t="shared" si="51"/>
        <v>0</v>
      </c>
      <c r="BN17" s="2" t="e">
        <f t="shared" si="52"/>
        <v>#VALUE!</v>
      </c>
      <c r="BO17" s="2">
        <f t="shared" si="53"/>
        <v>0</v>
      </c>
    </row>
    <row r="18" spans="1:67">
      <c r="A18" s="24"/>
      <c r="B18" s="17"/>
      <c r="C18" s="20"/>
      <c r="D18" s="20"/>
      <c r="E18" s="19" t="str">
        <f t="shared" si="0"/>
        <v xml:space="preserve"> </v>
      </c>
      <c r="F18" s="19" t="str">
        <f>IF(AND(C18=0,D18=0)," ",+AQ32)</f>
        <v xml:space="preserve"> </v>
      </c>
      <c r="G18" s="19" t="str">
        <f t="shared" si="1"/>
        <v xml:space="preserve"> </v>
      </c>
      <c r="H18" s="17"/>
      <c r="I18" s="20"/>
      <c r="J18" s="21" t="str">
        <f t="shared" si="2"/>
        <v xml:space="preserve"> </v>
      </c>
      <c r="K18" s="20"/>
      <c r="L18" s="20"/>
      <c r="M18" s="21" t="str">
        <f t="shared" si="3"/>
        <v xml:space="preserve"> </v>
      </c>
      <c r="N18" s="21" t="str">
        <f t="shared" si="4"/>
        <v xml:space="preserve"> </v>
      </c>
      <c r="O18" s="19" t="str">
        <f t="shared" si="5"/>
        <v xml:space="preserve"> </v>
      </c>
      <c r="P18" s="20"/>
      <c r="Q18" s="22" t="s">
        <v>7</v>
      </c>
      <c r="R18" s="2" t="e">
        <f t="shared" si="6"/>
        <v>#DIV/0!</v>
      </c>
      <c r="S18" s="2">
        <f t="shared" si="7"/>
        <v>0.125</v>
      </c>
      <c r="T18" s="2" t="e">
        <f t="shared" si="8"/>
        <v>#DIV/0!</v>
      </c>
      <c r="U18" s="2" t="e">
        <f t="shared" si="9"/>
        <v>#DIV/0!</v>
      </c>
      <c r="V18" s="2" t="e">
        <f t="shared" si="10"/>
        <v>#DIV/0!</v>
      </c>
      <c r="W18" s="2" t="e">
        <f t="shared" si="11"/>
        <v>#DIV/0!</v>
      </c>
      <c r="X18" s="2" t="e">
        <f t="shared" si="12"/>
        <v>#DIV/0!</v>
      </c>
      <c r="Y18" s="2" t="e">
        <f t="shared" si="13"/>
        <v>#DIV/0!</v>
      </c>
      <c r="AB18" s="2" t="e">
        <f t="shared" si="14"/>
        <v>#VALUE!</v>
      </c>
      <c r="AC18" s="2">
        <f t="shared" si="15"/>
        <v>0</v>
      </c>
      <c r="AD18" s="2" t="e">
        <f t="shared" si="16"/>
        <v>#VALUE!</v>
      </c>
      <c r="AE18" s="2">
        <f t="shared" si="17"/>
        <v>0</v>
      </c>
      <c r="AF18" s="2" t="e">
        <f t="shared" si="18"/>
        <v>#VALUE!</v>
      </c>
      <c r="AG18" s="2">
        <f t="shared" si="19"/>
        <v>0</v>
      </c>
      <c r="AH18" s="2" t="e">
        <f t="shared" si="20"/>
        <v>#VALUE!</v>
      </c>
      <c r="AI18" s="2">
        <f t="shared" si="21"/>
        <v>0</v>
      </c>
      <c r="AJ18" s="2" t="e">
        <f t="shared" si="22"/>
        <v>#VALUE!</v>
      </c>
      <c r="AK18" s="2">
        <f t="shared" si="23"/>
        <v>0</v>
      </c>
      <c r="AL18" s="2" t="e">
        <f t="shared" si="24"/>
        <v>#VALUE!</v>
      </c>
      <c r="AM18" s="2">
        <f t="shared" si="25"/>
        <v>0</v>
      </c>
      <c r="AN18" s="2" t="e">
        <f t="shared" si="26"/>
        <v>#VALUE!</v>
      </c>
      <c r="AO18" s="2">
        <f t="shared" si="27"/>
        <v>0</v>
      </c>
      <c r="AP18" s="2" t="e">
        <f t="shared" si="28"/>
        <v>#VALUE!</v>
      </c>
      <c r="AQ18" s="2">
        <f t="shared" si="29"/>
        <v>0</v>
      </c>
      <c r="AR18" s="2" t="e">
        <f t="shared" si="30"/>
        <v>#VALUE!</v>
      </c>
      <c r="AS18" s="2">
        <f t="shared" si="31"/>
        <v>0</v>
      </c>
      <c r="AT18" s="2" t="e">
        <f t="shared" si="32"/>
        <v>#VALUE!</v>
      </c>
      <c r="AU18" s="2">
        <f t="shared" si="33"/>
        <v>0</v>
      </c>
      <c r="AV18" s="2" t="e">
        <f t="shared" si="34"/>
        <v>#VALUE!</v>
      </c>
      <c r="AW18" s="2">
        <f t="shared" si="35"/>
        <v>0</v>
      </c>
      <c r="AX18" s="2" t="e">
        <f t="shared" si="36"/>
        <v>#VALUE!</v>
      </c>
      <c r="AY18" s="2">
        <f t="shared" si="37"/>
        <v>0</v>
      </c>
      <c r="AZ18" s="2" t="e">
        <f t="shared" si="38"/>
        <v>#VALUE!</v>
      </c>
      <c r="BA18" s="2">
        <f t="shared" si="39"/>
        <v>0</v>
      </c>
      <c r="BB18" s="2" t="e">
        <f t="shared" si="40"/>
        <v>#VALUE!</v>
      </c>
      <c r="BC18" s="2">
        <f t="shared" si="41"/>
        <v>0</v>
      </c>
      <c r="BD18" s="2" t="e">
        <f t="shared" si="42"/>
        <v>#VALUE!</v>
      </c>
      <c r="BE18" s="2">
        <f t="shared" si="43"/>
        <v>0</v>
      </c>
      <c r="BF18" s="2" t="e">
        <f t="shared" si="44"/>
        <v>#VALUE!</v>
      </c>
      <c r="BG18" s="2">
        <f t="shared" si="45"/>
        <v>0</v>
      </c>
      <c r="BH18" s="2" t="e">
        <f t="shared" si="46"/>
        <v>#VALUE!</v>
      </c>
      <c r="BI18" s="2">
        <f t="shared" si="47"/>
        <v>0</v>
      </c>
      <c r="BJ18" s="2" t="e">
        <f t="shared" si="48"/>
        <v>#VALUE!</v>
      </c>
      <c r="BK18" s="2">
        <f t="shared" si="49"/>
        <v>0</v>
      </c>
      <c r="BL18" s="2" t="e">
        <f t="shared" si="50"/>
        <v>#VALUE!</v>
      </c>
      <c r="BM18" s="2">
        <f t="shared" si="51"/>
        <v>0</v>
      </c>
      <c r="BN18" s="2" t="e">
        <f t="shared" si="52"/>
        <v>#VALUE!</v>
      </c>
      <c r="BO18" s="2">
        <f t="shared" si="53"/>
        <v>0</v>
      </c>
    </row>
    <row r="19" spans="1:67">
      <c r="A19" s="24"/>
      <c r="B19" s="17"/>
      <c r="C19" s="20"/>
      <c r="D19" s="20"/>
      <c r="E19" s="19" t="str">
        <f t="shared" si="0"/>
        <v xml:space="preserve"> </v>
      </c>
      <c r="F19" s="19" t="str">
        <f>IF(AND(C19=0,D19=0)," ",+AS32)</f>
        <v xml:space="preserve"> </v>
      </c>
      <c r="G19" s="19" t="str">
        <f t="shared" si="1"/>
        <v xml:space="preserve"> </v>
      </c>
      <c r="H19" s="17"/>
      <c r="I19" s="20"/>
      <c r="J19" s="21" t="str">
        <f t="shared" si="2"/>
        <v xml:space="preserve"> </v>
      </c>
      <c r="K19" s="20"/>
      <c r="L19" s="20"/>
      <c r="M19" s="21" t="str">
        <f t="shared" si="3"/>
        <v xml:space="preserve"> </v>
      </c>
      <c r="N19" s="21" t="str">
        <f t="shared" si="4"/>
        <v xml:space="preserve"> </v>
      </c>
      <c r="O19" s="19" t="str">
        <f t="shared" si="5"/>
        <v xml:space="preserve"> </v>
      </c>
      <c r="P19" s="20"/>
      <c r="Q19" s="22" t="s">
        <v>7</v>
      </c>
      <c r="R19" s="2" t="e">
        <f t="shared" si="6"/>
        <v>#DIV/0!</v>
      </c>
      <c r="S19" s="2">
        <f t="shared" si="7"/>
        <v>0.125</v>
      </c>
      <c r="T19" s="2" t="e">
        <f t="shared" si="8"/>
        <v>#DIV/0!</v>
      </c>
      <c r="U19" s="2" t="e">
        <f t="shared" si="9"/>
        <v>#DIV/0!</v>
      </c>
      <c r="V19" s="2" t="e">
        <f t="shared" si="10"/>
        <v>#DIV/0!</v>
      </c>
      <c r="W19" s="2" t="e">
        <f t="shared" si="11"/>
        <v>#DIV/0!</v>
      </c>
      <c r="X19" s="2" t="e">
        <f t="shared" si="12"/>
        <v>#DIV/0!</v>
      </c>
      <c r="Y19" s="2" t="e">
        <f t="shared" si="13"/>
        <v>#DIV/0!</v>
      </c>
      <c r="AB19" s="2" t="e">
        <f t="shared" si="14"/>
        <v>#VALUE!</v>
      </c>
      <c r="AC19" s="2">
        <f t="shared" si="15"/>
        <v>0</v>
      </c>
      <c r="AD19" s="2" t="e">
        <f t="shared" si="16"/>
        <v>#VALUE!</v>
      </c>
      <c r="AE19" s="2">
        <f t="shared" si="17"/>
        <v>0</v>
      </c>
      <c r="AF19" s="2" t="e">
        <f t="shared" si="18"/>
        <v>#VALUE!</v>
      </c>
      <c r="AG19" s="2">
        <f t="shared" si="19"/>
        <v>0</v>
      </c>
      <c r="AH19" s="2" t="e">
        <f t="shared" si="20"/>
        <v>#VALUE!</v>
      </c>
      <c r="AI19" s="2">
        <f t="shared" si="21"/>
        <v>0</v>
      </c>
      <c r="AJ19" s="2" t="e">
        <f t="shared" si="22"/>
        <v>#VALUE!</v>
      </c>
      <c r="AK19" s="2">
        <f t="shared" si="23"/>
        <v>0</v>
      </c>
      <c r="AL19" s="2" t="e">
        <f t="shared" si="24"/>
        <v>#VALUE!</v>
      </c>
      <c r="AM19" s="2">
        <f t="shared" si="25"/>
        <v>0</v>
      </c>
      <c r="AN19" s="2" t="e">
        <f t="shared" si="26"/>
        <v>#VALUE!</v>
      </c>
      <c r="AO19" s="2">
        <f t="shared" si="27"/>
        <v>0</v>
      </c>
      <c r="AP19" s="2" t="e">
        <f t="shared" si="28"/>
        <v>#VALUE!</v>
      </c>
      <c r="AQ19" s="2">
        <f t="shared" si="29"/>
        <v>0</v>
      </c>
      <c r="AR19" s="2" t="e">
        <f t="shared" si="30"/>
        <v>#VALUE!</v>
      </c>
      <c r="AS19" s="2">
        <f t="shared" si="31"/>
        <v>0</v>
      </c>
      <c r="AT19" s="2" t="e">
        <f t="shared" si="32"/>
        <v>#VALUE!</v>
      </c>
      <c r="AU19" s="2">
        <f t="shared" si="33"/>
        <v>0</v>
      </c>
      <c r="AV19" s="2" t="e">
        <f t="shared" si="34"/>
        <v>#VALUE!</v>
      </c>
      <c r="AW19" s="2">
        <f t="shared" si="35"/>
        <v>0</v>
      </c>
      <c r="AX19" s="2" t="e">
        <f t="shared" si="36"/>
        <v>#VALUE!</v>
      </c>
      <c r="AY19" s="2">
        <f t="shared" si="37"/>
        <v>0</v>
      </c>
      <c r="AZ19" s="2" t="e">
        <f t="shared" si="38"/>
        <v>#VALUE!</v>
      </c>
      <c r="BA19" s="2">
        <f t="shared" si="39"/>
        <v>0</v>
      </c>
      <c r="BB19" s="2" t="e">
        <f t="shared" si="40"/>
        <v>#VALUE!</v>
      </c>
      <c r="BC19" s="2">
        <f t="shared" si="41"/>
        <v>0</v>
      </c>
      <c r="BD19" s="2" t="e">
        <f t="shared" si="42"/>
        <v>#VALUE!</v>
      </c>
      <c r="BE19" s="2">
        <f t="shared" si="43"/>
        <v>0</v>
      </c>
      <c r="BF19" s="2" t="e">
        <f t="shared" si="44"/>
        <v>#VALUE!</v>
      </c>
      <c r="BG19" s="2">
        <f t="shared" si="45"/>
        <v>0</v>
      </c>
      <c r="BH19" s="2" t="e">
        <f t="shared" si="46"/>
        <v>#VALUE!</v>
      </c>
      <c r="BI19" s="2">
        <f t="shared" si="47"/>
        <v>0</v>
      </c>
      <c r="BJ19" s="2" t="e">
        <f t="shared" si="48"/>
        <v>#VALUE!</v>
      </c>
      <c r="BK19" s="2">
        <f t="shared" si="49"/>
        <v>0</v>
      </c>
      <c r="BL19" s="2" t="e">
        <f t="shared" si="50"/>
        <v>#VALUE!</v>
      </c>
      <c r="BM19" s="2">
        <f t="shared" si="51"/>
        <v>0</v>
      </c>
      <c r="BN19" s="2" t="e">
        <f t="shared" si="52"/>
        <v>#VALUE!</v>
      </c>
      <c r="BO19" s="2">
        <f t="shared" si="53"/>
        <v>0</v>
      </c>
    </row>
    <row r="20" spans="1:67">
      <c r="A20" s="24"/>
      <c r="B20" s="17"/>
      <c r="C20" s="20"/>
      <c r="D20" s="20"/>
      <c r="E20" s="19" t="str">
        <f t="shared" si="0"/>
        <v xml:space="preserve"> </v>
      </c>
      <c r="F20" s="19" t="str">
        <f>IF(AND(C20=0,D20=0)," ",AU32)</f>
        <v xml:space="preserve"> </v>
      </c>
      <c r="G20" s="19" t="str">
        <f t="shared" si="1"/>
        <v xml:space="preserve"> </v>
      </c>
      <c r="H20" s="17"/>
      <c r="I20" s="20"/>
      <c r="J20" s="21" t="str">
        <f t="shared" si="2"/>
        <v xml:space="preserve"> </v>
      </c>
      <c r="K20" s="20"/>
      <c r="L20" s="20"/>
      <c r="M20" s="21" t="str">
        <f t="shared" si="3"/>
        <v xml:space="preserve"> </v>
      </c>
      <c r="N20" s="21" t="str">
        <f t="shared" si="4"/>
        <v xml:space="preserve"> </v>
      </c>
      <c r="O20" s="19" t="str">
        <f t="shared" si="5"/>
        <v xml:space="preserve"> </v>
      </c>
      <c r="P20" s="20"/>
      <c r="Q20" s="22" t="s">
        <v>7</v>
      </c>
      <c r="R20" s="2" t="e">
        <f t="shared" si="6"/>
        <v>#DIV/0!</v>
      </c>
      <c r="S20" s="2">
        <f t="shared" si="7"/>
        <v>0.125</v>
      </c>
      <c r="T20" s="2" t="e">
        <f t="shared" si="8"/>
        <v>#DIV/0!</v>
      </c>
      <c r="U20" s="2" t="e">
        <f t="shared" si="9"/>
        <v>#DIV/0!</v>
      </c>
      <c r="V20" s="2" t="e">
        <f t="shared" si="10"/>
        <v>#DIV/0!</v>
      </c>
      <c r="W20" s="2" t="e">
        <f t="shared" si="11"/>
        <v>#DIV/0!</v>
      </c>
      <c r="X20" s="2" t="e">
        <f t="shared" si="12"/>
        <v>#DIV/0!</v>
      </c>
      <c r="Y20" s="2" t="e">
        <f t="shared" si="13"/>
        <v>#DIV/0!</v>
      </c>
      <c r="AB20" s="2" t="e">
        <f t="shared" si="14"/>
        <v>#VALUE!</v>
      </c>
      <c r="AC20" s="2">
        <f t="shared" si="15"/>
        <v>0</v>
      </c>
      <c r="AD20" s="2" t="e">
        <f t="shared" si="16"/>
        <v>#VALUE!</v>
      </c>
      <c r="AE20" s="2">
        <f t="shared" si="17"/>
        <v>0</v>
      </c>
      <c r="AF20" s="2" t="e">
        <f t="shared" si="18"/>
        <v>#VALUE!</v>
      </c>
      <c r="AG20" s="2">
        <f t="shared" si="19"/>
        <v>0</v>
      </c>
      <c r="AH20" s="2" t="e">
        <f t="shared" si="20"/>
        <v>#VALUE!</v>
      </c>
      <c r="AI20" s="2">
        <f t="shared" si="21"/>
        <v>0</v>
      </c>
      <c r="AJ20" s="2" t="e">
        <f t="shared" si="22"/>
        <v>#VALUE!</v>
      </c>
      <c r="AK20" s="2">
        <f t="shared" si="23"/>
        <v>0</v>
      </c>
      <c r="AL20" s="2" t="e">
        <f t="shared" si="24"/>
        <v>#VALUE!</v>
      </c>
      <c r="AM20" s="2">
        <f t="shared" si="25"/>
        <v>0</v>
      </c>
      <c r="AN20" s="2" t="e">
        <f t="shared" si="26"/>
        <v>#VALUE!</v>
      </c>
      <c r="AO20" s="2">
        <f t="shared" si="27"/>
        <v>0</v>
      </c>
      <c r="AP20" s="2" t="e">
        <f t="shared" si="28"/>
        <v>#VALUE!</v>
      </c>
      <c r="AQ20" s="2">
        <f t="shared" si="29"/>
        <v>0</v>
      </c>
      <c r="AR20" s="2" t="e">
        <f t="shared" si="30"/>
        <v>#VALUE!</v>
      </c>
      <c r="AS20" s="2">
        <f t="shared" si="31"/>
        <v>0</v>
      </c>
      <c r="AT20" s="2" t="e">
        <f t="shared" si="32"/>
        <v>#VALUE!</v>
      </c>
      <c r="AU20" s="2">
        <f t="shared" si="33"/>
        <v>0</v>
      </c>
      <c r="AV20" s="2" t="e">
        <f t="shared" si="34"/>
        <v>#VALUE!</v>
      </c>
      <c r="AW20" s="2">
        <f t="shared" si="35"/>
        <v>0</v>
      </c>
      <c r="AX20" s="2" t="e">
        <f t="shared" si="36"/>
        <v>#VALUE!</v>
      </c>
      <c r="AY20" s="2">
        <f t="shared" si="37"/>
        <v>0</v>
      </c>
      <c r="AZ20" s="2" t="e">
        <f t="shared" si="38"/>
        <v>#VALUE!</v>
      </c>
      <c r="BA20" s="2">
        <f t="shared" si="39"/>
        <v>0</v>
      </c>
      <c r="BB20" s="2" t="e">
        <f t="shared" si="40"/>
        <v>#VALUE!</v>
      </c>
      <c r="BC20" s="2">
        <f t="shared" si="41"/>
        <v>0</v>
      </c>
      <c r="BD20" s="2" t="e">
        <f t="shared" si="42"/>
        <v>#VALUE!</v>
      </c>
      <c r="BE20" s="2">
        <f t="shared" si="43"/>
        <v>0</v>
      </c>
      <c r="BF20" s="2" t="e">
        <f t="shared" si="44"/>
        <v>#VALUE!</v>
      </c>
      <c r="BG20" s="2">
        <f t="shared" si="45"/>
        <v>0</v>
      </c>
      <c r="BH20" s="2" t="e">
        <f t="shared" si="46"/>
        <v>#VALUE!</v>
      </c>
      <c r="BI20" s="2">
        <f t="shared" si="47"/>
        <v>0</v>
      </c>
      <c r="BJ20" s="2" t="e">
        <f t="shared" si="48"/>
        <v>#VALUE!</v>
      </c>
      <c r="BK20" s="2">
        <f t="shared" si="49"/>
        <v>0</v>
      </c>
      <c r="BL20" s="2" t="e">
        <f t="shared" si="50"/>
        <v>#VALUE!</v>
      </c>
      <c r="BM20" s="2">
        <f t="shared" si="51"/>
        <v>0</v>
      </c>
      <c r="BN20" s="2" t="e">
        <f t="shared" si="52"/>
        <v>#VALUE!</v>
      </c>
      <c r="BO20" s="2">
        <f t="shared" si="53"/>
        <v>0</v>
      </c>
    </row>
    <row r="21" spans="1:67">
      <c r="A21" s="24"/>
      <c r="B21" s="17"/>
      <c r="C21" s="20"/>
      <c r="D21" s="20"/>
      <c r="E21" s="19" t="str">
        <f t="shared" si="0"/>
        <v xml:space="preserve"> </v>
      </c>
      <c r="F21" s="19" t="str">
        <f>IF(AND(C21=0,D21=0)," ",AW32)</f>
        <v xml:space="preserve"> </v>
      </c>
      <c r="G21" s="19" t="str">
        <f t="shared" si="1"/>
        <v xml:space="preserve"> </v>
      </c>
      <c r="H21" s="17"/>
      <c r="I21" s="20"/>
      <c r="J21" s="21" t="str">
        <f t="shared" si="2"/>
        <v xml:space="preserve"> </v>
      </c>
      <c r="K21" s="20"/>
      <c r="L21" s="20"/>
      <c r="M21" s="21" t="str">
        <f t="shared" si="3"/>
        <v xml:space="preserve"> </v>
      </c>
      <c r="N21" s="21" t="str">
        <f t="shared" si="4"/>
        <v xml:space="preserve"> </v>
      </c>
      <c r="O21" s="19" t="str">
        <f t="shared" si="5"/>
        <v xml:space="preserve"> </v>
      </c>
      <c r="P21" s="20"/>
      <c r="Q21" s="22" t="s">
        <v>7</v>
      </c>
      <c r="R21" s="2" t="e">
        <f t="shared" si="6"/>
        <v>#DIV/0!</v>
      </c>
      <c r="S21" s="2">
        <f t="shared" si="7"/>
        <v>0.125</v>
      </c>
      <c r="T21" s="2" t="e">
        <f t="shared" si="8"/>
        <v>#DIV/0!</v>
      </c>
      <c r="U21" s="2" t="e">
        <f t="shared" si="9"/>
        <v>#DIV/0!</v>
      </c>
      <c r="V21" s="2" t="e">
        <f t="shared" si="10"/>
        <v>#DIV/0!</v>
      </c>
      <c r="W21" s="2" t="e">
        <f t="shared" si="11"/>
        <v>#DIV/0!</v>
      </c>
      <c r="X21" s="2" t="e">
        <f t="shared" si="12"/>
        <v>#DIV/0!</v>
      </c>
      <c r="Y21" s="2" t="e">
        <f t="shared" si="13"/>
        <v>#DIV/0!</v>
      </c>
      <c r="AB21" s="2" t="e">
        <f t="shared" si="14"/>
        <v>#VALUE!</v>
      </c>
      <c r="AC21" s="2">
        <f t="shared" si="15"/>
        <v>0</v>
      </c>
      <c r="AD21" s="2" t="e">
        <f t="shared" si="16"/>
        <v>#VALUE!</v>
      </c>
      <c r="AE21" s="2">
        <f t="shared" si="17"/>
        <v>0</v>
      </c>
      <c r="AF21" s="2" t="e">
        <f t="shared" si="18"/>
        <v>#VALUE!</v>
      </c>
      <c r="AG21" s="2">
        <f t="shared" si="19"/>
        <v>0</v>
      </c>
      <c r="AH21" s="2" t="e">
        <f t="shared" si="20"/>
        <v>#VALUE!</v>
      </c>
      <c r="AI21" s="2">
        <f t="shared" si="21"/>
        <v>0</v>
      </c>
      <c r="AJ21" s="2" t="e">
        <f t="shared" si="22"/>
        <v>#VALUE!</v>
      </c>
      <c r="AK21" s="2">
        <f t="shared" si="23"/>
        <v>0</v>
      </c>
      <c r="AL21" s="2" t="e">
        <f t="shared" si="24"/>
        <v>#VALUE!</v>
      </c>
      <c r="AM21" s="2">
        <f t="shared" si="25"/>
        <v>0</v>
      </c>
      <c r="AN21" s="2" t="e">
        <f t="shared" si="26"/>
        <v>#VALUE!</v>
      </c>
      <c r="AO21" s="2">
        <f t="shared" si="27"/>
        <v>0</v>
      </c>
      <c r="AP21" s="2" t="e">
        <f t="shared" si="28"/>
        <v>#VALUE!</v>
      </c>
      <c r="AQ21" s="2">
        <f t="shared" si="29"/>
        <v>0</v>
      </c>
      <c r="AR21" s="2" t="e">
        <f t="shared" si="30"/>
        <v>#VALUE!</v>
      </c>
      <c r="AS21" s="2">
        <f t="shared" si="31"/>
        <v>0</v>
      </c>
      <c r="AT21" s="2" t="e">
        <f t="shared" si="32"/>
        <v>#VALUE!</v>
      </c>
      <c r="AU21" s="2">
        <f t="shared" si="33"/>
        <v>0</v>
      </c>
      <c r="AV21" s="2" t="e">
        <f t="shared" si="34"/>
        <v>#VALUE!</v>
      </c>
      <c r="AW21" s="2">
        <f t="shared" si="35"/>
        <v>0</v>
      </c>
      <c r="AX21" s="2" t="e">
        <f t="shared" si="36"/>
        <v>#VALUE!</v>
      </c>
      <c r="AY21" s="2">
        <f t="shared" si="37"/>
        <v>0</v>
      </c>
      <c r="AZ21" s="2" t="e">
        <f t="shared" si="38"/>
        <v>#VALUE!</v>
      </c>
      <c r="BA21" s="2">
        <f t="shared" si="39"/>
        <v>0</v>
      </c>
      <c r="BB21" s="2" t="e">
        <f t="shared" si="40"/>
        <v>#VALUE!</v>
      </c>
      <c r="BC21" s="2">
        <f t="shared" si="41"/>
        <v>0</v>
      </c>
      <c r="BD21" s="2" t="e">
        <f t="shared" si="42"/>
        <v>#VALUE!</v>
      </c>
      <c r="BE21" s="2">
        <f t="shared" si="43"/>
        <v>0</v>
      </c>
      <c r="BF21" s="2" t="e">
        <f t="shared" si="44"/>
        <v>#VALUE!</v>
      </c>
      <c r="BG21" s="2">
        <f t="shared" si="45"/>
        <v>0</v>
      </c>
      <c r="BH21" s="2" t="e">
        <f t="shared" si="46"/>
        <v>#VALUE!</v>
      </c>
      <c r="BI21" s="2">
        <f t="shared" si="47"/>
        <v>0</v>
      </c>
      <c r="BJ21" s="2" t="e">
        <f t="shared" si="48"/>
        <v>#VALUE!</v>
      </c>
      <c r="BK21" s="2">
        <f t="shared" si="49"/>
        <v>0</v>
      </c>
      <c r="BL21" s="2" t="e">
        <f t="shared" si="50"/>
        <v>#VALUE!</v>
      </c>
      <c r="BM21" s="2">
        <f t="shared" si="51"/>
        <v>0</v>
      </c>
      <c r="BN21" s="2" t="e">
        <f t="shared" si="52"/>
        <v>#VALUE!</v>
      </c>
      <c r="BO21" s="2">
        <f t="shared" si="53"/>
        <v>0</v>
      </c>
    </row>
    <row r="22" spans="1:67">
      <c r="A22" s="24"/>
      <c r="B22" s="17"/>
      <c r="C22" s="20"/>
      <c r="D22" s="20"/>
      <c r="E22" s="19" t="str">
        <f t="shared" si="0"/>
        <v xml:space="preserve"> </v>
      </c>
      <c r="F22" s="19" t="str">
        <f>IF(AND(C22=0,D22=0)," ",+AY32)</f>
        <v xml:space="preserve"> </v>
      </c>
      <c r="G22" s="19" t="str">
        <f t="shared" si="1"/>
        <v xml:space="preserve"> </v>
      </c>
      <c r="H22" s="17"/>
      <c r="I22" s="20"/>
      <c r="J22" s="21" t="str">
        <f t="shared" si="2"/>
        <v xml:space="preserve"> </v>
      </c>
      <c r="K22" s="20"/>
      <c r="L22" s="20"/>
      <c r="M22" s="21" t="str">
        <f t="shared" si="3"/>
        <v xml:space="preserve"> </v>
      </c>
      <c r="N22" s="21" t="str">
        <f t="shared" si="4"/>
        <v xml:space="preserve"> </v>
      </c>
      <c r="O22" s="19" t="str">
        <f t="shared" si="5"/>
        <v xml:space="preserve"> </v>
      </c>
      <c r="P22" s="20"/>
      <c r="Q22" s="22" t="s">
        <v>7</v>
      </c>
      <c r="R22" s="2" t="e">
        <f t="shared" si="6"/>
        <v>#DIV/0!</v>
      </c>
      <c r="S22" s="2">
        <f t="shared" si="7"/>
        <v>0.125</v>
      </c>
      <c r="T22" s="2" t="e">
        <f t="shared" si="8"/>
        <v>#DIV/0!</v>
      </c>
      <c r="U22" s="2" t="e">
        <f t="shared" si="9"/>
        <v>#DIV/0!</v>
      </c>
      <c r="V22" s="2" t="e">
        <f t="shared" si="10"/>
        <v>#DIV/0!</v>
      </c>
      <c r="W22" s="2" t="e">
        <f t="shared" si="11"/>
        <v>#DIV/0!</v>
      </c>
      <c r="X22" s="2" t="e">
        <f t="shared" si="12"/>
        <v>#DIV/0!</v>
      </c>
      <c r="Y22" s="2" t="e">
        <f t="shared" si="13"/>
        <v>#DIV/0!</v>
      </c>
      <c r="AB22" s="2" t="e">
        <f t="shared" si="14"/>
        <v>#VALUE!</v>
      </c>
      <c r="AC22" s="2">
        <f t="shared" si="15"/>
        <v>0</v>
      </c>
      <c r="AD22" s="2" t="e">
        <f t="shared" si="16"/>
        <v>#VALUE!</v>
      </c>
      <c r="AE22" s="2">
        <f t="shared" si="17"/>
        <v>0</v>
      </c>
      <c r="AF22" s="2" t="e">
        <f t="shared" si="18"/>
        <v>#VALUE!</v>
      </c>
      <c r="AG22" s="2">
        <f t="shared" si="19"/>
        <v>0</v>
      </c>
      <c r="AH22" s="2" t="e">
        <f t="shared" si="20"/>
        <v>#VALUE!</v>
      </c>
      <c r="AI22" s="2">
        <f t="shared" si="21"/>
        <v>0</v>
      </c>
      <c r="AJ22" s="2" t="e">
        <f t="shared" si="22"/>
        <v>#VALUE!</v>
      </c>
      <c r="AK22" s="2">
        <f t="shared" si="23"/>
        <v>0</v>
      </c>
      <c r="AL22" s="2" t="e">
        <f t="shared" si="24"/>
        <v>#VALUE!</v>
      </c>
      <c r="AM22" s="2">
        <f t="shared" si="25"/>
        <v>0</v>
      </c>
      <c r="AN22" s="2" t="e">
        <f t="shared" si="26"/>
        <v>#VALUE!</v>
      </c>
      <c r="AO22" s="2">
        <f t="shared" si="27"/>
        <v>0</v>
      </c>
      <c r="AP22" s="2" t="e">
        <f t="shared" si="28"/>
        <v>#VALUE!</v>
      </c>
      <c r="AQ22" s="2">
        <f t="shared" si="29"/>
        <v>0</v>
      </c>
      <c r="AR22" s="2" t="e">
        <f t="shared" si="30"/>
        <v>#VALUE!</v>
      </c>
      <c r="AS22" s="2">
        <f t="shared" si="31"/>
        <v>0</v>
      </c>
      <c r="AT22" s="2" t="e">
        <f t="shared" si="32"/>
        <v>#VALUE!</v>
      </c>
      <c r="AU22" s="2">
        <f t="shared" si="33"/>
        <v>0</v>
      </c>
      <c r="AV22" s="2" t="e">
        <f t="shared" si="34"/>
        <v>#VALUE!</v>
      </c>
      <c r="AW22" s="2">
        <f t="shared" si="35"/>
        <v>0</v>
      </c>
      <c r="AX22" s="2" t="e">
        <f t="shared" si="36"/>
        <v>#VALUE!</v>
      </c>
      <c r="AY22" s="2">
        <f t="shared" si="37"/>
        <v>0</v>
      </c>
      <c r="AZ22" s="2" t="e">
        <f t="shared" si="38"/>
        <v>#VALUE!</v>
      </c>
      <c r="BA22" s="2">
        <f t="shared" si="39"/>
        <v>0</v>
      </c>
      <c r="BB22" s="2" t="e">
        <f t="shared" si="40"/>
        <v>#VALUE!</v>
      </c>
      <c r="BC22" s="2">
        <f t="shared" si="41"/>
        <v>0</v>
      </c>
      <c r="BD22" s="2" t="e">
        <f t="shared" si="42"/>
        <v>#VALUE!</v>
      </c>
      <c r="BE22" s="2">
        <f t="shared" si="43"/>
        <v>0</v>
      </c>
      <c r="BF22" s="2" t="e">
        <f t="shared" si="44"/>
        <v>#VALUE!</v>
      </c>
      <c r="BG22" s="2">
        <f t="shared" si="45"/>
        <v>0</v>
      </c>
      <c r="BH22" s="2" t="e">
        <f t="shared" si="46"/>
        <v>#VALUE!</v>
      </c>
      <c r="BI22" s="2">
        <f t="shared" si="47"/>
        <v>0</v>
      </c>
      <c r="BJ22" s="2" t="e">
        <f t="shared" si="48"/>
        <v>#VALUE!</v>
      </c>
      <c r="BK22" s="2">
        <f t="shared" si="49"/>
        <v>0</v>
      </c>
      <c r="BL22" s="2" t="e">
        <f t="shared" si="50"/>
        <v>#VALUE!</v>
      </c>
      <c r="BM22" s="2">
        <f t="shared" si="51"/>
        <v>0</v>
      </c>
      <c r="BN22" s="2" t="e">
        <f t="shared" si="52"/>
        <v>#VALUE!</v>
      </c>
      <c r="BO22" s="2">
        <f t="shared" si="53"/>
        <v>0</v>
      </c>
    </row>
    <row r="23" spans="1:67">
      <c r="A23" s="24"/>
      <c r="B23" s="17"/>
      <c r="C23" s="20"/>
      <c r="D23" s="20"/>
      <c r="E23" s="19" t="str">
        <f t="shared" si="0"/>
        <v xml:space="preserve"> </v>
      </c>
      <c r="F23" s="19" t="str">
        <f>IF(AND(C23=0,D23=0)," ",BA32)</f>
        <v xml:space="preserve"> </v>
      </c>
      <c r="G23" s="19" t="str">
        <f t="shared" si="1"/>
        <v xml:space="preserve"> </v>
      </c>
      <c r="H23" s="17"/>
      <c r="I23" s="20"/>
      <c r="J23" s="21" t="str">
        <f t="shared" si="2"/>
        <v xml:space="preserve"> </v>
      </c>
      <c r="K23" s="20"/>
      <c r="L23" s="20"/>
      <c r="M23" s="21" t="str">
        <f t="shared" si="3"/>
        <v xml:space="preserve"> </v>
      </c>
      <c r="N23" s="21" t="str">
        <f t="shared" si="4"/>
        <v xml:space="preserve"> </v>
      </c>
      <c r="O23" s="19" t="str">
        <f t="shared" si="5"/>
        <v xml:space="preserve"> </v>
      </c>
      <c r="P23" s="20"/>
      <c r="Q23" s="22" t="s">
        <v>7</v>
      </c>
      <c r="R23" s="2" t="e">
        <f t="shared" si="6"/>
        <v>#DIV/0!</v>
      </c>
      <c r="S23" s="2">
        <f t="shared" si="7"/>
        <v>0.125</v>
      </c>
      <c r="T23" s="2" t="e">
        <f t="shared" si="8"/>
        <v>#DIV/0!</v>
      </c>
      <c r="U23" s="2" t="e">
        <f t="shared" si="9"/>
        <v>#DIV/0!</v>
      </c>
      <c r="V23" s="2" t="e">
        <f t="shared" si="10"/>
        <v>#DIV/0!</v>
      </c>
      <c r="W23" s="2" t="e">
        <f t="shared" si="11"/>
        <v>#DIV/0!</v>
      </c>
      <c r="X23" s="2" t="e">
        <f t="shared" si="12"/>
        <v>#DIV/0!</v>
      </c>
      <c r="Y23" s="2" t="e">
        <f t="shared" si="13"/>
        <v>#DIV/0!</v>
      </c>
      <c r="AB23" s="2" t="e">
        <f t="shared" si="14"/>
        <v>#VALUE!</v>
      </c>
      <c r="AC23" s="2">
        <f t="shared" si="15"/>
        <v>0</v>
      </c>
      <c r="AD23" s="2" t="e">
        <f t="shared" si="16"/>
        <v>#VALUE!</v>
      </c>
      <c r="AE23" s="2">
        <f t="shared" si="17"/>
        <v>0</v>
      </c>
      <c r="AF23" s="2" t="e">
        <f t="shared" si="18"/>
        <v>#VALUE!</v>
      </c>
      <c r="AG23" s="2">
        <f t="shared" si="19"/>
        <v>0</v>
      </c>
      <c r="AH23" s="2" t="e">
        <f t="shared" si="20"/>
        <v>#VALUE!</v>
      </c>
      <c r="AI23" s="2">
        <f t="shared" si="21"/>
        <v>0</v>
      </c>
      <c r="AJ23" s="2" t="e">
        <f t="shared" si="22"/>
        <v>#VALUE!</v>
      </c>
      <c r="AK23" s="2">
        <f t="shared" si="23"/>
        <v>0</v>
      </c>
      <c r="AL23" s="2" t="e">
        <f t="shared" si="24"/>
        <v>#VALUE!</v>
      </c>
      <c r="AM23" s="2">
        <f t="shared" si="25"/>
        <v>0</v>
      </c>
      <c r="AN23" s="2" t="e">
        <f t="shared" si="26"/>
        <v>#VALUE!</v>
      </c>
      <c r="AO23" s="2">
        <f t="shared" si="27"/>
        <v>0</v>
      </c>
      <c r="AP23" s="2" t="e">
        <f t="shared" si="28"/>
        <v>#VALUE!</v>
      </c>
      <c r="AQ23" s="2">
        <f t="shared" si="29"/>
        <v>0</v>
      </c>
      <c r="AR23" s="2" t="e">
        <f t="shared" si="30"/>
        <v>#VALUE!</v>
      </c>
      <c r="AS23" s="2">
        <f t="shared" si="31"/>
        <v>0</v>
      </c>
      <c r="AT23" s="2" t="e">
        <f t="shared" si="32"/>
        <v>#VALUE!</v>
      </c>
      <c r="AU23" s="2">
        <f t="shared" si="33"/>
        <v>0</v>
      </c>
      <c r="AV23" s="2" t="e">
        <f t="shared" si="34"/>
        <v>#VALUE!</v>
      </c>
      <c r="AW23" s="2">
        <f t="shared" si="35"/>
        <v>0</v>
      </c>
      <c r="AX23" s="2" t="e">
        <f t="shared" si="36"/>
        <v>#VALUE!</v>
      </c>
      <c r="AY23" s="2">
        <f t="shared" si="37"/>
        <v>0</v>
      </c>
      <c r="AZ23" s="2" t="e">
        <f t="shared" si="38"/>
        <v>#VALUE!</v>
      </c>
      <c r="BA23" s="2">
        <f t="shared" si="39"/>
        <v>0</v>
      </c>
      <c r="BB23" s="2" t="e">
        <f t="shared" si="40"/>
        <v>#VALUE!</v>
      </c>
      <c r="BC23" s="2">
        <f t="shared" si="41"/>
        <v>0</v>
      </c>
      <c r="BD23" s="2" t="e">
        <f t="shared" si="42"/>
        <v>#VALUE!</v>
      </c>
      <c r="BE23" s="2">
        <f t="shared" si="43"/>
        <v>0</v>
      </c>
      <c r="BF23" s="2" t="e">
        <f t="shared" si="44"/>
        <v>#VALUE!</v>
      </c>
      <c r="BG23" s="2">
        <f t="shared" si="45"/>
        <v>0</v>
      </c>
      <c r="BH23" s="2" t="e">
        <f t="shared" si="46"/>
        <v>#VALUE!</v>
      </c>
      <c r="BI23" s="2">
        <f t="shared" si="47"/>
        <v>0</v>
      </c>
      <c r="BJ23" s="2" t="e">
        <f t="shared" si="48"/>
        <v>#VALUE!</v>
      </c>
      <c r="BK23" s="2">
        <f t="shared" si="49"/>
        <v>0</v>
      </c>
      <c r="BL23" s="2" t="e">
        <f t="shared" si="50"/>
        <v>#VALUE!</v>
      </c>
      <c r="BM23" s="2">
        <f t="shared" si="51"/>
        <v>0</v>
      </c>
      <c r="BN23" s="2" t="e">
        <f t="shared" si="52"/>
        <v>#VALUE!</v>
      </c>
      <c r="BO23" s="2">
        <f t="shared" si="53"/>
        <v>0</v>
      </c>
    </row>
    <row r="24" spans="1:67">
      <c r="A24" s="24"/>
      <c r="B24" s="17"/>
      <c r="C24" s="20"/>
      <c r="D24" s="20"/>
      <c r="E24" s="19" t="str">
        <f t="shared" si="0"/>
        <v xml:space="preserve"> </v>
      </c>
      <c r="F24" s="19" t="str">
        <f>IF(AND(C24=0,D24=0)," ",+BC32)</f>
        <v xml:space="preserve"> </v>
      </c>
      <c r="G24" s="19" t="str">
        <f t="shared" si="1"/>
        <v xml:space="preserve"> </v>
      </c>
      <c r="H24" s="17"/>
      <c r="I24" s="20"/>
      <c r="J24" s="21" t="str">
        <f t="shared" si="2"/>
        <v xml:space="preserve"> </v>
      </c>
      <c r="K24" s="20"/>
      <c r="L24" s="20"/>
      <c r="M24" s="21" t="str">
        <f t="shared" si="3"/>
        <v xml:space="preserve"> </v>
      </c>
      <c r="N24" s="21" t="str">
        <f t="shared" si="4"/>
        <v xml:space="preserve"> </v>
      </c>
      <c r="O24" s="19" t="str">
        <f t="shared" si="5"/>
        <v xml:space="preserve"> </v>
      </c>
      <c r="P24" s="20"/>
      <c r="Q24" s="22" t="s">
        <v>7</v>
      </c>
      <c r="R24" s="2" t="e">
        <f t="shared" si="6"/>
        <v>#DIV/0!</v>
      </c>
      <c r="S24" s="2">
        <f t="shared" si="7"/>
        <v>0.125</v>
      </c>
      <c r="T24" s="2" t="e">
        <f t="shared" si="8"/>
        <v>#DIV/0!</v>
      </c>
      <c r="U24" s="2" t="e">
        <f t="shared" si="9"/>
        <v>#DIV/0!</v>
      </c>
      <c r="V24" s="2" t="e">
        <f t="shared" si="10"/>
        <v>#DIV/0!</v>
      </c>
      <c r="W24" s="2" t="e">
        <f t="shared" si="11"/>
        <v>#DIV/0!</v>
      </c>
      <c r="X24" s="2" t="e">
        <f t="shared" si="12"/>
        <v>#DIV/0!</v>
      </c>
      <c r="Y24" s="2" t="e">
        <f t="shared" si="13"/>
        <v>#DIV/0!</v>
      </c>
      <c r="AB24" s="2" t="e">
        <f t="shared" si="14"/>
        <v>#VALUE!</v>
      </c>
      <c r="AC24" s="2">
        <f t="shared" si="15"/>
        <v>0</v>
      </c>
      <c r="AD24" s="2" t="e">
        <f t="shared" si="16"/>
        <v>#VALUE!</v>
      </c>
      <c r="AE24" s="2">
        <f t="shared" si="17"/>
        <v>0</v>
      </c>
      <c r="AF24" s="2" t="e">
        <f t="shared" si="18"/>
        <v>#VALUE!</v>
      </c>
      <c r="AG24" s="2">
        <f t="shared" si="19"/>
        <v>0</v>
      </c>
      <c r="AH24" s="2" t="e">
        <f t="shared" si="20"/>
        <v>#VALUE!</v>
      </c>
      <c r="AI24" s="2">
        <f t="shared" si="21"/>
        <v>0</v>
      </c>
      <c r="AJ24" s="2" t="e">
        <f t="shared" si="22"/>
        <v>#VALUE!</v>
      </c>
      <c r="AK24" s="2">
        <f t="shared" si="23"/>
        <v>0</v>
      </c>
      <c r="AL24" s="2" t="e">
        <f t="shared" si="24"/>
        <v>#VALUE!</v>
      </c>
      <c r="AM24" s="2">
        <f t="shared" si="25"/>
        <v>0</v>
      </c>
      <c r="AN24" s="2" t="e">
        <f t="shared" si="26"/>
        <v>#VALUE!</v>
      </c>
      <c r="AO24" s="2">
        <f t="shared" si="27"/>
        <v>0</v>
      </c>
      <c r="AP24" s="2" t="e">
        <f t="shared" si="28"/>
        <v>#VALUE!</v>
      </c>
      <c r="AQ24" s="2">
        <f t="shared" si="29"/>
        <v>0</v>
      </c>
      <c r="AR24" s="2" t="e">
        <f t="shared" si="30"/>
        <v>#VALUE!</v>
      </c>
      <c r="AS24" s="2">
        <f t="shared" si="31"/>
        <v>0</v>
      </c>
      <c r="AT24" s="2" t="e">
        <f t="shared" si="32"/>
        <v>#VALUE!</v>
      </c>
      <c r="AU24" s="2">
        <f t="shared" si="33"/>
        <v>0</v>
      </c>
      <c r="AV24" s="2" t="e">
        <f t="shared" si="34"/>
        <v>#VALUE!</v>
      </c>
      <c r="AW24" s="2">
        <f t="shared" si="35"/>
        <v>0</v>
      </c>
      <c r="AX24" s="2" t="e">
        <f t="shared" si="36"/>
        <v>#VALUE!</v>
      </c>
      <c r="AY24" s="2">
        <f t="shared" si="37"/>
        <v>0</v>
      </c>
      <c r="AZ24" s="2" t="e">
        <f t="shared" si="38"/>
        <v>#VALUE!</v>
      </c>
      <c r="BA24" s="2">
        <f t="shared" si="39"/>
        <v>0</v>
      </c>
      <c r="BB24" s="2" t="e">
        <f t="shared" si="40"/>
        <v>#VALUE!</v>
      </c>
      <c r="BC24" s="2">
        <f t="shared" si="41"/>
        <v>0</v>
      </c>
      <c r="BD24" s="2" t="e">
        <f t="shared" si="42"/>
        <v>#VALUE!</v>
      </c>
      <c r="BE24" s="2">
        <f t="shared" si="43"/>
        <v>0</v>
      </c>
      <c r="BF24" s="2" t="e">
        <f t="shared" si="44"/>
        <v>#VALUE!</v>
      </c>
      <c r="BG24" s="2">
        <f t="shared" si="45"/>
        <v>0</v>
      </c>
      <c r="BH24" s="2" t="e">
        <f t="shared" si="46"/>
        <v>#VALUE!</v>
      </c>
      <c r="BI24" s="2">
        <f t="shared" si="47"/>
        <v>0</v>
      </c>
      <c r="BJ24" s="2" t="e">
        <f t="shared" si="48"/>
        <v>#VALUE!</v>
      </c>
      <c r="BK24" s="2">
        <f t="shared" si="49"/>
        <v>0</v>
      </c>
      <c r="BL24" s="2" t="e">
        <f t="shared" si="50"/>
        <v>#VALUE!</v>
      </c>
      <c r="BM24" s="2">
        <f t="shared" si="51"/>
        <v>0</v>
      </c>
      <c r="BN24" s="2" t="e">
        <f t="shared" si="52"/>
        <v>#VALUE!</v>
      </c>
      <c r="BO24" s="2">
        <f t="shared" si="53"/>
        <v>0</v>
      </c>
    </row>
    <row r="25" spans="1:67">
      <c r="A25" s="24"/>
      <c r="B25" s="17"/>
      <c r="C25" s="20"/>
      <c r="D25" s="20"/>
      <c r="E25" s="19" t="str">
        <f t="shared" si="0"/>
        <v xml:space="preserve"> </v>
      </c>
      <c r="F25" s="19" t="str">
        <f>IF(AND(C25=0,D25=0)," ",+BE32)</f>
        <v xml:space="preserve"> </v>
      </c>
      <c r="G25" s="19" t="str">
        <f t="shared" si="1"/>
        <v xml:space="preserve"> </v>
      </c>
      <c r="H25" s="17"/>
      <c r="I25" s="20"/>
      <c r="J25" s="21" t="str">
        <f t="shared" si="2"/>
        <v xml:space="preserve"> </v>
      </c>
      <c r="K25" s="20"/>
      <c r="L25" s="20"/>
      <c r="M25" s="21" t="str">
        <f t="shared" si="3"/>
        <v xml:space="preserve"> </v>
      </c>
      <c r="N25" s="21" t="str">
        <f t="shared" si="4"/>
        <v xml:space="preserve"> </v>
      </c>
      <c r="O25" s="19" t="str">
        <f t="shared" si="5"/>
        <v xml:space="preserve"> </v>
      </c>
      <c r="P25" s="20"/>
      <c r="Q25" s="22" t="s">
        <v>7</v>
      </c>
      <c r="R25" s="2" t="e">
        <f t="shared" si="6"/>
        <v>#DIV/0!</v>
      </c>
      <c r="S25" s="2">
        <f t="shared" si="7"/>
        <v>0.125</v>
      </c>
      <c r="T25" s="2" t="e">
        <f t="shared" si="8"/>
        <v>#DIV/0!</v>
      </c>
      <c r="U25" s="2" t="e">
        <f t="shared" si="9"/>
        <v>#DIV/0!</v>
      </c>
      <c r="V25" s="2" t="e">
        <f t="shared" si="10"/>
        <v>#DIV/0!</v>
      </c>
      <c r="W25" s="2" t="e">
        <f t="shared" si="11"/>
        <v>#DIV/0!</v>
      </c>
      <c r="X25" s="2" t="e">
        <f t="shared" si="12"/>
        <v>#DIV/0!</v>
      </c>
      <c r="Y25" s="2" t="e">
        <f t="shared" si="13"/>
        <v>#DIV/0!</v>
      </c>
      <c r="AB25" s="2" t="e">
        <f t="shared" si="14"/>
        <v>#VALUE!</v>
      </c>
      <c r="AC25" s="2">
        <f t="shared" si="15"/>
        <v>0</v>
      </c>
      <c r="AD25" s="2" t="e">
        <f t="shared" si="16"/>
        <v>#VALUE!</v>
      </c>
      <c r="AE25" s="2">
        <f t="shared" si="17"/>
        <v>0</v>
      </c>
      <c r="AF25" s="2" t="e">
        <f t="shared" si="18"/>
        <v>#VALUE!</v>
      </c>
      <c r="AG25" s="2">
        <f t="shared" si="19"/>
        <v>0</v>
      </c>
      <c r="AH25" s="2" t="e">
        <f t="shared" si="20"/>
        <v>#VALUE!</v>
      </c>
      <c r="AI25" s="2">
        <f t="shared" si="21"/>
        <v>0</v>
      </c>
      <c r="AJ25" s="2" t="e">
        <f t="shared" si="22"/>
        <v>#VALUE!</v>
      </c>
      <c r="AK25" s="2">
        <f t="shared" si="23"/>
        <v>0</v>
      </c>
      <c r="AL25" s="2" t="e">
        <f t="shared" si="24"/>
        <v>#VALUE!</v>
      </c>
      <c r="AM25" s="2">
        <f t="shared" si="25"/>
        <v>0</v>
      </c>
      <c r="AN25" s="2" t="e">
        <f t="shared" si="26"/>
        <v>#VALUE!</v>
      </c>
      <c r="AO25" s="2">
        <f t="shared" si="27"/>
        <v>0</v>
      </c>
      <c r="AP25" s="2" t="e">
        <f t="shared" si="28"/>
        <v>#VALUE!</v>
      </c>
      <c r="AQ25" s="2">
        <f t="shared" si="29"/>
        <v>0</v>
      </c>
      <c r="AR25" s="2" t="e">
        <f t="shared" si="30"/>
        <v>#VALUE!</v>
      </c>
      <c r="AS25" s="2">
        <f t="shared" si="31"/>
        <v>0</v>
      </c>
      <c r="AT25" s="2" t="e">
        <f t="shared" si="32"/>
        <v>#VALUE!</v>
      </c>
      <c r="AU25" s="2">
        <f t="shared" si="33"/>
        <v>0</v>
      </c>
      <c r="AV25" s="2" t="e">
        <f t="shared" si="34"/>
        <v>#VALUE!</v>
      </c>
      <c r="AW25" s="2">
        <f t="shared" si="35"/>
        <v>0</v>
      </c>
      <c r="AX25" s="2" t="e">
        <f t="shared" si="36"/>
        <v>#VALUE!</v>
      </c>
      <c r="AY25" s="2">
        <f t="shared" si="37"/>
        <v>0</v>
      </c>
      <c r="AZ25" s="2" t="e">
        <f t="shared" si="38"/>
        <v>#VALUE!</v>
      </c>
      <c r="BA25" s="2">
        <f t="shared" si="39"/>
        <v>0</v>
      </c>
      <c r="BB25" s="2" t="e">
        <f t="shared" si="40"/>
        <v>#VALUE!</v>
      </c>
      <c r="BC25" s="2">
        <f t="shared" si="41"/>
        <v>0</v>
      </c>
      <c r="BD25" s="2" t="e">
        <f t="shared" si="42"/>
        <v>#VALUE!</v>
      </c>
      <c r="BE25" s="2">
        <f t="shared" si="43"/>
        <v>0</v>
      </c>
      <c r="BF25" s="2" t="e">
        <f t="shared" si="44"/>
        <v>#VALUE!</v>
      </c>
      <c r="BG25" s="2">
        <f t="shared" si="45"/>
        <v>0</v>
      </c>
      <c r="BH25" s="2" t="e">
        <f t="shared" si="46"/>
        <v>#VALUE!</v>
      </c>
      <c r="BI25" s="2">
        <f t="shared" si="47"/>
        <v>0</v>
      </c>
      <c r="BJ25" s="2" t="e">
        <f t="shared" si="48"/>
        <v>#VALUE!</v>
      </c>
      <c r="BK25" s="2">
        <f t="shared" si="49"/>
        <v>0</v>
      </c>
      <c r="BL25" s="2" t="e">
        <f t="shared" si="50"/>
        <v>#VALUE!</v>
      </c>
      <c r="BM25" s="2">
        <f t="shared" si="51"/>
        <v>0</v>
      </c>
      <c r="BN25" s="2" t="e">
        <f t="shared" si="52"/>
        <v>#VALUE!</v>
      </c>
      <c r="BO25" s="2">
        <f t="shared" si="53"/>
        <v>0</v>
      </c>
    </row>
    <row r="26" spans="1:67">
      <c r="A26" s="24"/>
      <c r="B26" s="17"/>
      <c r="C26" s="20"/>
      <c r="D26" s="20"/>
      <c r="E26" s="19" t="str">
        <f t="shared" si="0"/>
        <v xml:space="preserve"> </v>
      </c>
      <c r="F26" s="19" t="str">
        <f>IF(AND(C26=0,D26=0)," ",+BG32)</f>
        <v xml:space="preserve"> </v>
      </c>
      <c r="G26" s="19" t="str">
        <f t="shared" si="1"/>
        <v xml:space="preserve"> </v>
      </c>
      <c r="H26" s="17"/>
      <c r="I26" s="20"/>
      <c r="J26" s="21" t="str">
        <f t="shared" si="2"/>
        <v xml:space="preserve"> </v>
      </c>
      <c r="K26" s="20"/>
      <c r="L26" s="20"/>
      <c r="M26" s="21" t="str">
        <f t="shared" si="3"/>
        <v xml:space="preserve"> </v>
      </c>
      <c r="N26" s="21" t="str">
        <f t="shared" si="4"/>
        <v xml:space="preserve"> </v>
      </c>
      <c r="O26" s="19" t="str">
        <f t="shared" si="5"/>
        <v xml:space="preserve"> </v>
      </c>
      <c r="P26" s="20"/>
      <c r="Q26" s="22" t="s">
        <v>7</v>
      </c>
      <c r="R26" s="2" t="e">
        <f t="shared" si="6"/>
        <v>#DIV/0!</v>
      </c>
      <c r="S26" s="2">
        <f t="shared" si="7"/>
        <v>0.125</v>
      </c>
      <c r="T26" s="2" t="e">
        <f t="shared" si="8"/>
        <v>#DIV/0!</v>
      </c>
      <c r="U26" s="2" t="e">
        <f t="shared" si="9"/>
        <v>#DIV/0!</v>
      </c>
      <c r="V26" s="2" t="e">
        <f t="shared" si="10"/>
        <v>#DIV/0!</v>
      </c>
      <c r="W26" s="2" t="e">
        <f t="shared" si="11"/>
        <v>#DIV/0!</v>
      </c>
      <c r="X26" s="2" t="e">
        <f t="shared" si="12"/>
        <v>#DIV/0!</v>
      </c>
      <c r="Y26" s="2" t="e">
        <f t="shared" si="13"/>
        <v>#DIV/0!</v>
      </c>
      <c r="AB26" s="2" t="e">
        <f t="shared" si="14"/>
        <v>#VALUE!</v>
      </c>
      <c r="AC26" s="2">
        <f t="shared" si="15"/>
        <v>0</v>
      </c>
      <c r="AD26" s="2" t="e">
        <f t="shared" si="16"/>
        <v>#VALUE!</v>
      </c>
      <c r="AE26" s="2">
        <f t="shared" si="17"/>
        <v>0</v>
      </c>
      <c r="AF26" s="2" t="e">
        <f t="shared" si="18"/>
        <v>#VALUE!</v>
      </c>
      <c r="AG26" s="2">
        <f t="shared" si="19"/>
        <v>0</v>
      </c>
      <c r="AH26" s="2" t="e">
        <f t="shared" si="20"/>
        <v>#VALUE!</v>
      </c>
      <c r="AI26" s="2">
        <f t="shared" si="21"/>
        <v>0</v>
      </c>
      <c r="AJ26" s="2" t="e">
        <f t="shared" si="22"/>
        <v>#VALUE!</v>
      </c>
      <c r="AK26" s="2">
        <f t="shared" si="23"/>
        <v>0</v>
      </c>
      <c r="AL26" s="2" t="e">
        <f t="shared" si="24"/>
        <v>#VALUE!</v>
      </c>
      <c r="AM26" s="2">
        <f t="shared" si="25"/>
        <v>0</v>
      </c>
      <c r="AN26" s="2" t="e">
        <f t="shared" si="26"/>
        <v>#VALUE!</v>
      </c>
      <c r="AO26" s="2">
        <f t="shared" si="27"/>
        <v>0</v>
      </c>
      <c r="AP26" s="2" t="e">
        <f t="shared" si="28"/>
        <v>#VALUE!</v>
      </c>
      <c r="AQ26" s="2">
        <f t="shared" si="29"/>
        <v>0</v>
      </c>
      <c r="AR26" s="2" t="e">
        <f t="shared" si="30"/>
        <v>#VALUE!</v>
      </c>
      <c r="AS26" s="2">
        <f t="shared" si="31"/>
        <v>0</v>
      </c>
      <c r="AT26" s="2" t="e">
        <f t="shared" si="32"/>
        <v>#VALUE!</v>
      </c>
      <c r="AU26" s="2">
        <f t="shared" si="33"/>
        <v>0</v>
      </c>
      <c r="AV26" s="2" t="e">
        <f t="shared" si="34"/>
        <v>#VALUE!</v>
      </c>
      <c r="AW26" s="2">
        <f t="shared" si="35"/>
        <v>0</v>
      </c>
      <c r="AX26" s="2" t="e">
        <f t="shared" si="36"/>
        <v>#VALUE!</v>
      </c>
      <c r="AY26" s="2">
        <f t="shared" si="37"/>
        <v>0</v>
      </c>
      <c r="AZ26" s="2" t="e">
        <f t="shared" si="38"/>
        <v>#VALUE!</v>
      </c>
      <c r="BA26" s="2">
        <f t="shared" si="39"/>
        <v>0</v>
      </c>
      <c r="BB26" s="2" t="e">
        <f t="shared" si="40"/>
        <v>#VALUE!</v>
      </c>
      <c r="BC26" s="2">
        <f t="shared" si="41"/>
        <v>0</v>
      </c>
      <c r="BD26" s="2" t="e">
        <f t="shared" si="42"/>
        <v>#VALUE!</v>
      </c>
      <c r="BE26" s="2">
        <f t="shared" si="43"/>
        <v>0</v>
      </c>
      <c r="BF26" s="2" t="e">
        <f t="shared" si="44"/>
        <v>#VALUE!</v>
      </c>
      <c r="BG26" s="2">
        <f t="shared" si="45"/>
        <v>0</v>
      </c>
      <c r="BH26" s="2" t="e">
        <f t="shared" si="46"/>
        <v>#VALUE!</v>
      </c>
      <c r="BI26" s="2">
        <f t="shared" si="47"/>
        <v>0</v>
      </c>
      <c r="BJ26" s="2" t="e">
        <f t="shared" si="48"/>
        <v>#VALUE!</v>
      </c>
      <c r="BK26" s="2">
        <f t="shared" si="49"/>
        <v>0</v>
      </c>
      <c r="BL26" s="2" t="e">
        <f t="shared" si="50"/>
        <v>#VALUE!</v>
      </c>
      <c r="BM26" s="2">
        <f t="shared" si="51"/>
        <v>0</v>
      </c>
      <c r="BN26" s="2" t="e">
        <f t="shared" si="52"/>
        <v>#VALUE!</v>
      </c>
      <c r="BO26" s="2">
        <f t="shared" si="53"/>
        <v>0</v>
      </c>
    </row>
    <row r="27" spans="1:67">
      <c r="A27" s="24"/>
      <c r="B27" s="17"/>
      <c r="C27" s="20"/>
      <c r="D27" s="20"/>
      <c r="E27" s="19" t="str">
        <f t="shared" si="0"/>
        <v xml:space="preserve"> </v>
      </c>
      <c r="F27" s="19" t="str">
        <f>IF(AND(C27=0,D27=0)," ",+BI32)</f>
        <v xml:space="preserve"> </v>
      </c>
      <c r="G27" s="19" t="str">
        <f t="shared" si="1"/>
        <v xml:space="preserve"> </v>
      </c>
      <c r="H27" s="17"/>
      <c r="I27" s="20"/>
      <c r="J27" s="21" t="str">
        <f t="shared" si="2"/>
        <v xml:space="preserve"> </v>
      </c>
      <c r="K27" s="20"/>
      <c r="L27" s="20"/>
      <c r="M27" s="21" t="str">
        <f t="shared" si="3"/>
        <v xml:space="preserve"> </v>
      </c>
      <c r="N27" s="21" t="str">
        <f t="shared" si="4"/>
        <v xml:space="preserve"> </v>
      </c>
      <c r="O27" s="19" t="str">
        <f t="shared" si="5"/>
        <v xml:space="preserve"> </v>
      </c>
      <c r="P27" s="20"/>
      <c r="Q27" s="22" t="s">
        <v>7</v>
      </c>
      <c r="R27" s="2" t="e">
        <f t="shared" si="6"/>
        <v>#DIV/0!</v>
      </c>
      <c r="S27" s="2">
        <f t="shared" si="7"/>
        <v>0.125</v>
      </c>
      <c r="T27" s="2" t="e">
        <f t="shared" si="8"/>
        <v>#DIV/0!</v>
      </c>
      <c r="U27" s="2" t="e">
        <f t="shared" si="9"/>
        <v>#DIV/0!</v>
      </c>
      <c r="V27" s="2" t="e">
        <f t="shared" si="10"/>
        <v>#DIV/0!</v>
      </c>
      <c r="W27" s="2" t="e">
        <f t="shared" si="11"/>
        <v>#DIV/0!</v>
      </c>
      <c r="X27" s="2" t="e">
        <f t="shared" si="12"/>
        <v>#DIV/0!</v>
      </c>
      <c r="Y27" s="2" t="e">
        <f t="shared" si="13"/>
        <v>#DIV/0!</v>
      </c>
      <c r="AB27" s="2" t="e">
        <f t="shared" si="14"/>
        <v>#VALUE!</v>
      </c>
      <c r="AC27" s="2">
        <f t="shared" si="15"/>
        <v>0</v>
      </c>
      <c r="AD27" s="2" t="e">
        <f t="shared" si="16"/>
        <v>#VALUE!</v>
      </c>
      <c r="AE27" s="2">
        <f t="shared" si="17"/>
        <v>0</v>
      </c>
      <c r="AF27" s="2" t="e">
        <f t="shared" si="18"/>
        <v>#VALUE!</v>
      </c>
      <c r="AG27" s="2">
        <f t="shared" si="19"/>
        <v>0</v>
      </c>
      <c r="AH27" s="2" t="e">
        <f t="shared" si="20"/>
        <v>#VALUE!</v>
      </c>
      <c r="AI27" s="2">
        <f t="shared" si="21"/>
        <v>0</v>
      </c>
      <c r="AJ27" s="2" t="e">
        <f t="shared" si="22"/>
        <v>#VALUE!</v>
      </c>
      <c r="AK27" s="2">
        <f t="shared" si="23"/>
        <v>0</v>
      </c>
      <c r="AL27" s="2" t="e">
        <f t="shared" si="24"/>
        <v>#VALUE!</v>
      </c>
      <c r="AM27" s="2">
        <f t="shared" si="25"/>
        <v>0</v>
      </c>
      <c r="AN27" s="2" t="e">
        <f t="shared" si="26"/>
        <v>#VALUE!</v>
      </c>
      <c r="AO27" s="2">
        <f t="shared" si="27"/>
        <v>0</v>
      </c>
      <c r="AP27" s="2" t="e">
        <f t="shared" si="28"/>
        <v>#VALUE!</v>
      </c>
      <c r="AQ27" s="2">
        <f t="shared" si="29"/>
        <v>0</v>
      </c>
      <c r="AR27" s="2" t="e">
        <f t="shared" si="30"/>
        <v>#VALUE!</v>
      </c>
      <c r="AS27" s="2">
        <f t="shared" si="31"/>
        <v>0</v>
      </c>
      <c r="AT27" s="2" t="e">
        <f t="shared" si="32"/>
        <v>#VALUE!</v>
      </c>
      <c r="AU27" s="2">
        <f t="shared" si="33"/>
        <v>0</v>
      </c>
      <c r="AV27" s="2" t="e">
        <f t="shared" si="34"/>
        <v>#VALUE!</v>
      </c>
      <c r="AW27" s="2">
        <f t="shared" si="35"/>
        <v>0</v>
      </c>
      <c r="AX27" s="2" t="e">
        <f t="shared" si="36"/>
        <v>#VALUE!</v>
      </c>
      <c r="AY27" s="2">
        <f t="shared" si="37"/>
        <v>0</v>
      </c>
      <c r="AZ27" s="2" t="e">
        <f t="shared" si="38"/>
        <v>#VALUE!</v>
      </c>
      <c r="BA27" s="2">
        <f t="shared" si="39"/>
        <v>0</v>
      </c>
      <c r="BB27" s="2" t="e">
        <f t="shared" si="40"/>
        <v>#VALUE!</v>
      </c>
      <c r="BC27" s="2">
        <f t="shared" si="41"/>
        <v>0</v>
      </c>
      <c r="BD27" s="2" t="e">
        <f t="shared" si="42"/>
        <v>#VALUE!</v>
      </c>
      <c r="BE27" s="2">
        <f t="shared" si="43"/>
        <v>0</v>
      </c>
      <c r="BF27" s="2" t="e">
        <f t="shared" si="44"/>
        <v>#VALUE!</v>
      </c>
      <c r="BG27" s="2">
        <f t="shared" si="45"/>
        <v>0</v>
      </c>
      <c r="BH27" s="2" t="e">
        <f t="shared" si="46"/>
        <v>#VALUE!</v>
      </c>
      <c r="BI27" s="2">
        <f t="shared" si="47"/>
        <v>0</v>
      </c>
      <c r="BJ27" s="2" t="e">
        <f t="shared" si="48"/>
        <v>#VALUE!</v>
      </c>
      <c r="BK27" s="2">
        <f t="shared" si="49"/>
        <v>0</v>
      </c>
      <c r="BL27" s="2" t="e">
        <f t="shared" si="50"/>
        <v>#VALUE!</v>
      </c>
      <c r="BM27" s="2">
        <f t="shared" si="51"/>
        <v>0</v>
      </c>
      <c r="BN27" s="2" t="e">
        <f t="shared" si="52"/>
        <v>#VALUE!</v>
      </c>
      <c r="BO27" s="2">
        <f t="shared" si="53"/>
        <v>0</v>
      </c>
    </row>
    <row r="28" spans="1:67">
      <c r="A28" s="24"/>
      <c r="B28" s="17"/>
      <c r="C28" s="20"/>
      <c r="D28" s="20"/>
      <c r="E28" s="19" t="str">
        <f t="shared" si="0"/>
        <v xml:space="preserve"> </v>
      </c>
      <c r="F28" s="19" t="str">
        <f>IF(AND(C28=0,D28=0)," ",+BK32)</f>
        <v xml:space="preserve"> </v>
      </c>
      <c r="G28" s="19" t="str">
        <f t="shared" si="1"/>
        <v xml:space="preserve"> </v>
      </c>
      <c r="H28" s="17"/>
      <c r="I28" s="20"/>
      <c r="J28" s="21" t="str">
        <f t="shared" si="2"/>
        <v xml:space="preserve"> </v>
      </c>
      <c r="K28" s="20"/>
      <c r="L28" s="20"/>
      <c r="M28" s="21" t="str">
        <f t="shared" si="3"/>
        <v xml:space="preserve"> </v>
      </c>
      <c r="N28" s="21" t="str">
        <f t="shared" si="4"/>
        <v xml:space="preserve"> </v>
      </c>
      <c r="O28" s="19" t="str">
        <f t="shared" si="5"/>
        <v xml:space="preserve"> </v>
      </c>
      <c r="P28" s="20"/>
      <c r="Q28" s="22" t="s">
        <v>7</v>
      </c>
      <c r="R28" s="2" t="e">
        <f t="shared" si="6"/>
        <v>#DIV/0!</v>
      </c>
      <c r="S28" s="2">
        <f t="shared" si="7"/>
        <v>0.125</v>
      </c>
      <c r="T28" s="2" t="e">
        <f t="shared" si="8"/>
        <v>#DIV/0!</v>
      </c>
      <c r="U28" s="2" t="e">
        <f t="shared" si="9"/>
        <v>#DIV/0!</v>
      </c>
      <c r="V28" s="2" t="e">
        <f t="shared" si="10"/>
        <v>#DIV/0!</v>
      </c>
      <c r="W28" s="2" t="e">
        <f t="shared" si="11"/>
        <v>#DIV/0!</v>
      </c>
      <c r="X28" s="2" t="e">
        <f t="shared" si="12"/>
        <v>#DIV/0!</v>
      </c>
      <c r="Y28" s="2" t="e">
        <f t="shared" si="13"/>
        <v>#DIV/0!</v>
      </c>
      <c r="AB28" s="2" t="e">
        <f t="shared" si="14"/>
        <v>#VALUE!</v>
      </c>
      <c r="AC28" s="2">
        <f t="shared" si="15"/>
        <v>0</v>
      </c>
      <c r="AD28" s="2" t="e">
        <f t="shared" si="16"/>
        <v>#VALUE!</v>
      </c>
      <c r="AE28" s="2">
        <f t="shared" si="17"/>
        <v>0</v>
      </c>
      <c r="AF28" s="2" t="e">
        <f t="shared" si="18"/>
        <v>#VALUE!</v>
      </c>
      <c r="AG28" s="2">
        <f t="shared" si="19"/>
        <v>0</v>
      </c>
      <c r="AH28" s="2" t="e">
        <f t="shared" si="20"/>
        <v>#VALUE!</v>
      </c>
      <c r="AI28" s="2">
        <f t="shared" si="21"/>
        <v>0</v>
      </c>
      <c r="AJ28" s="2" t="e">
        <f t="shared" si="22"/>
        <v>#VALUE!</v>
      </c>
      <c r="AK28" s="2">
        <f t="shared" si="23"/>
        <v>0</v>
      </c>
      <c r="AL28" s="2" t="e">
        <f t="shared" si="24"/>
        <v>#VALUE!</v>
      </c>
      <c r="AM28" s="2">
        <f t="shared" si="25"/>
        <v>0</v>
      </c>
      <c r="AN28" s="2" t="e">
        <f t="shared" si="26"/>
        <v>#VALUE!</v>
      </c>
      <c r="AO28" s="2">
        <f t="shared" si="27"/>
        <v>0</v>
      </c>
      <c r="AP28" s="2" t="e">
        <f t="shared" si="28"/>
        <v>#VALUE!</v>
      </c>
      <c r="AQ28" s="2">
        <f t="shared" si="29"/>
        <v>0</v>
      </c>
      <c r="AR28" s="2" t="e">
        <f t="shared" si="30"/>
        <v>#VALUE!</v>
      </c>
      <c r="AS28" s="2">
        <f t="shared" si="31"/>
        <v>0</v>
      </c>
      <c r="AT28" s="2" t="e">
        <f t="shared" si="32"/>
        <v>#VALUE!</v>
      </c>
      <c r="AU28" s="2">
        <f t="shared" si="33"/>
        <v>0</v>
      </c>
      <c r="AV28" s="2" t="e">
        <f t="shared" si="34"/>
        <v>#VALUE!</v>
      </c>
      <c r="AW28" s="2">
        <f t="shared" si="35"/>
        <v>0</v>
      </c>
      <c r="AX28" s="2" t="e">
        <f t="shared" si="36"/>
        <v>#VALUE!</v>
      </c>
      <c r="AY28" s="2">
        <f t="shared" si="37"/>
        <v>0</v>
      </c>
      <c r="AZ28" s="2" t="e">
        <f t="shared" si="38"/>
        <v>#VALUE!</v>
      </c>
      <c r="BA28" s="2">
        <f t="shared" si="39"/>
        <v>0</v>
      </c>
      <c r="BB28" s="2" t="e">
        <f t="shared" si="40"/>
        <v>#VALUE!</v>
      </c>
      <c r="BC28" s="2">
        <f t="shared" si="41"/>
        <v>0</v>
      </c>
      <c r="BD28" s="2" t="e">
        <f t="shared" si="42"/>
        <v>#VALUE!</v>
      </c>
      <c r="BE28" s="2">
        <f t="shared" si="43"/>
        <v>0</v>
      </c>
      <c r="BF28" s="2" t="e">
        <f t="shared" si="44"/>
        <v>#VALUE!</v>
      </c>
      <c r="BG28" s="2">
        <f t="shared" si="45"/>
        <v>0</v>
      </c>
      <c r="BH28" s="2" t="e">
        <f t="shared" si="46"/>
        <v>#VALUE!</v>
      </c>
      <c r="BI28" s="2">
        <f t="shared" si="47"/>
        <v>0</v>
      </c>
      <c r="BJ28" s="2" t="e">
        <f t="shared" si="48"/>
        <v>#VALUE!</v>
      </c>
      <c r="BK28" s="2">
        <f t="shared" si="49"/>
        <v>0</v>
      </c>
      <c r="BL28" s="2" t="e">
        <f t="shared" si="50"/>
        <v>#VALUE!</v>
      </c>
      <c r="BM28" s="2">
        <f t="shared" si="51"/>
        <v>0</v>
      </c>
      <c r="BN28" s="2" t="e">
        <f t="shared" si="52"/>
        <v>#VALUE!</v>
      </c>
      <c r="BO28" s="2">
        <f t="shared" si="53"/>
        <v>0</v>
      </c>
    </row>
    <row r="29" spans="1:67">
      <c r="A29" s="24"/>
      <c r="B29" s="17"/>
      <c r="C29" s="20"/>
      <c r="D29" s="20"/>
      <c r="E29" s="19" t="str">
        <f t="shared" si="0"/>
        <v xml:space="preserve"> </v>
      </c>
      <c r="F29" s="19" t="str">
        <f>IF(AND(C29=0,D29=0)," ",+BM32)</f>
        <v xml:space="preserve"> </v>
      </c>
      <c r="G29" s="19" t="str">
        <f t="shared" si="1"/>
        <v xml:space="preserve"> </v>
      </c>
      <c r="H29" s="17"/>
      <c r="I29" s="20"/>
      <c r="J29" s="21" t="str">
        <f t="shared" si="2"/>
        <v xml:space="preserve"> </v>
      </c>
      <c r="K29" s="20"/>
      <c r="L29" s="20"/>
      <c r="M29" s="21" t="str">
        <f t="shared" si="3"/>
        <v xml:space="preserve"> </v>
      </c>
      <c r="N29" s="21" t="str">
        <f t="shared" si="4"/>
        <v xml:space="preserve"> </v>
      </c>
      <c r="O29" s="19" t="str">
        <f t="shared" si="5"/>
        <v xml:space="preserve"> </v>
      </c>
      <c r="P29" s="20"/>
      <c r="Q29" s="22" t="s">
        <v>7</v>
      </c>
      <c r="R29" s="2" t="e">
        <f t="shared" si="6"/>
        <v>#DIV/0!</v>
      </c>
      <c r="S29" s="2">
        <f t="shared" si="7"/>
        <v>0.125</v>
      </c>
      <c r="T29" s="2" t="e">
        <f t="shared" si="8"/>
        <v>#DIV/0!</v>
      </c>
      <c r="U29" s="2" t="e">
        <f t="shared" si="9"/>
        <v>#DIV/0!</v>
      </c>
      <c r="V29" s="2" t="e">
        <f t="shared" si="10"/>
        <v>#DIV/0!</v>
      </c>
      <c r="W29" s="2" t="e">
        <f t="shared" si="11"/>
        <v>#DIV/0!</v>
      </c>
      <c r="X29" s="2" t="e">
        <f t="shared" si="12"/>
        <v>#DIV/0!</v>
      </c>
      <c r="Y29" s="2" t="e">
        <f t="shared" si="13"/>
        <v>#DIV/0!</v>
      </c>
      <c r="AB29" s="2" t="e">
        <f t="shared" si="14"/>
        <v>#VALUE!</v>
      </c>
      <c r="AC29" s="2">
        <f t="shared" si="15"/>
        <v>0</v>
      </c>
      <c r="AD29" s="2" t="e">
        <f t="shared" si="16"/>
        <v>#VALUE!</v>
      </c>
      <c r="AE29" s="2">
        <f t="shared" si="17"/>
        <v>0</v>
      </c>
      <c r="AF29" s="2" t="e">
        <f t="shared" si="18"/>
        <v>#VALUE!</v>
      </c>
      <c r="AG29" s="2">
        <f t="shared" si="19"/>
        <v>0</v>
      </c>
      <c r="AH29" s="2" t="e">
        <f t="shared" si="20"/>
        <v>#VALUE!</v>
      </c>
      <c r="AI29" s="2">
        <f t="shared" si="21"/>
        <v>0</v>
      </c>
      <c r="AJ29" s="2" t="e">
        <f t="shared" si="22"/>
        <v>#VALUE!</v>
      </c>
      <c r="AK29" s="2">
        <f t="shared" si="23"/>
        <v>0</v>
      </c>
      <c r="AL29" s="2" t="e">
        <f t="shared" si="24"/>
        <v>#VALUE!</v>
      </c>
      <c r="AM29" s="2">
        <f t="shared" si="25"/>
        <v>0</v>
      </c>
      <c r="AN29" s="2" t="e">
        <f t="shared" si="26"/>
        <v>#VALUE!</v>
      </c>
      <c r="AO29" s="2">
        <f t="shared" si="27"/>
        <v>0</v>
      </c>
      <c r="AP29" s="2" t="e">
        <f t="shared" si="28"/>
        <v>#VALUE!</v>
      </c>
      <c r="AQ29" s="2">
        <f t="shared" si="29"/>
        <v>0</v>
      </c>
      <c r="AR29" s="2" t="e">
        <f t="shared" si="30"/>
        <v>#VALUE!</v>
      </c>
      <c r="AS29" s="2">
        <f t="shared" si="31"/>
        <v>0</v>
      </c>
      <c r="AT29" s="2" t="e">
        <f t="shared" si="32"/>
        <v>#VALUE!</v>
      </c>
      <c r="AU29" s="2">
        <f t="shared" si="33"/>
        <v>0</v>
      </c>
      <c r="AV29" s="2" t="e">
        <f t="shared" si="34"/>
        <v>#VALUE!</v>
      </c>
      <c r="AW29" s="2">
        <f t="shared" si="35"/>
        <v>0</v>
      </c>
      <c r="AX29" s="2" t="e">
        <f t="shared" si="36"/>
        <v>#VALUE!</v>
      </c>
      <c r="AY29" s="2">
        <f t="shared" si="37"/>
        <v>0</v>
      </c>
      <c r="AZ29" s="2" t="e">
        <f t="shared" si="38"/>
        <v>#VALUE!</v>
      </c>
      <c r="BA29" s="2">
        <f t="shared" si="39"/>
        <v>0</v>
      </c>
      <c r="BB29" s="2" t="e">
        <f t="shared" si="40"/>
        <v>#VALUE!</v>
      </c>
      <c r="BC29" s="2">
        <f t="shared" si="41"/>
        <v>0</v>
      </c>
      <c r="BD29" s="2" t="e">
        <f t="shared" si="42"/>
        <v>#VALUE!</v>
      </c>
      <c r="BE29" s="2">
        <f t="shared" si="43"/>
        <v>0</v>
      </c>
      <c r="BF29" s="2" t="e">
        <f t="shared" si="44"/>
        <v>#VALUE!</v>
      </c>
      <c r="BG29" s="2">
        <f t="shared" si="45"/>
        <v>0</v>
      </c>
      <c r="BH29" s="2" t="e">
        <f t="shared" si="46"/>
        <v>#VALUE!</v>
      </c>
      <c r="BI29" s="2">
        <f t="shared" si="47"/>
        <v>0</v>
      </c>
      <c r="BJ29" s="2" t="e">
        <f t="shared" si="48"/>
        <v>#VALUE!</v>
      </c>
      <c r="BK29" s="2">
        <f t="shared" si="49"/>
        <v>0</v>
      </c>
      <c r="BL29" s="2" t="e">
        <f t="shared" si="50"/>
        <v>#VALUE!</v>
      </c>
      <c r="BM29" s="2">
        <f t="shared" si="51"/>
        <v>0</v>
      </c>
      <c r="BN29" s="2" t="e">
        <f t="shared" si="52"/>
        <v>#VALUE!</v>
      </c>
      <c r="BO29" s="2">
        <f t="shared" si="53"/>
        <v>0</v>
      </c>
    </row>
    <row r="30" spans="1:67">
      <c r="A30" s="25"/>
      <c r="B30" s="26"/>
      <c r="C30" s="26"/>
      <c r="D30" s="26"/>
      <c r="E30" s="19" t="str">
        <f t="shared" si="0"/>
        <v xml:space="preserve"> </v>
      </c>
      <c r="F30" s="19" t="str">
        <f>IF(AND(C30=0,D30=0)," ",BO32)</f>
        <v xml:space="preserve"> </v>
      </c>
      <c r="G30" s="19" t="str">
        <f t="shared" si="1"/>
        <v xml:space="preserve"> </v>
      </c>
      <c r="H30" s="26"/>
      <c r="I30" s="26"/>
      <c r="J30" s="21" t="str">
        <f t="shared" si="2"/>
        <v xml:space="preserve"> </v>
      </c>
      <c r="K30" s="26"/>
      <c r="L30" s="26"/>
      <c r="M30" s="21" t="str">
        <f t="shared" si="3"/>
        <v xml:space="preserve"> </v>
      </c>
      <c r="N30" s="21" t="str">
        <f t="shared" si="4"/>
        <v xml:space="preserve"> </v>
      </c>
      <c r="O30" s="19" t="str">
        <f t="shared" si="5"/>
        <v xml:space="preserve"> </v>
      </c>
      <c r="P30" s="23" t="s">
        <v>7</v>
      </c>
      <c r="Q30" s="22" t="s">
        <v>7</v>
      </c>
      <c r="R30" s="2" t="e">
        <f t="shared" si="6"/>
        <v>#DIV/0!</v>
      </c>
      <c r="S30" s="2">
        <f t="shared" si="7"/>
        <v>0.125</v>
      </c>
      <c r="T30" s="2" t="e">
        <f t="shared" si="8"/>
        <v>#DIV/0!</v>
      </c>
      <c r="U30" s="2" t="e">
        <f t="shared" si="9"/>
        <v>#DIV/0!</v>
      </c>
      <c r="V30" s="2" t="e">
        <f t="shared" si="10"/>
        <v>#DIV/0!</v>
      </c>
      <c r="W30" s="2" t="e">
        <f t="shared" si="11"/>
        <v>#DIV/0!</v>
      </c>
      <c r="X30" s="2" t="e">
        <f t="shared" si="12"/>
        <v>#DIV/0!</v>
      </c>
      <c r="Y30" s="2" t="e">
        <f t="shared" si="13"/>
        <v>#DIV/0!</v>
      </c>
      <c r="AB30" s="2">
        <f t="shared" si="14"/>
        <v>0</v>
      </c>
      <c r="AC30" s="2">
        <f t="shared" si="15"/>
        <v>0</v>
      </c>
      <c r="AD30" s="2" t="e">
        <f t="shared" si="16"/>
        <v>#VALUE!</v>
      </c>
      <c r="AE30" s="2">
        <f t="shared" si="17"/>
        <v>0</v>
      </c>
      <c r="AF30" s="2" t="e">
        <f t="shared" si="18"/>
        <v>#VALUE!</v>
      </c>
      <c r="AG30" s="2">
        <f t="shared" si="19"/>
        <v>0</v>
      </c>
      <c r="AH30" s="2" t="e">
        <f t="shared" si="20"/>
        <v>#VALUE!</v>
      </c>
      <c r="AI30" s="2">
        <f t="shared" si="21"/>
        <v>0</v>
      </c>
      <c r="AJ30" s="2" t="e">
        <f t="shared" si="22"/>
        <v>#VALUE!</v>
      </c>
      <c r="AK30" s="2">
        <f t="shared" si="23"/>
        <v>0</v>
      </c>
      <c r="AL30" s="2" t="e">
        <f t="shared" si="24"/>
        <v>#VALUE!</v>
      </c>
      <c r="AM30" s="2">
        <f t="shared" si="25"/>
        <v>0</v>
      </c>
      <c r="AN30" s="2" t="e">
        <f t="shared" si="26"/>
        <v>#VALUE!</v>
      </c>
      <c r="AO30" s="2">
        <f t="shared" si="27"/>
        <v>0</v>
      </c>
      <c r="AP30" s="2" t="e">
        <f t="shared" si="28"/>
        <v>#VALUE!</v>
      </c>
      <c r="AQ30" s="2">
        <f t="shared" si="29"/>
        <v>0</v>
      </c>
      <c r="AR30" s="2" t="e">
        <f t="shared" si="30"/>
        <v>#VALUE!</v>
      </c>
      <c r="AS30" s="2">
        <f t="shared" si="31"/>
        <v>0</v>
      </c>
      <c r="AT30" s="2" t="e">
        <f t="shared" si="32"/>
        <v>#VALUE!</v>
      </c>
      <c r="AU30" s="2">
        <f t="shared" si="33"/>
        <v>0</v>
      </c>
      <c r="AV30" s="2" t="e">
        <f t="shared" si="34"/>
        <v>#VALUE!</v>
      </c>
      <c r="AW30" s="2">
        <f t="shared" si="35"/>
        <v>0</v>
      </c>
      <c r="AX30" s="2" t="e">
        <f t="shared" si="36"/>
        <v>#VALUE!</v>
      </c>
      <c r="AY30" s="2">
        <f t="shared" si="37"/>
        <v>0</v>
      </c>
      <c r="AZ30" s="2" t="e">
        <f t="shared" si="38"/>
        <v>#VALUE!</v>
      </c>
      <c r="BA30" s="2">
        <f t="shared" si="39"/>
        <v>0</v>
      </c>
      <c r="BB30" s="2" t="e">
        <f t="shared" si="40"/>
        <v>#VALUE!</v>
      </c>
      <c r="BC30" s="2">
        <f t="shared" si="41"/>
        <v>0</v>
      </c>
      <c r="BD30" s="2" t="e">
        <f t="shared" si="42"/>
        <v>#VALUE!</v>
      </c>
      <c r="BE30" s="2">
        <f t="shared" si="43"/>
        <v>0</v>
      </c>
      <c r="BF30" s="2" t="e">
        <f t="shared" si="44"/>
        <v>#VALUE!</v>
      </c>
      <c r="BG30" s="2">
        <f t="shared" si="45"/>
        <v>0</v>
      </c>
      <c r="BH30" s="2" t="e">
        <f t="shared" si="46"/>
        <v>#VALUE!</v>
      </c>
      <c r="BI30" s="2">
        <f t="shared" si="47"/>
        <v>0</v>
      </c>
      <c r="BJ30" s="2" t="e">
        <f t="shared" si="48"/>
        <v>#VALUE!</v>
      </c>
      <c r="BK30" s="2">
        <f t="shared" si="49"/>
        <v>0</v>
      </c>
      <c r="BL30" s="2" t="e">
        <f t="shared" si="50"/>
        <v>#VALUE!</v>
      </c>
      <c r="BM30" s="2">
        <f t="shared" si="51"/>
        <v>0</v>
      </c>
      <c r="BN30" s="2" t="e">
        <f t="shared" si="52"/>
        <v>#VALUE!</v>
      </c>
      <c r="BO30" s="2">
        <f t="shared" si="53"/>
        <v>0</v>
      </c>
    </row>
    <row r="31" spans="1:67" ht="15.75" thickBot="1"/>
    <row r="32" spans="1:67" ht="15.75" thickTop="1">
      <c r="C32" s="27" t="s">
        <v>92</v>
      </c>
      <c r="D32" s="28"/>
      <c r="E32" s="28"/>
      <c r="F32" s="28"/>
      <c r="G32" s="29"/>
      <c r="K32" s="3" t="s">
        <v>93</v>
      </c>
      <c r="M32" s="3" t="s">
        <v>93</v>
      </c>
      <c r="N32" s="3" t="s">
        <v>93</v>
      </c>
      <c r="O32" s="3" t="s">
        <v>94</v>
      </c>
      <c r="AC32" s="2">
        <f>SUM(AC11:AC30)</f>
        <v>0</v>
      </c>
      <c r="AE32" s="2">
        <f>SUM(AE11:AE30)</f>
        <v>0</v>
      </c>
      <c r="AG32" s="2">
        <f>SUM(AG11:AG30)</f>
        <v>0</v>
      </c>
      <c r="AI32" s="2">
        <f>SUM(AI11:AI30)</f>
        <v>0</v>
      </c>
      <c r="AK32" s="2">
        <f>SUM(AK11:AK30)</f>
        <v>0</v>
      </c>
      <c r="AM32" s="2">
        <f>SUM(AM11:AM30)</f>
        <v>0</v>
      </c>
      <c r="AO32" s="2">
        <f>SUM(AO11:AO30)</f>
        <v>0</v>
      </c>
      <c r="AQ32" s="2">
        <f>SUM(AQ11:AQ30)</f>
        <v>0</v>
      </c>
      <c r="AS32" s="2">
        <f>SUM(AS11:AS30)</f>
        <v>0</v>
      </c>
      <c r="AU32" s="2">
        <f>SUM(AU11:AU30)</f>
        <v>0</v>
      </c>
      <c r="AW32" s="2">
        <f>SUM(AW11:AW30)</f>
        <v>0</v>
      </c>
      <c r="AY32" s="2">
        <f>SUM(AY11:AY30)</f>
        <v>0</v>
      </c>
      <c r="BA32" s="2">
        <f>SUM(BA11:BA30)</f>
        <v>0</v>
      </c>
      <c r="BC32" s="2">
        <f>SUM(BC11:BC30)</f>
        <v>0</v>
      </c>
      <c r="BE32" s="2">
        <f>SUM(BE11:BE30)</f>
        <v>0</v>
      </c>
      <c r="BG32" s="2">
        <f>SUM(BG11:BG30)</f>
        <v>0</v>
      </c>
      <c r="BI32" s="2">
        <f>SUM(BI11:BI30)</f>
        <v>0</v>
      </c>
      <c r="BK32" s="2">
        <f>SUM(BK11:BK30)</f>
        <v>0</v>
      </c>
      <c r="BM32" s="2">
        <f>SUM(BM11:BM30)</f>
        <v>0</v>
      </c>
      <c r="BO32" s="2">
        <f>SUM(BO11:BO30)</f>
        <v>0</v>
      </c>
    </row>
    <row r="33" spans="1:15">
      <c r="C33" s="30" t="s">
        <v>95</v>
      </c>
      <c r="G33" s="31"/>
      <c r="K33" s="3" t="s">
        <v>96</v>
      </c>
      <c r="L33" s="3" t="s">
        <v>97</v>
      </c>
      <c r="M33" s="3" t="s">
        <v>98</v>
      </c>
      <c r="N33" s="3" t="s">
        <v>99</v>
      </c>
      <c r="O33" s="3" t="s">
        <v>99</v>
      </c>
    </row>
    <row r="34" spans="1:15">
      <c r="C34" s="30" t="s">
        <v>100</v>
      </c>
      <c r="G34" s="31"/>
      <c r="K34" s="2">
        <f t="shared" ref="K34:K53" si="54">IF(ISERR(L34),N34,L34)</f>
        <v>4.6717466309028479</v>
      </c>
      <c r="L34" s="2" t="e">
        <f t="shared" ref="L34:L53" si="55">IF(EXACT($L$33,$L11),$M34,0)</f>
        <v>#VALUE!</v>
      </c>
      <c r="M34" s="2">
        <f t="shared" ref="M34:M53" si="56">(J11/(2.3*(B11+1.8*$M$6)))^0.667/K11</f>
        <v>4.0767510612303175</v>
      </c>
      <c r="N34" s="32">
        <f t="shared" ref="N34:N53" si="57">((J11*$M$5)/(0.56*K11^1.67*L11^0.5))^0.3745</f>
        <v>4.6717466309028479</v>
      </c>
      <c r="O34" s="2">
        <f t="shared" ref="O34:O53" si="58">IF(M11=M34,100,+Y11*100)</f>
        <v>94.388274648003616</v>
      </c>
    </row>
    <row r="35" spans="1:15" ht="15.75" thickBot="1">
      <c r="C35" s="33" t="s">
        <v>101</v>
      </c>
      <c r="D35" s="34"/>
      <c r="E35" s="34"/>
      <c r="F35" s="34"/>
      <c r="G35" s="35"/>
      <c r="K35" s="2" t="e">
        <f t="shared" si="54"/>
        <v>#DIV/0!</v>
      </c>
      <c r="L35" s="2" t="e">
        <f t="shared" si="55"/>
        <v>#VALUE!</v>
      </c>
      <c r="M35" s="2" t="e">
        <f t="shared" si="56"/>
        <v>#DIV/0!</v>
      </c>
      <c r="N35" s="32" t="e">
        <f t="shared" si="57"/>
        <v>#DIV/0!</v>
      </c>
      <c r="O35" s="2" t="e">
        <f t="shared" si="58"/>
        <v>#DIV/0!</v>
      </c>
    </row>
    <row r="36" spans="1:15" ht="15.75" thickTop="1">
      <c r="K36" s="2" t="e">
        <f t="shared" si="54"/>
        <v>#DIV/0!</v>
      </c>
      <c r="L36" s="2" t="e">
        <f t="shared" si="55"/>
        <v>#VALUE!</v>
      </c>
      <c r="M36" s="2" t="e">
        <f t="shared" si="56"/>
        <v>#DIV/0!</v>
      </c>
      <c r="N36" s="32" t="e">
        <f t="shared" si="57"/>
        <v>#DIV/0!</v>
      </c>
      <c r="O36" s="2" t="e">
        <f t="shared" si="58"/>
        <v>#DIV/0!</v>
      </c>
    </row>
    <row r="37" spans="1:15">
      <c r="K37" s="2" t="e">
        <f t="shared" si="54"/>
        <v>#DIV/0!</v>
      </c>
      <c r="L37" s="2" t="e">
        <f t="shared" si="55"/>
        <v>#VALUE!</v>
      </c>
      <c r="M37" s="2" t="e">
        <f t="shared" si="56"/>
        <v>#DIV/0!</v>
      </c>
      <c r="N37" s="32" t="e">
        <f t="shared" si="57"/>
        <v>#DIV/0!</v>
      </c>
      <c r="O37" s="2" t="e">
        <f t="shared" si="58"/>
        <v>#DIV/0!</v>
      </c>
    </row>
    <row r="38" spans="1:15">
      <c r="B38" s="3" t="s">
        <v>102</v>
      </c>
      <c r="C38" s="3" t="s">
        <v>103</v>
      </c>
      <c r="K38" s="2" t="e">
        <f t="shared" si="54"/>
        <v>#DIV/0!</v>
      </c>
      <c r="L38" s="2" t="e">
        <f t="shared" si="55"/>
        <v>#VALUE!</v>
      </c>
      <c r="M38" s="2" t="e">
        <f t="shared" si="56"/>
        <v>#DIV/0!</v>
      </c>
      <c r="N38" s="32" t="e">
        <f t="shared" si="57"/>
        <v>#DIV/0!</v>
      </c>
      <c r="O38" s="2" t="e">
        <f t="shared" si="58"/>
        <v>#DIV/0!</v>
      </c>
    </row>
    <row r="39" spans="1:15">
      <c r="C39" s="3" t="s">
        <v>104</v>
      </c>
      <c r="K39" s="2" t="e">
        <f t="shared" si="54"/>
        <v>#DIV/0!</v>
      </c>
      <c r="L39" s="2" t="e">
        <f t="shared" si="55"/>
        <v>#VALUE!</v>
      </c>
      <c r="M39" s="2" t="e">
        <f t="shared" si="56"/>
        <v>#DIV/0!</v>
      </c>
      <c r="N39" s="32" t="e">
        <f t="shared" si="57"/>
        <v>#DIV/0!</v>
      </c>
      <c r="O39" s="2" t="e">
        <f t="shared" si="58"/>
        <v>#DIV/0!</v>
      </c>
    </row>
    <row r="40" spans="1:15">
      <c r="C40" s="3" t="s">
        <v>105</v>
      </c>
      <c r="F40" s="3" t="s">
        <v>106</v>
      </c>
      <c r="G40" s="3" t="s">
        <v>103</v>
      </c>
      <c r="K40" s="2" t="e">
        <f t="shared" si="54"/>
        <v>#DIV/0!</v>
      </c>
      <c r="L40" s="2" t="e">
        <f t="shared" si="55"/>
        <v>#VALUE!</v>
      </c>
      <c r="M40" s="2" t="e">
        <f t="shared" si="56"/>
        <v>#DIV/0!</v>
      </c>
      <c r="N40" s="32" t="e">
        <f t="shared" si="57"/>
        <v>#DIV/0!</v>
      </c>
      <c r="O40" s="2" t="e">
        <f t="shared" si="58"/>
        <v>#DIV/0!</v>
      </c>
    </row>
    <row r="41" spans="1:15">
      <c r="C41" s="3" t="s">
        <v>107</v>
      </c>
      <c r="G41" s="3" t="s">
        <v>108</v>
      </c>
      <c r="K41" s="2" t="e">
        <f t="shared" si="54"/>
        <v>#DIV/0!</v>
      </c>
      <c r="L41" s="2" t="e">
        <f t="shared" si="55"/>
        <v>#VALUE!</v>
      </c>
      <c r="M41" s="2" t="e">
        <f t="shared" si="56"/>
        <v>#DIV/0!</v>
      </c>
      <c r="N41" s="32" t="e">
        <f t="shared" si="57"/>
        <v>#DIV/0!</v>
      </c>
      <c r="O41" s="2" t="e">
        <f t="shared" si="58"/>
        <v>#DIV/0!</v>
      </c>
    </row>
    <row r="42" spans="1:15">
      <c r="C42" s="3" t="s">
        <v>109</v>
      </c>
      <c r="G42" s="3" t="s">
        <v>110</v>
      </c>
      <c r="K42" s="2" t="e">
        <f t="shared" si="54"/>
        <v>#DIV/0!</v>
      </c>
      <c r="L42" s="2" t="e">
        <f t="shared" si="55"/>
        <v>#VALUE!</v>
      </c>
      <c r="M42" s="2" t="e">
        <f t="shared" si="56"/>
        <v>#DIV/0!</v>
      </c>
      <c r="N42" s="32" t="e">
        <f t="shared" si="57"/>
        <v>#DIV/0!</v>
      </c>
      <c r="O42" s="2" t="e">
        <f t="shared" si="58"/>
        <v>#DIV/0!</v>
      </c>
    </row>
    <row r="43" spans="1:15">
      <c r="G43" s="3" t="s">
        <v>111</v>
      </c>
      <c r="K43" s="2" t="e">
        <f t="shared" si="54"/>
        <v>#DIV/0!</v>
      </c>
      <c r="L43" s="2" t="e">
        <f t="shared" si="55"/>
        <v>#VALUE!</v>
      </c>
      <c r="M43" s="2" t="e">
        <f t="shared" si="56"/>
        <v>#DIV/0!</v>
      </c>
      <c r="N43" s="32" t="e">
        <f t="shared" si="57"/>
        <v>#DIV/0!</v>
      </c>
      <c r="O43" s="2" t="e">
        <f t="shared" si="58"/>
        <v>#DIV/0!</v>
      </c>
    </row>
    <row r="44" spans="1:15">
      <c r="C44" s="3" t="s">
        <v>7</v>
      </c>
      <c r="K44" s="2" t="e">
        <f t="shared" si="54"/>
        <v>#DIV/0!</v>
      </c>
      <c r="L44" s="2" t="e">
        <f t="shared" si="55"/>
        <v>#VALUE!</v>
      </c>
      <c r="M44" s="2" t="e">
        <f t="shared" si="56"/>
        <v>#DIV/0!</v>
      </c>
      <c r="N44" s="32" t="e">
        <f t="shared" si="57"/>
        <v>#DIV/0!</v>
      </c>
      <c r="O44" s="2" t="e">
        <f t="shared" si="58"/>
        <v>#DIV/0!</v>
      </c>
    </row>
    <row r="45" spans="1:15">
      <c r="F45" s="3" t="s">
        <v>112</v>
      </c>
      <c r="G45" s="3" t="s">
        <v>113</v>
      </c>
      <c r="K45" s="2" t="e">
        <f t="shared" si="54"/>
        <v>#DIV/0!</v>
      </c>
      <c r="L45" s="2" t="e">
        <f t="shared" si="55"/>
        <v>#VALUE!</v>
      </c>
      <c r="M45" s="2" t="e">
        <f t="shared" si="56"/>
        <v>#DIV/0!</v>
      </c>
      <c r="N45" s="32" t="e">
        <f t="shared" si="57"/>
        <v>#DIV/0!</v>
      </c>
      <c r="O45" s="2" t="e">
        <f t="shared" si="58"/>
        <v>#DIV/0!</v>
      </c>
    </row>
    <row r="46" spans="1:15">
      <c r="G46" s="3" t="s">
        <v>114</v>
      </c>
      <c r="K46" s="2" t="e">
        <f t="shared" si="54"/>
        <v>#DIV/0!</v>
      </c>
      <c r="L46" s="2" t="e">
        <f t="shared" si="55"/>
        <v>#VALUE!</v>
      </c>
      <c r="M46" s="2" t="e">
        <f t="shared" si="56"/>
        <v>#DIV/0!</v>
      </c>
      <c r="N46" s="32" t="e">
        <f t="shared" si="57"/>
        <v>#DIV/0!</v>
      </c>
      <c r="O46" s="2" t="e">
        <f t="shared" si="58"/>
        <v>#DIV/0!</v>
      </c>
    </row>
    <row r="47" spans="1:15">
      <c r="K47" s="2" t="e">
        <f t="shared" si="54"/>
        <v>#DIV/0!</v>
      </c>
      <c r="L47" s="2" t="e">
        <f t="shared" si="55"/>
        <v>#VALUE!</v>
      </c>
      <c r="M47" s="2" t="e">
        <f t="shared" si="56"/>
        <v>#DIV/0!</v>
      </c>
      <c r="N47" s="32" t="e">
        <f t="shared" si="57"/>
        <v>#DIV/0!</v>
      </c>
      <c r="O47" s="2" t="e">
        <f t="shared" si="58"/>
        <v>#DIV/0!</v>
      </c>
    </row>
    <row r="48" spans="1:15">
      <c r="A48" s="3" t="s">
        <v>115</v>
      </c>
      <c r="B48" s="3" t="s">
        <v>103</v>
      </c>
      <c r="K48" s="2" t="e">
        <f t="shared" si="54"/>
        <v>#DIV/0!</v>
      </c>
      <c r="L48" s="2" t="e">
        <f t="shared" si="55"/>
        <v>#VALUE!</v>
      </c>
      <c r="M48" s="2" t="e">
        <f t="shared" si="56"/>
        <v>#DIV/0!</v>
      </c>
      <c r="N48" s="32" t="e">
        <f t="shared" si="57"/>
        <v>#DIV/0!</v>
      </c>
      <c r="O48" s="2" t="e">
        <f t="shared" si="58"/>
        <v>#DIV/0!</v>
      </c>
    </row>
    <row r="49" spans="2:15">
      <c r="B49" s="3" t="s">
        <v>116</v>
      </c>
      <c r="K49" s="2" t="e">
        <f t="shared" si="54"/>
        <v>#DIV/0!</v>
      </c>
      <c r="L49" s="2" t="e">
        <f t="shared" si="55"/>
        <v>#VALUE!</v>
      </c>
      <c r="M49" s="2" t="e">
        <f t="shared" si="56"/>
        <v>#DIV/0!</v>
      </c>
      <c r="N49" s="32" t="e">
        <f t="shared" si="57"/>
        <v>#DIV/0!</v>
      </c>
      <c r="O49" s="2" t="e">
        <f t="shared" si="58"/>
        <v>#DIV/0!</v>
      </c>
    </row>
    <row r="50" spans="2:15">
      <c r="B50" s="3" t="s">
        <v>117</v>
      </c>
      <c r="K50" s="2" t="e">
        <f t="shared" si="54"/>
        <v>#DIV/0!</v>
      </c>
      <c r="L50" s="2" t="e">
        <f t="shared" si="55"/>
        <v>#VALUE!</v>
      </c>
      <c r="M50" s="2" t="e">
        <f t="shared" si="56"/>
        <v>#DIV/0!</v>
      </c>
      <c r="N50" s="32" t="e">
        <f t="shared" si="57"/>
        <v>#DIV/0!</v>
      </c>
      <c r="O50" s="2" t="e">
        <f t="shared" si="58"/>
        <v>#DIV/0!</v>
      </c>
    </row>
    <row r="51" spans="2:15">
      <c r="B51" s="3" t="s">
        <v>118</v>
      </c>
      <c r="K51" s="2" t="e">
        <f t="shared" si="54"/>
        <v>#DIV/0!</v>
      </c>
      <c r="L51" s="2" t="e">
        <f t="shared" si="55"/>
        <v>#VALUE!</v>
      </c>
      <c r="M51" s="2" t="e">
        <f t="shared" si="56"/>
        <v>#DIV/0!</v>
      </c>
      <c r="N51" s="32" t="e">
        <f t="shared" si="57"/>
        <v>#DIV/0!</v>
      </c>
      <c r="O51" s="2" t="e">
        <f t="shared" si="58"/>
        <v>#DIV/0!</v>
      </c>
    </row>
    <row r="52" spans="2:15">
      <c r="B52" s="3" t="s">
        <v>119</v>
      </c>
      <c r="K52" s="2" t="e">
        <f t="shared" si="54"/>
        <v>#DIV/0!</v>
      </c>
      <c r="L52" s="2" t="e">
        <f t="shared" si="55"/>
        <v>#VALUE!</v>
      </c>
      <c r="M52" s="2" t="e">
        <f t="shared" si="56"/>
        <v>#DIV/0!</v>
      </c>
      <c r="N52" s="32" t="e">
        <f t="shared" si="57"/>
        <v>#DIV/0!</v>
      </c>
      <c r="O52" s="2" t="e">
        <f t="shared" si="58"/>
        <v>#DIV/0!</v>
      </c>
    </row>
    <row r="53" spans="2:15">
      <c r="B53" s="3" t="s">
        <v>120</v>
      </c>
      <c r="K53" s="2" t="e">
        <f t="shared" si="54"/>
        <v>#DIV/0!</v>
      </c>
      <c r="L53" s="2" t="e">
        <f t="shared" si="55"/>
        <v>#VALUE!</v>
      </c>
      <c r="M53" s="2" t="e">
        <f t="shared" si="56"/>
        <v>#DIV/0!</v>
      </c>
      <c r="N53" s="32" t="e">
        <f t="shared" si="57"/>
        <v>#DIV/0!</v>
      </c>
      <c r="O53" s="2" t="e">
        <f t="shared" si="58"/>
        <v>#DIV/0!</v>
      </c>
    </row>
    <row r="54" spans="2:15">
      <c r="B54" s="3" t="s">
        <v>121</v>
      </c>
    </row>
    <row r="55" spans="2:15">
      <c r="B55" s="3" t="s">
        <v>122</v>
      </c>
    </row>
    <row r="56" spans="2:15">
      <c r="B56" s="3" t="s">
        <v>123</v>
      </c>
    </row>
    <row r="57" spans="2:15">
      <c r="B57" s="3" t="s">
        <v>124</v>
      </c>
    </row>
    <row r="58" spans="2:15">
      <c r="B58" s="3" t="s">
        <v>125</v>
      </c>
    </row>
    <row r="59" spans="2:15">
      <c r="B59" s="3" t="s">
        <v>126</v>
      </c>
      <c r="F59" s="3" t="s">
        <v>127</v>
      </c>
      <c r="G59" s="3" t="s">
        <v>128</v>
      </c>
    </row>
    <row r="60" spans="2:15">
      <c r="B60" s="3" t="s">
        <v>109</v>
      </c>
    </row>
    <row r="75" spans="1:16">
      <c r="A75" s="3" t="s">
        <v>53</v>
      </c>
      <c r="C75" s="36" t="s">
        <v>129</v>
      </c>
      <c r="H75" s="3" t="s">
        <v>130</v>
      </c>
      <c r="J75" s="3" t="s">
        <v>54</v>
      </c>
      <c r="M75" s="7">
        <v>0.125</v>
      </c>
      <c r="N75" s="3" t="s">
        <v>55</v>
      </c>
    </row>
    <row r="76" spans="1:16">
      <c r="L76" s="3" t="s">
        <v>57</v>
      </c>
      <c r="M76" s="7">
        <v>1.4999999999999999E-2</v>
      </c>
    </row>
    <row r="77" spans="1:16">
      <c r="A77" s="3" t="s">
        <v>59</v>
      </c>
      <c r="C77" s="36" t="s">
        <v>131</v>
      </c>
      <c r="K77" s="3" t="s">
        <v>61</v>
      </c>
      <c r="M77" s="7">
        <v>1</v>
      </c>
      <c r="N77" s="3" t="s">
        <v>55</v>
      </c>
    </row>
    <row r="79" spans="1:16">
      <c r="A79" s="37" t="s">
        <v>4</v>
      </c>
      <c r="B79" s="37" t="s">
        <v>4</v>
      </c>
      <c r="C79" s="37" t="s">
        <v>21</v>
      </c>
      <c r="F79" s="37" t="s">
        <v>64</v>
      </c>
      <c r="G79" s="37" t="s">
        <v>2</v>
      </c>
      <c r="H79" s="37" t="s">
        <v>65</v>
      </c>
      <c r="I79" s="37" t="s">
        <v>66</v>
      </c>
      <c r="J79" s="37" t="s">
        <v>45</v>
      </c>
      <c r="K79" s="37" t="s">
        <v>67</v>
      </c>
      <c r="L79" s="37" t="s">
        <v>68</v>
      </c>
      <c r="M79" s="37" t="s">
        <v>69</v>
      </c>
      <c r="N79" s="37" t="s">
        <v>70</v>
      </c>
      <c r="O79" s="37" t="s">
        <v>64</v>
      </c>
      <c r="P79" s="37" t="s">
        <v>64</v>
      </c>
    </row>
    <row r="80" spans="1:16">
      <c r="A80" s="37" t="s">
        <v>77</v>
      </c>
      <c r="B80" s="37" t="s">
        <v>1</v>
      </c>
      <c r="C80" s="3" t="s">
        <v>78</v>
      </c>
      <c r="D80" s="37" t="s">
        <v>79</v>
      </c>
      <c r="E80" s="37" t="s">
        <v>80</v>
      </c>
      <c r="F80" s="37" t="s">
        <v>80</v>
      </c>
      <c r="G80" s="37" t="s">
        <v>80</v>
      </c>
      <c r="H80" s="37" t="s">
        <v>81</v>
      </c>
      <c r="I80" s="37" t="s">
        <v>82</v>
      </c>
      <c r="J80" s="37" t="s">
        <v>83</v>
      </c>
      <c r="K80" s="37" t="s">
        <v>84</v>
      </c>
      <c r="L80" s="37" t="s">
        <v>84</v>
      </c>
      <c r="M80" s="37" t="s">
        <v>85</v>
      </c>
      <c r="N80" s="37" t="s">
        <v>86</v>
      </c>
      <c r="O80" s="37" t="s">
        <v>80</v>
      </c>
      <c r="P80" s="37" t="s">
        <v>8</v>
      </c>
    </row>
    <row r="82" spans="1:16">
      <c r="A82" s="36" t="s">
        <v>91</v>
      </c>
      <c r="B82" s="38">
        <v>20</v>
      </c>
      <c r="C82" s="39">
        <v>1.58</v>
      </c>
      <c r="D82" s="39">
        <v>0.35</v>
      </c>
      <c r="E82" s="40">
        <v>0.55300000000000005</v>
      </c>
      <c r="F82" s="40">
        <v>0</v>
      </c>
      <c r="G82" s="40">
        <v>0.55300000000000005</v>
      </c>
      <c r="H82" s="38">
        <v>8.8000000000000007</v>
      </c>
      <c r="I82" s="7">
        <v>4.55</v>
      </c>
      <c r="J82" s="32">
        <v>2.5161500000000001</v>
      </c>
      <c r="K82" s="7">
        <v>1.7999999999999999E-2</v>
      </c>
      <c r="L82" s="7">
        <v>7.0999999999999994E-2</v>
      </c>
      <c r="M82" s="32">
        <v>7.3723545072728598</v>
      </c>
      <c r="N82" s="32">
        <v>80.544401925362806</v>
      </c>
      <c r="O82" s="40">
        <v>0.107589457352744</v>
      </c>
      <c r="P82" s="36" t="s">
        <v>132</v>
      </c>
    </row>
    <row r="83" spans="1:16">
      <c r="A83" s="36" t="s">
        <v>133</v>
      </c>
      <c r="B83" s="38">
        <v>15</v>
      </c>
      <c r="C83" s="39">
        <v>1.74</v>
      </c>
      <c r="D83" s="39">
        <v>0.41</v>
      </c>
      <c r="E83" s="40">
        <v>0.71340000000000003</v>
      </c>
      <c r="F83" s="40">
        <v>0</v>
      </c>
      <c r="G83" s="40">
        <v>0.71340000000000003</v>
      </c>
      <c r="H83" s="38">
        <v>7.75</v>
      </c>
      <c r="I83" s="7">
        <v>4.7699999999999996</v>
      </c>
      <c r="J83" s="32">
        <v>3.4029180000000001</v>
      </c>
      <c r="K83" s="7">
        <v>0.06</v>
      </c>
      <c r="L83" s="7">
        <v>3.5999999999999997E-2</v>
      </c>
      <c r="M83" s="32">
        <v>4.4149219847824099</v>
      </c>
      <c r="N83" s="32">
        <v>91.041647961783795</v>
      </c>
      <c r="O83" s="40">
        <v>6.3908883440634306E-2</v>
      </c>
      <c r="P83" s="36" t="s">
        <v>134</v>
      </c>
    </row>
    <row r="84" spans="1:16">
      <c r="A84" s="36" t="s">
        <v>134</v>
      </c>
      <c r="B84" s="38">
        <v>20</v>
      </c>
      <c r="C84" s="39">
        <v>2.36</v>
      </c>
      <c r="D84" s="39">
        <v>0.37</v>
      </c>
      <c r="E84" s="40">
        <v>0.87319999999999998</v>
      </c>
      <c r="F84" s="40">
        <v>6.3908883440634306E-2</v>
      </c>
      <c r="G84" s="40">
        <v>0.93710888344063403</v>
      </c>
      <c r="H84" s="38">
        <v>8.6</v>
      </c>
      <c r="I84" s="7">
        <v>4.5999999999999996</v>
      </c>
      <c r="J84" s="32">
        <v>4.31070086382692</v>
      </c>
      <c r="K84" s="7">
        <v>0.04</v>
      </c>
      <c r="L84" s="7">
        <v>0.02</v>
      </c>
      <c r="M84" s="32">
        <v>6.9392530944413702</v>
      </c>
      <c r="N84" s="32">
        <v>95.427031335951099</v>
      </c>
      <c r="O84" s="40">
        <v>4.2853695587758998E-2</v>
      </c>
      <c r="P84" s="36" t="s">
        <v>135</v>
      </c>
    </row>
    <row r="85" spans="1:16">
      <c r="A85" s="36" t="s">
        <v>135</v>
      </c>
      <c r="B85" s="38">
        <v>20</v>
      </c>
      <c r="C85" s="39">
        <v>0.83</v>
      </c>
      <c r="D85" s="39">
        <v>0.42</v>
      </c>
      <c r="E85" s="40">
        <v>0.34860000000000002</v>
      </c>
      <c r="F85" s="40">
        <v>4.2853695587758998E-2</v>
      </c>
      <c r="G85" s="40">
        <v>0.391453695587759</v>
      </c>
      <c r="H85" s="38">
        <v>6.2</v>
      </c>
      <c r="I85" s="7">
        <v>5.0599999999999996</v>
      </c>
      <c r="J85" s="32">
        <v>1.9807556996740601</v>
      </c>
      <c r="K85" s="7">
        <v>1.4E-2</v>
      </c>
      <c r="L85" s="7">
        <v>0.02</v>
      </c>
      <c r="M85" s="32">
        <v>9.9996409340445194</v>
      </c>
      <c r="N85" s="32">
        <v>94.1800559811158</v>
      </c>
      <c r="O85" s="40">
        <v>2.2782385943060798E-2</v>
      </c>
      <c r="P85" s="36" t="s">
        <v>136</v>
      </c>
    </row>
    <row r="86" spans="1:16">
      <c r="A86" s="36" t="s">
        <v>136</v>
      </c>
      <c r="B86" s="38">
        <v>20</v>
      </c>
      <c r="C86" s="7">
        <v>1.43</v>
      </c>
      <c r="D86" s="7">
        <v>0.35</v>
      </c>
      <c r="E86" s="40">
        <v>0.50049999999999994</v>
      </c>
      <c r="F86" s="40">
        <v>2.2782385943060798E-2</v>
      </c>
      <c r="G86" s="40">
        <v>0.52328238594306098</v>
      </c>
      <c r="H86" s="38">
        <v>6.6</v>
      </c>
      <c r="I86" s="7">
        <v>4.93</v>
      </c>
      <c r="J86" s="32">
        <v>2.5797821626992898</v>
      </c>
      <c r="K86" s="7">
        <v>1.7000000000000001E-2</v>
      </c>
      <c r="L86" s="7">
        <v>2.5999999999999999E-2</v>
      </c>
      <c r="M86" s="32">
        <v>9.3086700253709207</v>
      </c>
      <c r="N86" s="32">
        <v>87.415515728016402</v>
      </c>
      <c r="O86" s="40">
        <v>6.5852389557064905E-2</v>
      </c>
      <c r="P86" s="36" t="s">
        <v>137</v>
      </c>
    </row>
    <row r="87" spans="1:16">
      <c r="A87" s="36" t="s">
        <v>137</v>
      </c>
      <c r="B87" s="38">
        <v>20</v>
      </c>
      <c r="C87" s="7">
        <v>2.5499999999999998</v>
      </c>
      <c r="D87" s="7">
        <v>0.36</v>
      </c>
      <c r="E87" s="40">
        <v>0.91800000000000004</v>
      </c>
      <c r="F87" s="40">
        <v>6.5852389557064905E-2</v>
      </c>
      <c r="G87" s="40">
        <v>0.983852389557065</v>
      </c>
      <c r="H87" s="38">
        <v>9.25</v>
      </c>
      <c r="I87" s="7">
        <v>4.46</v>
      </c>
      <c r="J87" s="32">
        <v>4.3879816574245103</v>
      </c>
      <c r="K87" s="7">
        <v>3.1E-2</v>
      </c>
      <c r="L87" s="7">
        <v>3.3000000000000002E-2</v>
      </c>
      <c r="M87" s="32">
        <v>7.4595257990191897</v>
      </c>
      <c r="N87" s="32">
        <v>83.000141413753795</v>
      </c>
      <c r="O87" s="40">
        <v>0.16725351492210599</v>
      </c>
      <c r="P87" s="36" t="s">
        <v>138</v>
      </c>
    </row>
    <row r="88" spans="1:16">
      <c r="A88" s="36" t="s">
        <v>138</v>
      </c>
      <c r="B88" s="38">
        <v>20</v>
      </c>
      <c r="C88" s="7">
        <v>2.89</v>
      </c>
      <c r="D88" s="7">
        <v>0.41</v>
      </c>
      <c r="E88" s="40">
        <v>1.1849000000000001</v>
      </c>
      <c r="F88" s="40">
        <v>0.16725351492210599</v>
      </c>
      <c r="G88" s="40">
        <v>1.35215351492211</v>
      </c>
      <c r="H88" s="38">
        <v>9.3000000000000007</v>
      </c>
      <c r="I88" s="7">
        <v>4.45</v>
      </c>
      <c r="J88" s="32">
        <v>6.0170831414033703</v>
      </c>
      <c r="K88" s="7">
        <v>0.04</v>
      </c>
      <c r="L88" s="7">
        <v>3.5999999999999997E-2</v>
      </c>
      <c r="M88" s="32">
        <v>7.0429536341066603</v>
      </c>
      <c r="N88" s="32">
        <v>80.4097954456454</v>
      </c>
      <c r="O88" s="40">
        <v>0.26488963946213701</v>
      </c>
      <c r="P88" s="36" t="s">
        <v>139</v>
      </c>
    </row>
    <row r="89" spans="1:16">
      <c r="A89" s="36" t="s">
        <v>140</v>
      </c>
      <c r="B89" s="38">
        <v>10</v>
      </c>
      <c r="C89" s="7">
        <v>0.12</v>
      </c>
      <c r="D89" s="7">
        <v>0.86</v>
      </c>
      <c r="E89" s="40">
        <v>0.1032</v>
      </c>
      <c r="F89" s="40">
        <v>6.5070571849340699E-3</v>
      </c>
      <c r="G89" s="40">
        <v>0.109707057184934</v>
      </c>
      <c r="H89" s="38">
        <v>5</v>
      </c>
      <c r="I89" s="7">
        <v>5.38</v>
      </c>
      <c r="J89" s="32">
        <v>0.590223967654945</v>
      </c>
      <c r="K89" s="7">
        <v>0.02</v>
      </c>
      <c r="L89" s="7">
        <v>1.0999999999999999E-2</v>
      </c>
      <c r="M89" s="32">
        <v>5.6859902730203897</v>
      </c>
      <c r="N89" s="32">
        <v>100</v>
      </c>
      <c r="O89" s="40">
        <v>0</v>
      </c>
      <c r="P89" s="36" t="s">
        <v>141</v>
      </c>
    </row>
    <row r="90" spans="1:16">
      <c r="A90" s="36" t="s">
        <v>142</v>
      </c>
      <c r="B90" s="38">
        <v>10</v>
      </c>
      <c r="C90" s="7">
        <v>0.17</v>
      </c>
      <c r="D90" s="7">
        <v>0.86</v>
      </c>
      <c r="E90" s="40">
        <v>0.1462</v>
      </c>
      <c r="F90" s="40">
        <v>0</v>
      </c>
      <c r="G90" s="40">
        <v>0.1462</v>
      </c>
      <c r="H90" s="38">
        <v>5</v>
      </c>
      <c r="I90" s="7">
        <v>5.38</v>
      </c>
      <c r="J90" s="32">
        <v>0.78655600000000003</v>
      </c>
      <c r="K90" s="7">
        <v>0.02</v>
      </c>
      <c r="L90" s="7">
        <v>1.7999999999999999E-2</v>
      </c>
      <c r="M90" s="32">
        <v>5.7738043365877498</v>
      </c>
      <c r="N90" s="32">
        <v>95.549208491837206</v>
      </c>
      <c r="O90" s="40">
        <v>6.5070571849340699E-3</v>
      </c>
      <c r="P90" s="36" t="s">
        <v>140</v>
      </c>
    </row>
    <row r="91" spans="1:16">
      <c r="A91" s="36" t="s">
        <v>143</v>
      </c>
      <c r="B91" s="38">
        <v>15</v>
      </c>
      <c r="C91" s="7">
        <v>0.15</v>
      </c>
      <c r="D91" s="7">
        <v>0.86</v>
      </c>
      <c r="E91" s="40">
        <v>0.129</v>
      </c>
      <c r="F91" s="40">
        <v>0</v>
      </c>
      <c r="G91" s="40">
        <v>0.129</v>
      </c>
      <c r="H91" s="38">
        <v>5</v>
      </c>
      <c r="I91" s="7">
        <v>5.38</v>
      </c>
      <c r="J91" s="32">
        <v>0.69401999999999997</v>
      </c>
      <c r="K91" s="7">
        <v>0.02</v>
      </c>
      <c r="L91" s="7">
        <v>4.2000000000000003E-2</v>
      </c>
      <c r="M91" s="32">
        <v>4.7011213825744003</v>
      </c>
      <c r="N91" s="32">
        <v>100</v>
      </c>
      <c r="O91" s="40">
        <v>0</v>
      </c>
      <c r="P91" s="36" t="s">
        <v>142</v>
      </c>
    </row>
    <row r="92" spans="1:16">
      <c r="A92" s="36" t="s">
        <v>144</v>
      </c>
      <c r="B92" s="38">
        <v>20</v>
      </c>
      <c r="C92" s="7">
        <v>1.53</v>
      </c>
      <c r="D92" s="7">
        <v>0.41</v>
      </c>
      <c r="E92" s="40">
        <v>0.62729999999999997</v>
      </c>
      <c r="F92" s="40">
        <v>0</v>
      </c>
      <c r="G92" s="40">
        <v>0.62729999999999997</v>
      </c>
      <c r="H92" s="38">
        <v>8.8000000000000007</v>
      </c>
      <c r="I92" s="7">
        <v>4.55</v>
      </c>
      <c r="J92" s="32">
        <v>2.8542149999999999</v>
      </c>
      <c r="K92" s="7">
        <v>2.9000000000000001E-2</v>
      </c>
      <c r="L92" s="7">
        <v>4.4999999999999998E-2</v>
      </c>
      <c r="M92" s="32">
        <v>6.2467602281872496</v>
      </c>
      <c r="N92" s="32">
        <v>89.907892014203</v>
      </c>
      <c r="O92" s="40">
        <v>6.3307793394904402E-2</v>
      </c>
      <c r="P92" s="36" t="s">
        <v>145</v>
      </c>
    </row>
    <row r="93" spans="1:16">
      <c r="A93" s="36" t="s">
        <v>145</v>
      </c>
      <c r="B93" s="38">
        <v>20</v>
      </c>
      <c r="C93" s="7">
        <v>1.44</v>
      </c>
      <c r="D93" s="7">
        <v>0.39</v>
      </c>
      <c r="E93" s="40">
        <v>0.56159999999999999</v>
      </c>
      <c r="F93" s="40">
        <v>6.3307793394904402E-2</v>
      </c>
      <c r="G93" s="40">
        <v>0.62490779339490399</v>
      </c>
      <c r="H93" s="38">
        <v>8.1</v>
      </c>
      <c r="I93" s="7">
        <v>4.7300000000000004</v>
      </c>
      <c r="J93" s="32">
        <v>2.9558138627578998</v>
      </c>
      <c r="K93" s="7">
        <v>3.5999999999999997E-2</v>
      </c>
      <c r="L93" s="7">
        <v>4.5999999999999999E-2</v>
      </c>
      <c r="M93" s="32">
        <v>5.5058832101917696</v>
      </c>
      <c r="N93" s="32">
        <v>93.180166268126996</v>
      </c>
      <c r="O93" s="40">
        <v>4.2617672487049202E-2</v>
      </c>
      <c r="P93" s="36" t="s">
        <v>146</v>
      </c>
    </row>
    <row r="94" spans="1:16">
      <c r="A94" s="36" t="s">
        <v>146</v>
      </c>
      <c r="B94" s="38">
        <v>15</v>
      </c>
      <c r="C94" s="7">
        <v>0.95</v>
      </c>
      <c r="D94" s="7">
        <v>0.41</v>
      </c>
      <c r="E94" s="40">
        <v>0.38950000000000001</v>
      </c>
      <c r="F94" s="40">
        <v>4.2617672487049202E-2</v>
      </c>
      <c r="G94" s="40">
        <v>0.43211767248704902</v>
      </c>
      <c r="H94" s="38">
        <v>8.9</v>
      </c>
      <c r="I94" s="7">
        <v>4.53</v>
      </c>
      <c r="J94" s="32">
        <v>1.95749305636633</v>
      </c>
      <c r="K94" s="7">
        <v>5.0999999999999997E-2</v>
      </c>
      <c r="L94" s="7">
        <v>0.05</v>
      </c>
      <c r="M94" s="32">
        <v>3.7360644678766302</v>
      </c>
      <c r="N94" s="32">
        <v>96.851265620306293</v>
      </c>
      <c r="O94" s="40">
        <v>1.3606237714331801E-2</v>
      </c>
      <c r="P94" s="36" t="s">
        <v>147</v>
      </c>
    </row>
    <row r="95" spans="1:16">
      <c r="A95" s="36" t="s">
        <v>148</v>
      </c>
      <c r="B95" s="38">
        <v>15</v>
      </c>
      <c r="C95" s="7">
        <v>1.01</v>
      </c>
      <c r="D95" s="7">
        <v>0.51</v>
      </c>
      <c r="E95" s="40">
        <v>0.5151</v>
      </c>
      <c r="F95" s="40">
        <v>0</v>
      </c>
      <c r="G95" s="40">
        <v>0.5151</v>
      </c>
      <c r="H95" s="38">
        <v>10.5</v>
      </c>
      <c r="I95" s="7">
        <v>4.2699999999999996</v>
      </c>
      <c r="J95" s="32">
        <v>2.1994769999999999</v>
      </c>
      <c r="K95" s="7">
        <v>6.5000000000000002E-2</v>
      </c>
      <c r="L95" s="7">
        <v>4.4999999999999998E-2</v>
      </c>
      <c r="M95" s="32">
        <v>3.4202364803929699</v>
      </c>
      <c r="N95" s="32">
        <v>98.8934652596555</v>
      </c>
      <c r="O95" s="40">
        <v>5.6997604475143701E-3</v>
      </c>
      <c r="P95" s="36" t="s">
        <v>147</v>
      </c>
    </row>
    <row r="96" spans="1:16">
      <c r="A96" s="36" t="s">
        <v>149</v>
      </c>
      <c r="B96" s="38">
        <v>10</v>
      </c>
      <c r="C96" s="7">
        <v>0.2</v>
      </c>
      <c r="D96" s="7">
        <v>0.86</v>
      </c>
      <c r="E96" s="40">
        <v>0.17199999999999999</v>
      </c>
      <c r="F96" s="40">
        <v>0</v>
      </c>
      <c r="G96" s="40">
        <v>0.17199999999999999</v>
      </c>
      <c r="H96" s="38">
        <v>5</v>
      </c>
      <c r="I96" s="7">
        <v>5.38</v>
      </c>
      <c r="J96" s="32">
        <v>0.92535999999999996</v>
      </c>
      <c r="K96" s="7">
        <v>2.9000000000000001E-2</v>
      </c>
      <c r="L96" s="7">
        <v>4.7E-2</v>
      </c>
      <c r="M96" s="32">
        <v>4.0637048590953597</v>
      </c>
      <c r="N96" s="32">
        <v>89.653330864124698</v>
      </c>
      <c r="O96" s="40">
        <v>1.77962709137055E-2</v>
      </c>
      <c r="P96" s="36" t="s">
        <v>150</v>
      </c>
    </row>
    <row r="97" spans="1:16">
      <c r="A97" s="36" t="s">
        <v>150</v>
      </c>
      <c r="B97" s="38">
        <v>20</v>
      </c>
      <c r="C97" s="7">
        <v>0.43</v>
      </c>
      <c r="D97" s="7">
        <v>0.86</v>
      </c>
      <c r="E97" s="40">
        <v>0.36980000000000002</v>
      </c>
      <c r="F97" s="40">
        <v>1.77962709137055E-2</v>
      </c>
      <c r="G97" s="40">
        <v>0.38759627091370502</v>
      </c>
      <c r="H97" s="38">
        <v>5</v>
      </c>
      <c r="I97" s="7">
        <v>5.38</v>
      </c>
      <c r="J97" s="32">
        <v>2.0852679375157401</v>
      </c>
      <c r="K97" s="7">
        <v>1.7999999999999999E-2</v>
      </c>
      <c r="L97" s="7">
        <v>0.03</v>
      </c>
      <c r="M97" s="32">
        <v>8.0744634014334</v>
      </c>
      <c r="N97" s="32">
        <v>93.625413967820407</v>
      </c>
      <c r="O97" s="40">
        <v>2.4707657746914299E-2</v>
      </c>
      <c r="P97" s="36" t="s">
        <v>151</v>
      </c>
    </row>
    <row r="98" spans="1:16">
      <c r="A98" s="36" t="s">
        <v>147</v>
      </c>
      <c r="B98" s="38">
        <v>20</v>
      </c>
      <c r="C98" s="7">
        <v>0.72</v>
      </c>
      <c r="D98" s="7">
        <v>0.86</v>
      </c>
      <c r="E98" s="40">
        <v>0.61919999999999997</v>
      </c>
      <c r="F98" s="40">
        <v>1.9305998161846201E-2</v>
      </c>
      <c r="G98" s="40">
        <v>0.63850599816184594</v>
      </c>
      <c r="H98" s="38">
        <v>5</v>
      </c>
      <c r="I98" s="7">
        <v>5.38</v>
      </c>
      <c r="J98" s="32">
        <v>3.4351622701107298</v>
      </c>
      <c r="K98" s="7">
        <v>2.4E-2</v>
      </c>
      <c r="L98" s="7">
        <v>2.5000000000000001E-2</v>
      </c>
      <c r="M98" s="32">
        <v>8.4137175351745501</v>
      </c>
      <c r="N98" s="32">
        <v>86.756539073019297</v>
      </c>
      <c r="O98" s="40">
        <v>8.4560292382992494E-2</v>
      </c>
      <c r="P98" s="36" t="s">
        <v>141</v>
      </c>
    </row>
    <row r="99" spans="1:16">
      <c r="A99" s="36" t="s">
        <v>151</v>
      </c>
      <c r="B99" s="38">
        <v>15</v>
      </c>
      <c r="C99" s="7">
        <v>0.44</v>
      </c>
      <c r="D99" s="7">
        <v>0.45</v>
      </c>
      <c r="E99" s="40">
        <v>0.19800000000000001</v>
      </c>
      <c r="F99" s="40">
        <v>2.4707657746914299E-2</v>
      </c>
      <c r="G99" s="40">
        <v>0.22270765774691401</v>
      </c>
      <c r="H99" s="38">
        <v>5.35</v>
      </c>
      <c r="I99" s="7">
        <v>5.3</v>
      </c>
      <c r="J99" s="32">
        <v>1.1803505860586501</v>
      </c>
      <c r="K99" s="7">
        <v>2.1999999999999999E-2</v>
      </c>
      <c r="L99" s="7">
        <v>3.2000000000000001E-2</v>
      </c>
      <c r="M99" s="32">
        <v>5.6859400061749099</v>
      </c>
      <c r="N99" s="32">
        <v>99.173204319338495</v>
      </c>
      <c r="O99" s="40">
        <v>1.84133729475393E-3</v>
      </c>
      <c r="P99" s="36" t="s">
        <v>141</v>
      </c>
    </row>
    <row r="100" spans="1:16">
      <c r="A100" s="36" t="s">
        <v>152</v>
      </c>
      <c r="B100" s="38">
        <v>15</v>
      </c>
      <c r="C100" s="7">
        <v>0.25</v>
      </c>
      <c r="D100" s="7">
        <v>0.51</v>
      </c>
      <c r="E100" s="40">
        <v>0.1275</v>
      </c>
      <c r="F100" s="40">
        <v>0</v>
      </c>
      <c r="G100" s="40">
        <v>0.1275</v>
      </c>
      <c r="H100" s="38">
        <v>5</v>
      </c>
      <c r="I100" s="7">
        <v>5.38</v>
      </c>
      <c r="J100" s="32">
        <v>0.68594999999999995</v>
      </c>
      <c r="K100" s="7">
        <v>1.4999999999999999E-2</v>
      </c>
      <c r="L100" s="7">
        <v>5.5E-2</v>
      </c>
      <c r="M100" s="32">
        <v>5.3273135452583897</v>
      </c>
      <c r="N100" s="32">
        <v>100</v>
      </c>
      <c r="O100" s="40">
        <v>0</v>
      </c>
      <c r="P100" s="36" t="s">
        <v>141</v>
      </c>
    </row>
    <row r="101" spans="1:16">
      <c r="E101" s="41" t="s">
        <v>7</v>
      </c>
      <c r="F101" s="41" t="s">
        <v>7</v>
      </c>
      <c r="G101" s="41" t="s">
        <v>7</v>
      </c>
      <c r="J101" s="22" t="s">
        <v>7</v>
      </c>
      <c r="M101" s="22" t="s">
        <v>7</v>
      </c>
      <c r="N101" s="22" t="s">
        <v>7</v>
      </c>
      <c r="O101" s="41" t="s">
        <v>7</v>
      </c>
      <c r="P101" s="36" t="s">
        <v>7</v>
      </c>
    </row>
  </sheetData>
  <printOptions gridLines="1" gridLinesSet="0"/>
  <pageMargins left="0.5" right="0.5" top="0.5" bottom="0.55000000000000004" header="0.5" footer="0.5"/>
  <pageSetup scale="74" orientation="landscape" horizontalDpi="2400" verticalDpi="2400" r:id="rId1"/>
  <headerFooter alignWithMargins="0">
    <oddFooter>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4AC9-B003-4C2D-B977-06C180456515}">
  <dimension ref="A1:AI325"/>
  <sheetViews>
    <sheetView view="pageBreakPreview" topLeftCell="A35" zoomScale="60" zoomScaleNormal="60" zoomScalePageLayoutView="70" workbookViewId="0">
      <selection activeCell="M12" sqref="M12"/>
    </sheetView>
  </sheetViews>
  <sheetFormatPr defaultColWidth="9.1328125" defaultRowHeight="12.75"/>
  <cols>
    <col min="1" max="1" width="19.265625" style="1" customWidth="1"/>
    <col min="2" max="2" width="17.3984375" style="1" customWidth="1"/>
    <col min="3" max="3" width="26.73046875" style="1" customWidth="1"/>
    <col min="4" max="4" width="16.86328125" style="1" customWidth="1"/>
    <col min="5" max="5" width="14" style="1" customWidth="1"/>
    <col min="6" max="6" width="12.59765625" style="1" customWidth="1"/>
    <col min="7" max="7" width="11.265625" style="1" customWidth="1"/>
    <col min="8" max="8" width="12.86328125" style="1" customWidth="1"/>
    <col min="9" max="9" width="9.1328125" style="1"/>
    <col min="10" max="10" width="19.265625" style="1" customWidth="1"/>
    <col min="11" max="11" width="16.1328125" style="1" customWidth="1"/>
    <col min="12" max="12" width="26.73046875" style="1" customWidth="1"/>
    <col min="13" max="13" width="15" style="1" customWidth="1"/>
    <col min="14" max="14" width="14" style="1" customWidth="1"/>
    <col min="15" max="15" width="12.265625" style="1" bestFit="1" customWidth="1"/>
    <col min="16" max="16" width="11.265625" style="1" customWidth="1"/>
    <col min="17" max="17" width="13.1328125" style="1" customWidth="1"/>
    <col min="18" max="18" width="9.1328125" style="1"/>
    <col min="19" max="19" width="19.265625" style="1" customWidth="1"/>
    <col min="20" max="20" width="16.1328125" style="1" customWidth="1"/>
    <col min="21" max="21" width="26.73046875" style="1" customWidth="1"/>
    <col min="22" max="22" width="14.1328125" style="1" customWidth="1"/>
    <col min="23" max="23" width="14" style="1" customWidth="1"/>
    <col min="24" max="24" width="11.86328125" style="1" bestFit="1" customWidth="1"/>
    <col min="25" max="25" width="11.265625" style="1" customWidth="1"/>
    <col min="26" max="26" width="12" style="1" customWidth="1"/>
    <col min="27" max="27" width="9.1328125" style="1"/>
    <col min="28" max="28" width="14.3984375" style="1" customWidth="1"/>
    <col min="29" max="29" width="9.1328125" style="1"/>
    <col min="30" max="30" width="26.73046875" style="1" customWidth="1"/>
    <col min="31" max="31" width="14.86328125" style="1" customWidth="1"/>
    <col min="32" max="32" width="16.73046875" style="1" customWidth="1"/>
    <col min="33" max="33" width="12" style="1" customWidth="1"/>
    <col min="34" max="34" width="11.73046875" style="1" customWidth="1"/>
    <col min="35" max="35" width="11.3984375" style="1" customWidth="1"/>
    <col min="36" max="16384" width="9.1328125" style="1"/>
  </cols>
  <sheetData>
    <row r="1" spans="1:27" ht="26.25" customHeight="1">
      <c r="A1" s="336" t="s">
        <v>299</v>
      </c>
      <c r="B1" s="337"/>
      <c r="C1" s="338"/>
      <c r="E1" s="337"/>
      <c r="G1" s="337"/>
      <c r="H1" s="337"/>
      <c r="I1" s="337"/>
      <c r="J1" s="336" t="s">
        <v>299</v>
      </c>
      <c r="K1" s="337"/>
      <c r="L1" s="338"/>
      <c r="N1" s="337"/>
      <c r="P1" s="337"/>
      <c r="Q1" s="337"/>
      <c r="R1" s="337"/>
      <c r="S1" s="336" t="s">
        <v>299</v>
      </c>
      <c r="T1" s="337"/>
      <c r="U1" s="338"/>
      <c r="W1" s="337"/>
      <c r="Y1" s="337"/>
      <c r="Z1" s="337"/>
      <c r="AA1" s="337"/>
    </row>
    <row r="2" spans="1:27" ht="16.5" customHeight="1">
      <c r="A2" s="339" t="s">
        <v>278</v>
      </c>
      <c r="B2" s="419" t="s">
        <v>551</v>
      </c>
      <c r="C2" s="419"/>
      <c r="D2" s="419"/>
      <c r="E2" s="419"/>
      <c r="F2" s="419"/>
      <c r="G2" s="419"/>
      <c r="H2" s="337"/>
      <c r="I2" s="337"/>
      <c r="J2" s="339" t="s">
        <v>278</v>
      </c>
      <c r="K2" s="419" t="s">
        <v>551</v>
      </c>
      <c r="L2" s="419"/>
      <c r="M2" s="419"/>
      <c r="N2" s="419"/>
      <c r="O2" s="419"/>
      <c r="P2" s="419"/>
      <c r="Q2" s="337"/>
      <c r="R2" s="337"/>
      <c r="S2" s="339" t="s">
        <v>278</v>
      </c>
      <c r="T2" s="419" t="s">
        <v>364</v>
      </c>
      <c r="U2" s="419"/>
      <c r="V2" s="419"/>
      <c r="W2" s="419"/>
      <c r="X2" s="419"/>
      <c r="Y2" s="419"/>
      <c r="Z2" s="337"/>
      <c r="AA2" s="337"/>
    </row>
    <row r="3" spans="1:27" ht="15">
      <c r="A3" s="340" t="s">
        <v>300</v>
      </c>
      <c r="B3" s="413">
        <v>203403586</v>
      </c>
      <c r="C3" s="337"/>
      <c r="D3" s="337"/>
      <c r="E3" s="337"/>
      <c r="F3" s="337"/>
      <c r="G3" s="337"/>
      <c r="H3" s="337"/>
      <c r="I3" s="337"/>
      <c r="J3" s="340" t="s">
        <v>300</v>
      </c>
      <c r="K3" s="413">
        <v>203403586</v>
      </c>
      <c r="L3" s="337"/>
      <c r="M3" s="337"/>
      <c r="N3" s="337"/>
      <c r="O3" s="337"/>
      <c r="P3" s="337"/>
      <c r="Q3" s="337"/>
      <c r="R3" s="337"/>
      <c r="S3" s="340" t="s">
        <v>300</v>
      </c>
      <c r="T3" s="341" t="s">
        <v>365</v>
      </c>
      <c r="U3" s="337"/>
      <c r="V3" s="337"/>
      <c r="W3" s="337"/>
      <c r="X3" s="337"/>
      <c r="Y3" s="337"/>
      <c r="Z3" s="337"/>
      <c r="AA3" s="337"/>
    </row>
    <row r="4" spans="1:27" ht="16.5" customHeight="1" thickBot="1">
      <c r="A4" s="337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</row>
    <row r="5" spans="1:27" ht="15.4" thickBot="1">
      <c r="A5" s="337"/>
      <c r="B5" s="342" t="s">
        <v>359</v>
      </c>
      <c r="C5" s="337"/>
      <c r="D5" s="337"/>
      <c r="E5" s="337"/>
      <c r="F5" s="343" t="s">
        <v>279</v>
      </c>
      <c r="G5" s="343" t="s">
        <v>23</v>
      </c>
      <c r="H5" s="337"/>
      <c r="I5" s="337"/>
      <c r="J5" s="337"/>
      <c r="K5" s="342" t="s">
        <v>362</v>
      </c>
      <c r="L5" s="337"/>
      <c r="M5" s="337"/>
      <c r="N5" s="337"/>
      <c r="O5" s="343" t="s">
        <v>279</v>
      </c>
      <c r="P5" s="343" t="s">
        <v>23</v>
      </c>
      <c r="Q5" s="337"/>
      <c r="R5" s="337"/>
      <c r="S5" s="337"/>
      <c r="T5" s="342" t="s">
        <v>91</v>
      </c>
      <c r="U5" s="337"/>
      <c r="V5" s="337"/>
      <c r="W5" s="337"/>
      <c r="X5" s="343" t="s">
        <v>279</v>
      </c>
      <c r="Y5" s="343" t="s">
        <v>23</v>
      </c>
      <c r="Z5" s="337"/>
      <c r="AA5" s="337"/>
    </row>
    <row r="6" spans="1:27" ht="16.5" customHeight="1" thickBot="1">
      <c r="A6" s="337"/>
      <c r="B6" s="344"/>
      <c r="C6" s="345"/>
      <c r="D6" s="346"/>
      <c r="E6" s="343" t="s">
        <v>280</v>
      </c>
      <c r="F6" s="343" t="s">
        <v>552</v>
      </c>
      <c r="G6" s="347">
        <v>46239</v>
      </c>
      <c r="H6" s="337"/>
      <c r="I6" s="337"/>
      <c r="J6" s="337"/>
      <c r="K6" s="344"/>
      <c r="L6" s="345"/>
      <c r="M6" s="346"/>
      <c r="N6" s="343" t="s">
        <v>280</v>
      </c>
      <c r="O6" s="343" t="s">
        <v>552</v>
      </c>
      <c r="P6" s="347">
        <v>46239</v>
      </c>
      <c r="Q6" s="337"/>
      <c r="R6" s="337"/>
      <c r="S6" s="337"/>
      <c r="T6" s="344" t="s">
        <v>526</v>
      </c>
      <c r="U6" s="345"/>
      <c r="V6" s="346"/>
      <c r="W6" s="343" t="s">
        <v>280</v>
      </c>
      <c r="X6" s="343" t="s">
        <v>276</v>
      </c>
      <c r="Y6" s="347">
        <v>45028</v>
      </c>
      <c r="Z6" s="337"/>
      <c r="AA6" s="337"/>
    </row>
    <row r="7" spans="1:27" ht="16.5" customHeight="1" thickBot="1">
      <c r="A7" s="337"/>
      <c r="B7" s="348"/>
      <c r="C7" s="349"/>
      <c r="D7" s="350"/>
      <c r="E7" s="343" t="s">
        <v>281</v>
      </c>
      <c r="F7" s="343"/>
      <c r="G7" s="347"/>
      <c r="H7" s="337"/>
      <c r="I7" s="337"/>
      <c r="J7" s="337"/>
      <c r="K7" s="348"/>
      <c r="L7" s="349"/>
      <c r="M7" s="350"/>
      <c r="N7" s="343" t="s">
        <v>281</v>
      </c>
      <c r="O7" s="343"/>
      <c r="P7" s="347"/>
      <c r="Q7" s="337"/>
      <c r="R7" s="337"/>
      <c r="S7" s="337"/>
      <c r="T7" s="348"/>
      <c r="U7" s="349"/>
      <c r="V7" s="350"/>
      <c r="W7" s="343" t="s">
        <v>281</v>
      </c>
      <c r="X7" s="343" t="s">
        <v>367</v>
      </c>
      <c r="Y7" s="347">
        <v>45260</v>
      </c>
      <c r="Z7" s="337"/>
      <c r="AA7" s="337"/>
    </row>
    <row r="8" spans="1:27" ht="15">
      <c r="A8" s="337"/>
      <c r="B8" s="337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</row>
    <row r="9" spans="1:27" ht="31.5" customHeight="1">
      <c r="A9" s="429" t="s">
        <v>282</v>
      </c>
      <c r="B9" s="429" t="s">
        <v>301</v>
      </c>
      <c r="C9" s="431" t="s">
        <v>283</v>
      </c>
      <c r="D9" s="429" t="s">
        <v>303</v>
      </c>
      <c r="E9" s="351" t="s">
        <v>284</v>
      </c>
      <c r="F9" s="352"/>
      <c r="G9" s="433" t="s">
        <v>285</v>
      </c>
      <c r="H9" s="434"/>
      <c r="I9" s="337"/>
      <c r="J9" s="429" t="s">
        <v>282</v>
      </c>
      <c r="K9" s="429" t="s">
        <v>301</v>
      </c>
      <c r="L9" s="431" t="s">
        <v>283</v>
      </c>
      <c r="M9" s="429" t="s">
        <v>303</v>
      </c>
      <c r="N9" s="351" t="s">
        <v>284</v>
      </c>
      <c r="O9" s="352"/>
      <c r="P9" s="433" t="s">
        <v>285</v>
      </c>
      <c r="Q9" s="434"/>
      <c r="R9" s="337"/>
      <c r="S9" s="429" t="s">
        <v>282</v>
      </c>
      <c r="T9" s="429" t="s">
        <v>301</v>
      </c>
      <c r="U9" s="431" t="s">
        <v>283</v>
      </c>
      <c r="V9" s="429" t="s">
        <v>303</v>
      </c>
      <c r="W9" s="351" t="s">
        <v>284</v>
      </c>
      <c r="X9" s="352"/>
      <c r="Y9" s="433" t="s">
        <v>285</v>
      </c>
      <c r="Z9" s="434"/>
      <c r="AA9" s="337"/>
    </row>
    <row r="10" spans="1:27" ht="26.25" customHeight="1">
      <c r="A10" s="430"/>
      <c r="B10" s="430"/>
      <c r="C10" s="432"/>
      <c r="D10" s="430"/>
      <c r="E10" s="353" t="s">
        <v>79</v>
      </c>
      <c r="F10" s="353" t="s">
        <v>80</v>
      </c>
      <c r="G10" s="353" t="s">
        <v>79</v>
      </c>
      <c r="H10" s="353" t="s">
        <v>80</v>
      </c>
      <c r="I10" s="337"/>
      <c r="J10" s="430"/>
      <c r="K10" s="430"/>
      <c r="L10" s="432"/>
      <c r="M10" s="430"/>
      <c r="N10" s="353" t="s">
        <v>79</v>
      </c>
      <c r="O10" s="353" t="s">
        <v>80</v>
      </c>
      <c r="P10" s="353" t="s">
        <v>79</v>
      </c>
      <c r="Q10" s="353" t="s">
        <v>80</v>
      </c>
      <c r="R10" s="337"/>
      <c r="S10" s="430"/>
      <c r="T10" s="430"/>
      <c r="U10" s="432"/>
      <c r="V10" s="430"/>
      <c r="W10" s="353" t="s">
        <v>79</v>
      </c>
      <c r="X10" s="353" t="s">
        <v>80</v>
      </c>
      <c r="Y10" s="353" t="s">
        <v>79</v>
      </c>
      <c r="Z10" s="353" t="s">
        <v>80</v>
      </c>
      <c r="AA10" s="337"/>
    </row>
    <row r="11" spans="1:27" ht="15" customHeight="1">
      <c r="A11" s="354" t="s">
        <v>286</v>
      </c>
      <c r="B11" s="354" t="s">
        <v>286</v>
      </c>
      <c r="C11" s="353" t="s">
        <v>287</v>
      </c>
      <c r="D11" s="355">
        <v>2209.54</v>
      </c>
      <c r="E11" s="355">
        <v>0.9</v>
      </c>
      <c r="F11" s="355">
        <f>D11*E11</f>
        <v>1988.586</v>
      </c>
      <c r="G11" s="355">
        <v>0.9</v>
      </c>
      <c r="H11" s="355">
        <f>D11*G11</f>
        <v>1988.586</v>
      </c>
      <c r="I11" s="337"/>
      <c r="J11" s="354" t="s">
        <v>286</v>
      </c>
      <c r="K11" s="354" t="s">
        <v>286</v>
      </c>
      <c r="L11" s="353" t="s">
        <v>287</v>
      </c>
      <c r="M11" s="355">
        <v>45469.71</v>
      </c>
      <c r="N11" s="355">
        <v>0.9</v>
      </c>
      <c r="O11" s="355">
        <f>M11*N11</f>
        <v>40922.739000000001</v>
      </c>
      <c r="P11" s="355">
        <v>0.9</v>
      </c>
      <c r="Q11" s="355">
        <f>M11*P11</f>
        <v>40922.739000000001</v>
      </c>
      <c r="R11" s="337"/>
      <c r="S11" s="354" t="s">
        <v>286</v>
      </c>
      <c r="T11" s="354" t="s">
        <v>286</v>
      </c>
      <c r="U11" s="353" t="s">
        <v>287</v>
      </c>
      <c r="V11" s="355">
        <v>6485.65</v>
      </c>
      <c r="W11" s="355">
        <v>0.9</v>
      </c>
      <c r="X11" s="355">
        <f>V11*W11</f>
        <v>5837.085</v>
      </c>
      <c r="Y11" s="355">
        <v>0.9</v>
      </c>
      <c r="Z11" s="355">
        <f>V11*Y11</f>
        <v>5837.085</v>
      </c>
      <c r="AA11" s="337"/>
    </row>
    <row r="12" spans="1:27" ht="15" customHeight="1">
      <c r="A12" s="353" t="s">
        <v>289</v>
      </c>
      <c r="B12" s="356" t="s">
        <v>302</v>
      </c>
      <c r="C12" s="353" t="s">
        <v>288</v>
      </c>
      <c r="D12" s="357">
        <v>184.74</v>
      </c>
      <c r="E12" s="355">
        <v>0.24</v>
      </c>
      <c r="F12" s="355">
        <f>D12*E12</f>
        <v>44.337600000000002</v>
      </c>
      <c r="G12" s="355">
        <v>0.24</v>
      </c>
      <c r="H12" s="355">
        <f>D12*G12</f>
        <v>44.337600000000002</v>
      </c>
      <c r="I12" s="337"/>
      <c r="J12" s="353" t="s">
        <v>289</v>
      </c>
      <c r="K12" s="356" t="s">
        <v>302</v>
      </c>
      <c r="L12" s="353" t="s">
        <v>288</v>
      </c>
      <c r="M12" s="357">
        <v>42247.93</v>
      </c>
      <c r="N12" s="355">
        <v>0.24</v>
      </c>
      <c r="O12" s="355">
        <f>M12*N12</f>
        <v>10139.503199999999</v>
      </c>
      <c r="P12" s="355">
        <v>0.24</v>
      </c>
      <c r="Q12" s="355">
        <f>M12*P12</f>
        <v>10139.503199999999</v>
      </c>
      <c r="R12" s="337"/>
      <c r="S12" s="353" t="s">
        <v>289</v>
      </c>
      <c r="T12" s="356" t="s">
        <v>302</v>
      </c>
      <c r="U12" s="353" t="s">
        <v>288</v>
      </c>
      <c r="V12" s="357">
        <v>1612.9236000000001</v>
      </c>
      <c r="W12" s="355">
        <v>0.24</v>
      </c>
      <c r="X12" s="355">
        <f>V12*W12</f>
        <v>387.10166400000003</v>
      </c>
      <c r="Y12" s="355">
        <v>0.24</v>
      </c>
      <c r="Z12" s="355">
        <f>V12*Y12</f>
        <v>387.10166400000003</v>
      </c>
      <c r="AA12" s="337"/>
    </row>
    <row r="13" spans="1:27" ht="15" customHeight="1">
      <c r="A13" s="353"/>
      <c r="B13" s="356"/>
      <c r="C13" s="353"/>
      <c r="D13" s="357"/>
      <c r="E13" s="355"/>
      <c r="F13" s="355"/>
      <c r="G13" s="355"/>
      <c r="H13" s="355"/>
      <c r="I13" s="337"/>
      <c r="J13" s="353"/>
      <c r="K13" s="356"/>
      <c r="L13" s="353"/>
      <c r="M13" s="357"/>
      <c r="N13" s="355"/>
      <c r="O13" s="358"/>
      <c r="P13" s="355"/>
      <c r="Q13" s="358"/>
      <c r="R13" s="337"/>
      <c r="S13" s="353"/>
      <c r="T13" s="356"/>
      <c r="U13" s="353"/>
      <c r="V13" s="357"/>
      <c r="W13" s="355"/>
      <c r="X13" s="358"/>
      <c r="Y13" s="355"/>
      <c r="Z13" s="358"/>
      <c r="AA13" s="337"/>
    </row>
    <row r="14" spans="1:27" ht="15" customHeight="1">
      <c r="A14" s="351"/>
      <c r="B14" s="356"/>
      <c r="C14" s="353"/>
      <c r="D14" s="357"/>
      <c r="E14" s="355"/>
      <c r="F14" s="358"/>
      <c r="G14" s="355"/>
      <c r="H14" s="358"/>
      <c r="I14" s="337"/>
      <c r="J14" s="351"/>
      <c r="K14" s="356"/>
      <c r="L14" s="353"/>
      <c r="M14" s="357"/>
      <c r="N14" s="355"/>
      <c r="O14" s="358"/>
      <c r="P14" s="355"/>
      <c r="Q14" s="358"/>
      <c r="R14" s="337"/>
      <c r="S14" s="351"/>
      <c r="T14" s="356"/>
      <c r="U14" s="353"/>
      <c r="V14" s="357"/>
      <c r="W14" s="355"/>
      <c r="X14" s="358"/>
      <c r="Y14" s="355"/>
      <c r="Z14" s="358"/>
      <c r="AA14" s="337"/>
    </row>
    <row r="15" spans="1:27" ht="15" customHeight="1">
      <c r="A15" s="359"/>
      <c r="B15" s="356"/>
      <c r="C15" s="353"/>
      <c r="D15" s="355"/>
      <c r="E15" s="355"/>
      <c r="F15" s="358"/>
      <c r="G15" s="355"/>
      <c r="H15" s="358"/>
      <c r="I15" s="337"/>
      <c r="J15" s="359"/>
      <c r="K15" s="356"/>
      <c r="L15" s="353"/>
      <c r="M15" s="355"/>
      <c r="N15" s="355"/>
      <c r="O15" s="358"/>
      <c r="P15" s="355"/>
      <c r="Q15" s="358"/>
      <c r="R15" s="337"/>
      <c r="S15" s="359"/>
      <c r="T15" s="356"/>
      <c r="U15" s="353"/>
      <c r="V15" s="355"/>
      <c r="W15" s="355"/>
      <c r="X15" s="358"/>
      <c r="Y15" s="355"/>
      <c r="Z15" s="358"/>
      <c r="AA15" s="337"/>
    </row>
    <row r="16" spans="1:27" ht="15" customHeight="1">
      <c r="A16" s="353"/>
      <c r="B16" s="356"/>
      <c r="C16" s="353"/>
      <c r="D16" s="355"/>
      <c r="E16" s="355"/>
      <c r="F16" s="358"/>
      <c r="G16" s="355"/>
      <c r="H16" s="358"/>
      <c r="I16" s="337"/>
      <c r="J16" s="353"/>
      <c r="K16" s="356"/>
      <c r="L16" s="353"/>
      <c r="M16" s="355"/>
      <c r="N16" s="355"/>
      <c r="O16" s="358"/>
      <c r="P16" s="355"/>
      <c r="Q16" s="358"/>
      <c r="R16" s="337"/>
      <c r="S16" s="353"/>
      <c r="T16" s="356"/>
      <c r="U16" s="353"/>
      <c r="V16" s="355"/>
      <c r="W16" s="355"/>
      <c r="X16" s="358"/>
      <c r="Y16" s="355"/>
      <c r="Z16" s="358"/>
      <c r="AA16" s="337"/>
    </row>
    <row r="17" spans="1:27" ht="15" customHeight="1">
      <c r="A17" s="351"/>
      <c r="B17" s="356"/>
      <c r="C17" s="353"/>
      <c r="D17" s="355"/>
      <c r="E17" s="355"/>
      <c r="F17" s="358"/>
      <c r="G17" s="353"/>
      <c r="H17" s="358"/>
      <c r="I17" s="337"/>
      <c r="J17" s="351"/>
      <c r="K17" s="356"/>
      <c r="L17" s="353"/>
      <c r="M17" s="355"/>
      <c r="N17" s="355"/>
      <c r="O17" s="358"/>
      <c r="P17" s="353"/>
      <c r="Q17" s="358"/>
      <c r="R17" s="337"/>
      <c r="S17" s="351"/>
      <c r="T17" s="356"/>
      <c r="U17" s="353"/>
      <c r="V17" s="355"/>
      <c r="W17" s="355"/>
      <c r="X17" s="358"/>
      <c r="Y17" s="353"/>
      <c r="Z17" s="358"/>
      <c r="AA17" s="337"/>
    </row>
    <row r="18" spans="1:27" ht="15" customHeight="1">
      <c r="A18" s="359"/>
      <c r="B18" s="356"/>
      <c r="C18" s="353"/>
      <c r="D18" s="355"/>
      <c r="E18" s="353"/>
      <c r="F18" s="358"/>
      <c r="G18" s="353"/>
      <c r="H18" s="358"/>
      <c r="I18" s="337"/>
      <c r="J18" s="359"/>
      <c r="K18" s="356"/>
      <c r="L18" s="353"/>
      <c r="M18" s="355"/>
      <c r="N18" s="353"/>
      <c r="O18" s="358"/>
      <c r="P18" s="353"/>
      <c r="Q18" s="358"/>
      <c r="R18" s="337"/>
      <c r="S18" s="359"/>
      <c r="T18" s="356"/>
      <c r="U18" s="353"/>
      <c r="V18" s="355"/>
      <c r="W18" s="353"/>
      <c r="X18" s="358"/>
      <c r="Y18" s="353"/>
      <c r="Z18" s="358"/>
      <c r="AA18" s="337"/>
    </row>
    <row r="19" spans="1:27" ht="15" customHeight="1">
      <c r="A19" s="353"/>
      <c r="B19" s="356"/>
      <c r="C19" s="353"/>
      <c r="D19" s="355"/>
      <c r="E19" s="353"/>
      <c r="F19" s="358"/>
      <c r="G19" s="353"/>
      <c r="H19" s="358"/>
      <c r="I19" s="337"/>
      <c r="J19" s="353"/>
      <c r="K19" s="356"/>
      <c r="L19" s="353"/>
      <c r="M19" s="355"/>
      <c r="N19" s="353"/>
      <c r="O19" s="358"/>
      <c r="P19" s="353"/>
      <c r="Q19" s="358"/>
      <c r="R19" s="337"/>
      <c r="S19" s="353"/>
      <c r="T19" s="356"/>
      <c r="U19" s="353"/>
      <c r="V19" s="355"/>
      <c r="W19" s="353"/>
      <c r="X19" s="358"/>
      <c r="Y19" s="353"/>
      <c r="Z19" s="358"/>
      <c r="AA19" s="337"/>
    </row>
    <row r="20" spans="1:27" ht="16.5" customHeight="1">
      <c r="A20" s="337"/>
      <c r="B20" s="337"/>
      <c r="C20" s="360" t="s">
        <v>290</v>
      </c>
      <c r="D20" s="361">
        <f>SUM(D11:D19)</f>
        <v>2394.2799999999997</v>
      </c>
      <c r="E20" s="362"/>
      <c r="F20" s="361">
        <f>SUM(F11:F19)</f>
        <v>2032.9236000000001</v>
      </c>
      <c r="G20" s="363"/>
      <c r="H20" s="361">
        <f>SUM(H11:H19)</f>
        <v>2032.9236000000001</v>
      </c>
      <c r="I20" s="337"/>
      <c r="J20" s="337"/>
      <c r="K20" s="337"/>
      <c r="L20" s="360" t="s">
        <v>290</v>
      </c>
      <c r="M20" s="361">
        <f>SUM(M11:M19)</f>
        <v>87717.64</v>
      </c>
      <c r="N20" s="362"/>
      <c r="O20" s="361">
        <f>SUM(O11:O19)</f>
        <v>51062.242200000001</v>
      </c>
      <c r="P20" s="363"/>
      <c r="Q20" s="361">
        <f>SUM(Q11:Q19)</f>
        <v>51062.242200000001</v>
      </c>
      <c r="R20" s="337"/>
      <c r="S20" s="337"/>
      <c r="T20" s="337"/>
      <c r="U20" s="360" t="s">
        <v>290</v>
      </c>
      <c r="V20" s="361">
        <f>SUM(V11:V19)</f>
        <v>8098.5735999999997</v>
      </c>
      <c r="W20" s="362"/>
      <c r="X20" s="361">
        <f>SUM(X11:X19)</f>
        <v>6224.1866639999998</v>
      </c>
      <c r="Y20" s="363"/>
      <c r="Z20" s="361">
        <f>SUM(Z11:Z19)</f>
        <v>6224.1866639999998</v>
      </c>
      <c r="AA20" s="337"/>
    </row>
    <row r="21" spans="1:27" ht="15">
      <c r="A21" s="337"/>
      <c r="B21" s="337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</row>
    <row r="22" spans="1:27" ht="16.5" customHeight="1">
      <c r="A22" s="337"/>
      <c r="B22" s="337"/>
      <c r="C22" s="364" t="s">
        <v>291</v>
      </c>
      <c r="D22" s="365">
        <f>F20/D20</f>
        <v>0.84907512905758742</v>
      </c>
      <c r="E22" s="337"/>
      <c r="F22" s="337"/>
      <c r="G22" s="337"/>
      <c r="H22" s="337"/>
      <c r="I22" s="337"/>
      <c r="J22" s="337"/>
      <c r="K22" s="337"/>
      <c r="L22" s="364" t="s">
        <v>291</v>
      </c>
      <c r="M22" s="365">
        <f>O20/M20</f>
        <v>0.58212056548716995</v>
      </c>
      <c r="N22" s="337"/>
      <c r="O22" s="337"/>
      <c r="P22" s="337"/>
      <c r="Q22" s="337"/>
      <c r="R22" s="337"/>
      <c r="S22" s="337"/>
      <c r="T22" s="337"/>
      <c r="U22" s="364" t="s">
        <v>291</v>
      </c>
      <c r="V22" s="365">
        <f>X20/V20</f>
        <v>0.76855344798002456</v>
      </c>
      <c r="W22" s="337"/>
      <c r="X22" s="337"/>
      <c r="Y22" s="337"/>
      <c r="Z22" s="337"/>
      <c r="AA22" s="337"/>
    </row>
    <row r="23" spans="1:27" ht="16.5" customHeight="1">
      <c r="A23" s="337"/>
      <c r="B23" s="337"/>
      <c r="C23" s="364" t="s">
        <v>292</v>
      </c>
      <c r="D23" s="365">
        <f>H20/D20</f>
        <v>0.84907512905758742</v>
      </c>
      <c r="E23" s="337"/>
      <c r="F23" s="337"/>
      <c r="G23" s="337"/>
      <c r="H23" s="337"/>
      <c r="I23" s="337"/>
      <c r="J23" s="337"/>
      <c r="K23" s="337"/>
      <c r="L23" s="364" t="s">
        <v>292</v>
      </c>
      <c r="M23" s="365">
        <f>Q20/M20</f>
        <v>0.58212056548716995</v>
      </c>
      <c r="N23" s="337"/>
      <c r="O23" s="337"/>
      <c r="P23" s="337"/>
      <c r="Q23" s="337"/>
      <c r="R23" s="337"/>
      <c r="S23" s="337"/>
      <c r="T23" s="337"/>
      <c r="U23" s="364" t="s">
        <v>292</v>
      </c>
      <c r="V23" s="365">
        <f>Z20/V20</f>
        <v>0.76855344798002456</v>
      </c>
      <c r="W23" s="337"/>
      <c r="X23" s="337"/>
      <c r="Y23" s="337"/>
      <c r="Z23" s="337"/>
      <c r="AA23" s="337"/>
    </row>
    <row r="24" spans="1:27" ht="16.5" customHeight="1">
      <c r="A24" s="366" t="s">
        <v>293</v>
      </c>
      <c r="B24" s="337"/>
      <c r="C24" s="337"/>
      <c r="D24" s="337"/>
      <c r="E24" s="337"/>
      <c r="F24" s="337"/>
      <c r="G24" s="337"/>
      <c r="H24" s="337"/>
      <c r="I24" s="337"/>
      <c r="J24" s="366" t="s">
        <v>293</v>
      </c>
      <c r="K24" s="337"/>
      <c r="L24" s="337"/>
      <c r="M24" s="337"/>
      <c r="N24" s="337"/>
      <c r="O24" s="337"/>
      <c r="P24" s="337"/>
      <c r="Q24" s="337"/>
      <c r="R24" s="337"/>
      <c r="S24" s="366" t="s">
        <v>293</v>
      </c>
      <c r="T24" s="337"/>
      <c r="U24" s="337"/>
      <c r="V24" s="337"/>
      <c r="W24" s="337"/>
      <c r="X24" s="337"/>
      <c r="Y24" s="337"/>
      <c r="Z24" s="337"/>
      <c r="AA24" s="337"/>
    </row>
    <row r="25" spans="1:27" ht="15.75" customHeight="1">
      <c r="A25" s="337"/>
      <c r="B25" s="337"/>
      <c r="C25" s="337"/>
      <c r="D25" s="429" t="s">
        <v>294</v>
      </c>
      <c r="E25" s="429" t="s">
        <v>295</v>
      </c>
      <c r="F25" s="425" t="s">
        <v>296</v>
      </c>
      <c r="G25" s="426"/>
      <c r="H25" s="337"/>
      <c r="I25" s="337"/>
      <c r="J25" s="337"/>
      <c r="K25" s="337"/>
      <c r="L25" s="337"/>
      <c r="M25" s="429" t="s">
        <v>294</v>
      </c>
      <c r="N25" s="429" t="s">
        <v>295</v>
      </c>
      <c r="O25" s="425" t="s">
        <v>296</v>
      </c>
      <c r="P25" s="426"/>
      <c r="Q25" s="337"/>
      <c r="R25" s="337"/>
      <c r="S25" s="337"/>
      <c r="T25" s="337"/>
      <c r="U25" s="337"/>
      <c r="V25" s="429" t="s">
        <v>294</v>
      </c>
      <c r="W25" s="429" t="s">
        <v>295</v>
      </c>
      <c r="X25" s="425" t="s">
        <v>296</v>
      </c>
      <c r="Y25" s="426"/>
      <c r="Z25" s="337"/>
      <c r="AA25" s="337"/>
    </row>
    <row r="26" spans="1:27" ht="28.5" customHeight="1">
      <c r="A26" s="337"/>
      <c r="B26" s="337"/>
      <c r="C26" s="337"/>
      <c r="D26" s="430"/>
      <c r="E26" s="430"/>
      <c r="F26" s="427"/>
      <c r="G26" s="428"/>
      <c r="H26" s="337"/>
      <c r="I26" s="337"/>
      <c r="J26" s="337"/>
      <c r="K26" s="337"/>
      <c r="L26" s="337"/>
      <c r="M26" s="430"/>
      <c r="N26" s="430"/>
      <c r="O26" s="427"/>
      <c r="P26" s="428"/>
      <c r="Q26" s="337"/>
      <c r="R26" s="337"/>
      <c r="S26" s="337"/>
      <c r="T26" s="337"/>
      <c r="U26" s="337"/>
      <c r="V26" s="430"/>
      <c r="W26" s="430"/>
      <c r="X26" s="427"/>
      <c r="Y26" s="428"/>
      <c r="Z26" s="337"/>
      <c r="AA26" s="337"/>
    </row>
    <row r="27" spans="1:27" ht="15">
      <c r="A27" s="337"/>
      <c r="B27" s="337"/>
      <c r="C27" s="337"/>
      <c r="D27" s="353">
        <v>2</v>
      </c>
      <c r="E27" s="355">
        <v>4.01</v>
      </c>
      <c r="F27" s="423">
        <f>(F20*E27)/43560</f>
        <v>0.18714471157024792</v>
      </c>
      <c r="G27" s="424"/>
      <c r="H27" s="337"/>
      <c r="I27" s="337"/>
      <c r="J27" s="337"/>
      <c r="K27" s="337"/>
      <c r="L27" s="337"/>
      <c r="M27" s="353">
        <v>2</v>
      </c>
      <c r="N27" s="355">
        <v>4.01</v>
      </c>
      <c r="O27" s="423">
        <f>(O20*N27)/43560</f>
        <v>4.7006334073002751</v>
      </c>
      <c r="P27" s="424"/>
      <c r="Q27" s="337"/>
      <c r="R27" s="337"/>
      <c r="S27" s="337"/>
      <c r="T27" s="337"/>
      <c r="U27" s="337"/>
      <c r="V27" s="353">
        <v>2</v>
      </c>
      <c r="W27" s="355">
        <v>4.01</v>
      </c>
      <c r="X27" s="423">
        <f>(X20*W27)/43560</f>
        <v>0.57297953449586769</v>
      </c>
      <c r="Y27" s="424"/>
      <c r="Z27" s="337"/>
      <c r="AA27" s="337"/>
    </row>
    <row r="28" spans="1:27" ht="15">
      <c r="A28" s="367" t="s">
        <v>297</v>
      </c>
      <c r="B28" s="368">
        <v>5</v>
      </c>
      <c r="C28" s="337" t="s">
        <v>298</v>
      </c>
      <c r="D28" s="353">
        <v>10</v>
      </c>
      <c r="E28" s="355">
        <v>6.68</v>
      </c>
      <c r="F28" s="423">
        <f>(F20*E28)/43560</f>
        <v>0.31175228760330576</v>
      </c>
      <c r="G28" s="424"/>
      <c r="H28" s="337"/>
      <c r="I28" s="337"/>
      <c r="J28" s="367" t="s">
        <v>297</v>
      </c>
      <c r="K28" s="368">
        <v>10</v>
      </c>
      <c r="L28" s="337" t="s">
        <v>298</v>
      </c>
      <c r="M28" s="353">
        <v>10</v>
      </c>
      <c r="N28" s="355">
        <v>5.34</v>
      </c>
      <c r="O28" s="423">
        <f>(O20*N28)/43560</f>
        <v>6.2596963578512392</v>
      </c>
      <c r="P28" s="424"/>
      <c r="Q28" s="337"/>
      <c r="R28" s="337"/>
      <c r="S28" s="367" t="s">
        <v>297</v>
      </c>
      <c r="T28" s="368">
        <v>7</v>
      </c>
      <c r="U28" s="337" t="s">
        <v>298</v>
      </c>
      <c r="V28" s="353">
        <v>10</v>
      </c>
      <c r="W28" s="355">
        <v>6.15</v>
      </c>
      <c r="X28" s="423">
        <f>(X20*W28)/43560</f>
        <v>0.87875913644628101</v>
      </c>
      <c r="Y28" s="424"/>
      <c r="Z28" s="337"/>
      <c r="AA28" s="337"/>
    </row>
    <row r="29" spans="1:27" ht="15">
      <c r="A29" s="337"/>
      <c r="B29" s="368" t="s">
        <v>553</v>
      </c>
      <c r="C29" s="337"/>
      <c r="D29" s="353">
        <v>25</v>
      </c>
      <c r="E29" s="355">
        <v>6.02</v>
      </c>
      <c r="F29" s="423">
        <f>(H20*E29)/43560</f>
        <v>0.28095041487603306</v>
      </c>
      <c r="G29" s="424"/>
      <c r="H29" s="337"/>
      <c r="I29" s="337"/>
      <c r="J29" s="337"/>
      <c r="K29" s="337"/>
      <c r="L29" s="337"/>
      <c r="M29" s="353">
        <v>25</v>
      </c>
      <c r="N29" s="355">
        <v>6.02</v>
      </c>
      <c r="O29" s="423">
        <f>(Q20*N29)/43560</f>
        <v>7.0568112498622577</v>
      </c>
      <c r="P29" s="424"/>
      <c r="Q29" s="337"/>
      <c r="R29" s="337"/>
      <c r="S29" s="337"/>
      <c r="T29" s="337"/>
      <c r="U29" s="337"/>
      <c r="V29" s="353">
        <v>25</v>
      </c>
      <c r="W29" s="355">
        <v>6.02</v>
      </c>
      <c r="X29" s="423">
        <f>(Z20*W29)/43560</f>
        <v>0.86018374006611564</v>
      </c>
      <c r="Y29" s="424"/>
      <c r="Z29" s="337"/>
      <c r="AA29" s="337"/>
    </row>
    <row r="30" spans="1:27" ht="15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</row>
    <row r="31" spans="1:27" ht="26.25" customHeight="1">
      <c r="A31" s="336" t="s">
        <v>299</v>
      </c>
      <c r="B31" s="337"/>
      <c r="C31" s="338"/>
      <c r="E31" s="337"/>
      <c r="G31" s="337"/>
      <c r="H31" s="337"/>
      <c r="I31" s="336" t="s">
        <v>299</v>
      </c>
      <c r="J31" s="337"/>
      <c r="K31" s="338"/>
      <c r="M31" s="337"/>
      <c r="O31" s="337"/>
      <c r="P31" s="337"/>
      <c r="Q31" s="336"/>
      <c r="R31" s="336" t="s">
        <v>299</v>
      </c>
      <c r="S31" s="337"/>
      <c r="T31" s="338"/>
      <c r="V31" s="337"/>
      <c r="X31" s="337"/>
      <c r="Y31" s="337"/>
      <c r="Z31" s="336"/>
    </row>
    <row r="32" spans="1:27" ht="16.5" customHeight="1">
      <c r="A32" s="339" t="s">
        <v>278</v>
      </c>
      <c r="B32" s="419" t="s">
        <v>551</v>
      </c>
      <c r="C32" s="419"/>
      <c r="D32" s="419"/>
      <c r="E32" s="419"/>
      <c r="F32" s="419"/>
      <c r="G32" s="419"/>
      <c r="H32" s="337"/>
      <c r="I32" s="339" t="s">
        <v>278</v>
      </c>
      <c r="J32" s="419" t="s">
        <v>551</v>
      </c>
      <c r="K32" s="419"/>
      <c r="L32" s="419"/>
      <c r="M32" s="419"/>
      <c r="N32" s="419"/>
      <c r="O32" s="419"/>
      <c r="P32" s="337"/>
      <c r="Q32" s="339"/>
      <c r="R32" s="339" t="s">
        <v>278</v>
      </c>
      <c r="S32" s="419" t="s">
        <v>551</v>
      </c>
      <c r="T32" s="419"/>
      <c r="U32" s="419"/>
      <c r="V32" s="419"/>
      <c r="W32" s="419"/>
      <c r="X32" s="419"/>
      <c r="Y32" s="337"/>
      <c r="Z32" s="339"/>
    </row>
    <row r="33" spans="1:26" ht="15" customHeight="1">
      <c r="A33" s="340" t="s">
        <v>300</v>
      </c>
      <c r="B33" s="413">
        <v>203403586</v>
      </c>
      <c r="C33" s="337"/>
      <c r="D33" s="337"/>
      <c r="E33" s="337"/>
      <c r="F33" s="337"/>
      <c r="G33" s="337"/>
      <c r="H33" s="337"/>
      <c r="I33" s="340" t="s">
        <v>300</v>
      </c>
      <c r="J33" s="413">
        <v>203403586</v>
      </c>
      <c r="K33" s="337"/>
      <c r="L33" s="337"/>
      <c r="M33" s="337"/>
      <c r="N33" s="337"/>
      <c r="O33" s="337"/>
      <c r="P33" s="337"/>
      <c r="Q33" s="340"/>
      <c r="R33" s="340" t="s">
        <v>300</v>
      </c>
      <c r="S33" s="413">
        <v>203403586</v>
      </c>
      <c r="T33" s="337"/>
      <c r="U33" s="337"/>
      <c r="V33" s="337"/>
      <c r="W33" s="337"/>
      <c r="X33" s="337"/>
      <c r="Y33" s="337"/>
      <c r="Z33" s="340"/>
    </row>
    <row r="34" spans="1:26" ht="15.4" thickBot="1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</row>
    <row r="35" spans="1:26" ht="15.4" thickBot="1">
      <c r="A35" s="337"/>
      <c r="B35" s="342" t="s">
        <v>133</v>
      </c>
      <c r="C35" s="337"/>
      <c r="D35" s="337"/>
      <c r="E35" s="337"/>
      <c r="F35" s="343" t="s">
        <v>279</v>
      </c>
      <c r="G35" s="343" t="s">
        <v>23</v>
      </c>
      <c r="H35" s="337"/>
      <c r="I35" s="337"/>
      <c r="J35" s="342" t="s">
        <v>134</v>
      </c>
      <c r="K35" s="337"/>
      <c r="L35" s="337"/>
      <c r="M35" s="337"/>
      <c r="N35" s="343" t="s">
        <v>279</v>
      </c>
      <c r="O35" s="343" t="s">
        <v>23</v>
      </c>
      <c r="P35" s="337"/>
      <c r="Q35" s="337"/>
      <c r="R35" s="337"/>
      <c r="S35" s="342" t="s">
        <v>135</v>
      </c>
      <c r="T35" s="337"/>
      <c r="U35" s="337"/>
      <c r="V35" s="337"/>
      <c r="W35" s="343" t="s">
        <v>279</v>
      </c>
      <c r="X35" s="343" t="s">
        <v>23</v>
      </c>
      <c r="Y35" s="337"/>
      <c r="Z35" s="337"/>
    </row>
    <row r="36" spans="1:26" ht="15.4" thickBot="1">
      <c r="A36" s="337"/>
      <c r="B36" s="344"/>
      <c r="C36" s="345"/>
      <c r="D36" s="346"/>
      <c r="E36" s="343" t="s">
        <v>280</v>
      </c>
      <c r="F36" s="343" t="s">
        <v>552</v>
      </c>
      <c r="G36" s="347">
        <v>46239</v>
      </c>
      <c r="H36" s="337"/>
      <c r="I36" s="337"/>
      <c r="J36" s="344"/>
      <c r="K36" s="345"/>
      <c r="L36" s="346"/>
      <c r="M36" s="343" t="s">
        <v>280</v>
      </c>
      <c r="N36" s="343" t="s">
        <v>552</v>
      </c>
      <c r="O36" s="347">
        <v>46239</v>
      </c>
      <c r="P36" s="337"/>
      <c r="Q36" s="337"/>
      <c r="R36" s="337"/>
      <c r="S36" s="344"/>
      <c r="T36" s="345"/>
      <c r="U36" s="346"/>
      <c r="V36" s="343" t="s">
        <v>280</v>
      </c>
      <c r="W36" s="343" t="s">
        <v>552</v>
      </c>
      <c r="X36" s="347">
        <v>46239</v>
      </c>
      <c r="Y36" s="337"/>
      <c r="Z36" s="337"/>
    </row>
    <row r="37" spans="1:26" ht="15.4" thickBot="1">
      <c r="A37" s="337"/>
      <c r="B37" s="348"/>
      <c r="C37" s="349"/>
      <c r="D37" s="350"/>
      <c r="E37" s="343" t="s">
        <v>281</v>
      </c>
      <c r="F37" s="343"/>
      <c r="G37" s="347"/>
      <c r="H37" s="337"/>
      <c r="I37" s="337"/>
      <c r="J37" s="348"/>
      <c r="K37" s="349"/>
      <c r="L37" s="350"/>
      <c r="M37" s="343" t="s">
        <v>281</v>
      </c>
      <c r="N37" s="343"/>
      <c r="O37" s="347"/>
      <c r="P37" s="337"/>
      <c r="Q37" s="337"/>
      <c r="R37" s="337"/>
      <c r="S37" s="348"/>
      <c r="T37" s="349"/>
      <c r="U37" s="350"/>
      <c r="V37" s="343" t="s">
        <v>281</v>
      </c>
      <c r="W37" s="343"/>
      <c r="X37" s="347"/>
      <c r="Y37" s="337"/>
      <c r="Z37" s="337"/>
    </row>
    <row r="38" spans="1:26" ht="15">
      <c r="A38" s="337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</row>
    <row r="39" spans="1:26" ht="30">
      <c r="A39" s="429" t="s">
        <v>282</v>
      </c>
      <c r="B39" s="429" t="s">
        <v>301</v>
      </c>
      <c r="C39" s="431" t="s">
        <v>283</v>
      </c>
      <c r="D39" s="429" t="s">
        <v>303</v>
      </c>
      <c r="E39" s="351" t="s">
        <v>284</v>
      </c>
      <c r="F39" s="352"/>
      <c r="G39" s="433" t="s">
        <v>285</v>
      </c>
      <c r="H39" s="434"/>
      <c r="I39" s="429" t="s">
        <v>282</v>
      </c>
      <c r="J39" s="429" t="s">
        <v>301</v>
      </c>
      <c r="K39" s="431" t="s">
        <v>283</v>
      </c>
      <c r="L39" s="429" t="s">
        <v>303</v>
      </c>
      <c r="M39" s="351" t="s">
        <v>284</v>
      </c>
      <c r="N39" s="352"/>
      <c r="O39" s="433" t="s">
        <v>285</v>
      </c>
      <c r="P39" s="434"/>
      <c r="Q39" s="429"/>
      <c r="R39" s="429" t="s">
        <v>282</v>
      </c>
      <c r="S39" s="429" t="s">
        <v>301</v>
      </c>
      <c r="T39" s="431" t="s">
        <v>283</v>
      </c>
      <c r="U39" s="429" t="s">
        <v>303</v>
      </c>
      <c r="V39" s="351" t="s">
        <v>284</v>
      </c>
      <c r="W39" s="352"/>
      <c r="X39" s="433" t="s">
        <v>285</v>
      </c>
      <c r="Y39" s="434"/>
      <c r="Z39" s="429"/>
    </row>
    <row r="40" spans="1:26" ht="15">
      <c r="A40" s="430"/>
      <c r="B40" s="430"/>
      <c r="C40" s="432"/>
      <c r="D40" s="430"/>
      <c r="E40" s="353" t="s">
        <v>79</v>
      </c>
      <c r="F40" s="353" t="s">
        <v>80</v>
      </c>
      <c r="G40" s="353" t="s">
        <v>79</v>
      </c>
      <c r="H40" s="353" t="s">
        <v>80</v>
      </c>
      <c r="I40" s="430"/>
      <c r="J40" s="430"/>
      <c r="K40" s="432"/>
      <c r="L40" s="430"/>
      <c r="M40" s="353" t="s">
        <v>79</v>
      </c>
      <c r="N40" s="353" t="s">
        <v>80</v>
      </c>
      <c r="O40" s="353" t="s">
        <v>79</v>
      </c>
      <c r="P40" s="353" t="s">
        <v>80</v>
      </c>
      <c r="Q40" s="430"/>
      <c r="R40" s="430"/>
      <c r="S40" s="430"/>
      <c r="T40" s="432"/>
      <c r="U40" s="430"/>
      <c r="V40" s="353" t="s">
        <v>79</v>
      </c>
      <c r="W40" s="353" t="s">
        <v>80</v>
      </c>
      <c r="X40" s="353" t="s">
        <v>79</v>
      </c>
      <c r="Y40" s="353" t="s">
        <v>80</v>
      </c>
      <c r="Z40" s="430"/>
    </row>
    <row r="41" spans="1:26" ht="15">
      <c r="A41" s="354" t="s">
        <v>286</v>
      </c>
      <c r="B41" s="354" t="s">
        <v>286</v>
      </c>
      <c r="C41" s="353" t="s">
        <v>287</v>
      </c>
      <c r="D41" s="355">
        <v>8493.56</v>
      </c>
      <c r="E41" s="355">
        <v>0.9</v>
      </c>
      <c r="F41" s="355">
        <f>D41*E41</f>
        <v>7644.2039999999997</v>
      </c>
      <c r="G41" s="355">
        <v>0.9</v>
      </c>
      <c r="H41" s="355">
        <f>D41*G41</f>
        <v>7644.2039999999997</v>
      </c>
      <c r="I41" s="354" t="s">
        <v>286</v>
      </c>
      <c r="J41" s="354" t="s">
        <v>286</v>
      </c>
      <c r="K41" s="353" t="s">
        <v>287</v>
      </c>
      <c r="L41" s="355">
        <v>6975.3</v>
      </c>
      <c r="M41" s="355">
        <v>0.9</v>
      </c>
      <c r="N41" s="355">
        <f>L41*M41</f>
        <v>6277.77</v>
      </c>
      <c r="O41" s="355">
        <v>0.9</v>
      </c>
      <c r="P41" s="355">
        <f>L41*O41</f>
        <v>6277.77</v>
      </c>
      <c r="Q41" s="354"/>
      <c r="R41" s="354" t="s">
        <v>286</v>
      </c>
      <c r="S41" s="354" t="s">
        <v>286</v>
      </c>
      <c r="T41" s="353" t="s">
        <v>287</v>
      </c>
      <c r="U41" s="355">
        <v>3205.5</v>
      </c>
      <c r="V41" s="355">
        <v>0.9</v>
      </c>
      <c r="W41" s="355">
        <f>U41*V41</f>
        <v>2884.9500000000003</v>
      </c>
      <c r="X41" s="355">
        <v>0.9</v>
      </c>
      <c r="Y41" s="355">
        <f>U41*X41</f>
        <v>2884.9500000000003</v>
      </c>
      <c r="Z41" s="354"/>
    </row>
    <row r="42" spans="1:26" ht="15">
      <c r="A42" s="353" t="s">
        <v>289</v>
      </c>
      <c r="B42" s="356" t="s">
        <v>302</v>
      </c>
      <c r="C42" s="353" t="s">
        <v>288</v>
      </c>
      <c r="D42" s="357">
        <v>842.98</v>
      </c>
      <c r="E42" s="355">
        <v>0.24</v>
      </c>
      <c r="F42" s="355">
        <f>D42*E42</f>
        <v>202.3152</v>
      </c>
      <c r="G42" s="355">
        <v>0.24</v>
      </c>
      <c r="H42" s="355">
        <f>D42*G42</f>
        <v>202.3152</v>
      </c>
      <c r="I42" s="353" t="s">
        <v>289</v>
      </c>
      <c r="J42" s="356" t="s">
        <v>302</v>
      </c>
      <c r="K42" s="353" t="s">
        <v>288</v>
      </c>
      <c r="L42" s="357">
        <v>7464.97</v>
      </c>
      <c r="M42" s="355">
        <v>0.24</v>
      </c>
      <c r="N42" s="355">
        <f>L42*M42</f>
        <v>1791.5927999999999</v>
      </c>
      <c r="O42" s="355">
        <v>0.24</v>
      </c>
      <c r="P42" s="355">
        <f>L42*O42</f>
        <v>1791.5927999999999</v>
      </c>
      <c r="Q42" s="353"/>
      <c r="R42" s="353" t="s">
        <v>289</v>
      </c>
      <c r="S42" s="356" t="s">
        <v>302</v>
      </c>
      <c r="T42" s="353" t="s">
        <v>288</v>
      </c>
      <c r="U42" s="357">
        <v>153.84</v>
      </c>
      <c r="V42" s="355">
        <v>0.24</v>
      </c>
      <c r="W42" s="355">
        <f>U42*V42</f>
        <v>36.921599999999998</v>
      </c>
      <c r="X42" s="355">
        <v>0.24</v>
      </c>
      <c r="Y42" s="355">
        <f>U42*X42</f>
        <v>36.921599999999998</v>
      </c>
      <c r="Z42" s="353"/>
    </row>
    <row r="43" spans="1:26" ht="15">
      <c r="A43" s="353"/>
      <c r="B43" s="356"/>
      <c r="C43" s="353"/>
      <c r="D43" s="357"/>
      <c r="E43" s="355"/>
      <c r="F43" s="355"/>
      <c r="G43" s="355"/>
      <c r="H43" s="355"/>
      <c r="I43" s="353"/>
      <c r="J43" s="356"/>
      <c r="K43" s="353"/>
      <c r="L43" s="357"/>
      <c r="M43" s="355"/>
      <c r="N43" s="355"/>
      <c r="O43" s="355"/>
      <c r="P43" s="355"/>
      <c r="Q43" s="353"/>
      <c r="R43" s="353"/>
      <c r="S43" s="356"/>
      <c r="T43" s="353"/>
      <c r="U43" s="357"/>
      <c r="V43" s="355"/>
      <c r="W43" s="355"/>
      <c r="X43" s="355"/>
      <c r="Y43" s="355"/>
      <c r="Z43" s="353"/>
    </row>
    <row r="44" spans="1:26" ht="15">
      <c r="A44" s="351"/>
      <c r="B44" s="356"/>
      <c r="C44" s="353"/>
      <c r="D44" s="357"/>
      <c r="E44" s="355"/>
      <c r="F44" s="358"/>
      <c r="G44" s="355"/>
      <c r="H44" s="358"/>
      <c r="I44" s="351"/>
      <c r="J44" s="356"/>
      <c r="K44" s="353"/>
      <c r="L44" s="357"/>
      <c r="M44" s="355"/>
      <c r="N44" s="358"/>
      <c r="O44" s="355"/>
      <c r="P44" s="358"/>
      <c r="Q44" s="351"/>
      <c r="R44" s="351"/>
      <c r="S44" s="356"/>
      <c r="T44" s="353"/>
      <c r="U44" s="357"/>
      <c r="V44" s="355"/>
      <c r="W44" s="358"/>
      <c r="X44" s="355"/>
      <c r="Y44" s="358"/>
      <c r="Z44" s="351"/>
    </row>
    <row r="45" spans="1:26" ht="15">
      <c r="A45" s="359"/>
      <c r="B45" s="356"/>
      <c r="C45" s="353"/>
      <c r="D45" s="355"/>
      <c r="E45" s="355"/>
      <c r="F45" s="358"/>
      <c r="G45" s="355"/>
      <c r="H45" s="358"/>
      <c r="I45" s="359"/>
      <c r="J45" s="356"/>
      <c r="K45" s="353"/>
      <c r="L45" s="355"/>
      <c r="M45" s="355"/>
      <c r="N45" s="358"/>
      <c r="O45" s="355"/>
      <c r="P45" s="358"/>
      <c r="Q45" s="359"/>
      <c r="R45" s="359"/>
      <c r="S45" s="356"/>
      <c r="T45" s="353"/>
      <c r="U45" s="355"/>
      <c r="V45" s="355"/>
      <c r="W45" s="358"/>
      <c r="X45" s="355"/>
      <c r="Y45" s="358"/>
      <c r="Z45" s="359"/>
    </row>
    <row r="46" spans="1:26" ht="15">
      <c r="A46" s="353"/>
      <c r="B46" s="356"/>
      <c r="C46" s="353"/>
      <c r="D46" s="355"/>
      <c r="E46" s="355"/>
      <c r="F46" s="358"/>
      <c r="G46" s="355"/>
      <c r="H46" s="358"/>
      <c r="I46" s="353"/>
      <c r="J46" s="356"/>
      <c r="K46" s="353"/>
      <c r="L46" s="355"/>
      <c r="M46" s="355"/>
      <c r="N46" s="358"/>
      <c r="O46" s="355"/>
      <c r="P46" s="358"/>
      <c r="Q46" s="353"/>
      <c r="R46" s="353"/>
      <c r="S46" s="356"/>
      <c r="T46" s="353"/>
      <c r="U46" s="355"/>
      <c r="V46" s="355"/>
      <c r="W46" s="358"/>
      <c r="X46" s="355"/>
      <c r="Y46" s="358"/>
      <c r="Z46" s="353"/>
    </row>
    <row r="47" spans="1:26" ht="15">
      <c r="A47" s="351"/>
      <c r="B47" s="356"/>
      <c r="C47" s="353"/>
      <c r="D47" s="355"/>
      <c r="E47" s="355"/>
      <c r="F47" s="358"/>
      <c r="G47" s="353"/>
      <c r="H47" s="358"/>
      <c r="I47" s="351"/>
      <c r="J47" s="356"/>
      <c r="K47" s="353"/>
      <c r="L47" s="355"/>
      <c r="M47" s="355"/>
      <c r="N47" s="358"/>
      <c r="O47" s="353"/>
      <c r="P47" s="358"/>
      <c r="Q47" s="351"/>
      <c r="R47" s="351"/>
      <c r="S47" s="356"/>
      <c r="T47" s="353"/>
      <c r="U47" s="355"/>
      <c r="V47" s="355"/>
      <c r="W47" s="358"/>
      <c r="X47" s="353"/>
      <c r="Y47" s="358"/>
      <c r="Z47" s="351"/>
    </row>
    <row r="48" spans="1:26" ht="15">
      <c r="A48" s="359"/>
      <c r="B48" s="356"/>
      <c r="C48" s="353"/>
      <c r="D48" s="355"/>
      <c r="E48" s="353"/>
      <c r="F48" s="358"/>
      <c r="G48" s="353"/>
      <c r="H48" s="358"/>
      <c r="I48" s="359"/>
      <c r="J48" s="356"/>
      <c r="K48" s="353"/>
      <c r="L48" s="355"/>
      <c r="M48" s="353"/>
      <c r="N48" s="358"/>
      <c r="O48" s="353"/>
      <c r="P48" s="358"/>
      <c r="Q48" s="359"/>
      <c r="R48" s="359"/>
      <c r="S48" s="356"/>
      <c r="T48" s="353"/>
      <c r="U48" s="355"/>
      <c r="V48" s="353"/>
      <c r="W48" s="358"/>
      <c r="X48" s="353"/>
      <c r="Y48" s="358"/>
      <c r="Z48" s="359"/>
    </row>
    <row r="49" spans="1:26" ht="15">
      <c r="A49" s="353"/>
      <c r="B49" s="356"/>
      <c r="C49" s="353"/>
      <c r="D49" s="355"/>
      <c r="E49" s="353"/>
      <c r="F49" s="358"/>
      <c r="G49" s="353"/>
      <c r="H49" s="358"/>
      <c r="I49" s="353"/>
      <c r="J49" s="356"/>
      <c r="K49" s="353"/>
      <c r="L49" s="355"/>
      <c r="M49" s="353"/>
      <c r="N49" s="358"/>
      <c r="O49" s="353"/>
      <c r="P49" s="358"/>
      <c r="Q49" s="353"/>
      <c r="R49" s="353"/>
      <c r="S49" s="356"/>
      <c r="T49" s="353"/>
      <c r="U49" s="355"/>
      <c r="V49" s="353"/>
      <c r="W49" s="358"/>
      <c r="X49" s="353"/>
      <c r="Y49" s="358"/>
      <c r="Z49" s="353"/>
    </row>
    <row r="50" spans="1:26" ht="15">
      <c r="A50" s="337"/>
      <c r="B50" s="337"/>
      <c r="C50" s="360" t="s">
        <v>290</v>
      </c>
      <c r="D50" s="361">
        <f>SUM(D41:D49)</f>
        <v>9336.5399999999991</v>
      </c>
      <c r="E50" s="362"/>
      <c r="F50" s="361">
        <f>SUM(F41:F49)</f>
        <v>7846.5191999999997</v>
      </c>
      <c r="G50" s="363"/>
      <c r="H50" s="361">
        <f>SUM(H41:H49)</f>
        <v>7846.5191999999997</v>
      </c>
      <c r="I50" s="337"/>
      <c r="J50" s="337"/>
      <c r="K50" s="360" t="s">
        <v>290</v>
      </c>
      <c r="L50" s="361">
        <f>SUM(L41:L49)</f>
        <v>14440.27</v>
      </c>
      <c r="M50" s="362"/>
      <c r="N50" s="361">
        <f>SUM(N41:N49)</f>
        <v>8069.3628000000008</v>
      </c>
      <c r="O50" s="363"/>
      <c r="P50" s="361">
        <f>SUM(P41:P49)</f>
        <v>8069.3628000000008</v>
      </c>
      <c r="Q50" s="337"/>
      <c r="R50" s="337"/>
      <c r="S50" s="337"/>
      <c r="T50" s="360" t="s">
        <v>290</v>
      </c>
      <c r="U50" s="361">
        <f>SUM(U41:U49)</f>
        <v>3359.34</v>
      </c>
      <c r="V50" s="362"/>
      <c r="W50" s="361">
        <f>SUM(W41:W49)</f>
        <v>2921.8716000000004</v>
      </c>
      <c r="X50" s="363"/>
      <c r="Y50" s="361">
        <f>SUM(Y41:Y49)</f>
        <v>2921.8716000000004</v>
      </c>
      <c r="Z50" s="337"/>
    </row>
    <row r="51" spans="1:26" ht="15">
      <c r="A51" s="337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</row>
    <row r="52" spans="1:26" ht="15">
      <c r="A52" s="337"/>
      <c r="B52" s="337"/>
      <c r="C52" s="364" t="s">
        <v>291</v>
      </c>
      <c r="D52" s="365">
        <f>F50/D50</f>
        <v>0.84040974493763221</v>
      </c>
      <c r="E52" s="337"/>
      <c r="F52" s="337"/>
      <c r="G52" s="337"/>
      <c r="H52" s="337"/>
      <c r="I52" s="337"/>
      <c r="J52" s="337"/>
      <c r="K52" s="364" t="s">
        <v>291</v>
      </c>
      <c r="L52" s="365">
        <f>N50/L50</f>
        <v>0.55880968984651957</v>
      </c>
      <c r="M52" s="337"/>
      <c r="N52" s="337"/>
      <c r="O52" s="337"/>
      <c r="P52" s="337"/>
      <c r="Q52" s="337"/>
      <c r="R52" s="337"/>
      <c r="S52" s="337"/>
      <c r="T52" s="364" t="s">
        <v>291</v>
      </c>
      <c r="U52" s="365">
        <f>W50/U50</f>
        <v>0.86977549161442436</v>
      </c>
      <c r="V52" s="337"/>
      <c r="W52" s="337"/>
      <c r="X52" s="337"/>
      <c r="Y52" s="337"/>
      <c r="Z52" s="337"/>
    </row>
    <row r="53" spans="1:26" ht="15">
      <c r="A53" s="337"/>
      <c r="B53" s="337"/>
      <c r="C53" s="364" t="s">
        <v>292</v>
      </c>
      <c r="D53" s="365">
        <f>H50/D50</f>
        <v>0.84040974493763221</v>
      </c>
      <c r="E53" s="337"/>
      <c r="F53" s="337"/>
      <c r="G53" s="337"/>
      <c r="H53" s="337"/>
      <c r="I53" s="337"/>
      <c r="J53" s="337"/>
      <c r="K53" s="364" t="s">
        <v>292</v>
      </c>
      <c r="L53" s="365">
        <f>P50/L50</f>
        <v>0.55880968984651957</v>
      </c>
      <c r="M53" s="337"/>
      <c r="N53" s="337"/>
      <c r="O53" s="337"/>
      <c r="P53" s="337"/>
      <c r="Q53" s="337"/>
      <c r="R53" s="337"/>
      <c r="S53" s="337"/>
      <c r="T53" s="364" t="s">
        <v>292</v>
      </c>
      <c r="U53" s="365">
        <f>Y50/U50</f>
        <v>0.86977549161442436</v>
      </c>
      <c r="V53" s="337"/>
      <c r="W53" s="337"/>
      <c r="X53" s="337"/>
      <c r="Y53" s="337"/>
      <c r="Z53" s="337"/>
    </row>
    <row r="54" spans="1:26" ht="15">
      <c r="A54" s="366" t="s">
        <v>293</v>
      </c>
      <c r="B54" s="337"/>
      <c r="C54" s="337"/>
      <c r="D54" s="337"/>
      <c r="E54" s="337"/>
      <c r="F54" s="337"/>
      <c r="G54" s="337"/>
      <c r="H54" s="337"/>
      <c r="I54" s="366" t="s">
        <v>293</v>
      </c>
      <c r="J54" s="337"/>
      <c r="K54" s="337"/>
      <c r="L54" s="337"/>
      <c r="M54" s="337"/>
      <c r="N54" s="337"/>
      <c r="O54" s="337"/>
      <c r="P54" s="337"/>
      <c r="Q54" s="366"/>
      <c r="R54" s="366" t="s">
        <v>293</v>
      </c>
      <c r="S54" s="337"/>
      <c r="T54" s="337"/>
      <c r="U54" s="337"/>
      <c r="V54" s="337"/>
      <c r="W54" s="337"/>
      <c r="X54" s="337"/>
      <c r="Y54" s="337"/>
      <c r="Z54" s="366"/>
    </row>
    <row r="55" spans="1:26" ht="15" customHeight="1">
      <c r="A55" s="337"/>
      <c r="B55" s="337"/>
      <c r="C55" s="337"/>
      <c r="D55" s="429" t="s">
        <v>294</v>
      </c>
      <c r="E55" s="429" t="s">
        <v>295</v>
      </c>
      <c r="F55" s="425" t="s">
        <v>296</v>
      </c>
      <c r="G55" s="426"/>
      <c r="H55" s="337"/>
      <c r="I55" s="337"/>
      <c r="J55" s="337"/>
      <c r="K55" s="337"/>
      <c r="L55" s="429" t="s">
        <v>294</v>
      </c>
      <c r="M55" s="429" t="s">
        <v>295</v>
      </c>
      <c r="N55" s="425" t="s">
        <v>296</v>
      </c>
      <c r="O55" s="426"/>
      <c r="P55" s="337"/>
      <c r="Q55" s="337"/>
      <c r="R55" s="337"/>
      <c r="S55" s="337"/>
      <c r="T55" s="337"/>
      <c r="U55" s="429" t="s">
        <v>294</v>
      </c>
      <c r="V55" s="429" t="s">
        <v>295</v>
      </c>
      <c r="W55" s="425" t="s">
        <v>296</v>
      </c>
      <c r="X55" s="426"/>
      <c r="Y55" s="337"/>
      <c r="Z55" s="337"/>
    </row>
    <row r="56" spans="1:26" ht="29.25" customHeight="1">
      <c r="A56" s="337"/>
      <c r="B56" s="337"/>
      <c r="C56" s="337"/>
      <c r="D56" s="430"/>
      <c r="E56" s="430"/>
      <c r="F56" s="427"/>
      <c r="G56" s="428"/>
      <c r="H56" s="337"/>
      <c r="I56" s="337"/>
      <c r="J56" s="337"/>
      <c r="K56" s="337"/>
      <c r="L56" s="430"/>
      <c r="M56" s="430"/>
      <c r="N56" s="427"/>
      <c r="O56" s="428"/>
      <c r="P56" s="337"/>
      <c r="Q56" s="337"/>
      <c r="R56" s="337"/>
      <c r="S56" s="337"/>
      <c r="T56" s="337"/>
      <c r="U56" s="430"/>
      <c r="V56" s="430"/>
      <c r="W56" s="427"/>
      <c r="X56" s="428"/>
      <c r="Y56" s="337"/>
      <c r="Z56" s="337"/>
    </row>
    <row r="57" spans="1:26" ht="15">
      <c r="A57" s="337"/>
      <c r="B57" s="337"/>
      <c r="C57" s="337"/>
      <c r="D57" s="353">
        <v>2</v>
      </c>
      <c r="E57" s="355">
        <v>4.01</v>
      </c>
      <c r="F57" s="423">
        <f>(F50*E57)/43560</f>
        <v>0.72232649201101928</v>
      </c>
      <c r="G57" s="424"/>
      <c r="H57" s="337"/>
      <c r="I57" s="337"/>
      <c r="J57" s="337"/>
      <c r="K57" s="337"/>
      <c r="L57" s="353">
        <v>2</v>
      </c>
      <c r="M57" s="355">
        <v>4.01</v>
      </c>
      <c r="N57" s="423">
        <f>(N50*M57)/43560</f>
        <v>0.74284079035812678</v>
      </c>
      <c r="O57" s="424"/>
      <c r="P57" s="337"/>
      <c r="Q57" s="337"/>
      <c r="R57" s="337"/>
      <c r="S57" s="337"/>
      <c r="T57" s="337"/>
      <c r="U57" s="353">
        <v>2</v>
      </c>
      <c r="V57" s="355">
        <v>4.01</v>
      </c>
      <c r="W57" s="423">
        <f>(W50*V57)/43560</f>
        <v>0.26897853801652893</v>
      </c>
      <c r="X57" s="424"/>
      <c r="Y57" s="337"/>
      <c r="Z57" s="337"/>
    </row>
    <row r="58" spans="1:26" ht="15">
      <c r="A58" s="367" t="s">
        <v>297</v>
      </c>
      <c r="B58" s="368">
        <v>5</v>
      </c>
      <c r="C58" s="337" t="s">
        <v>298</v>
      </c>
      <c r="D58" s="353">
        <v>10</v>
      </c>
      <c r="E58" s="355">
        <v>6.68</v>
      </c>
      <c r="F58" s="423">
        <f>(F50*E58)/43560</f>
        <v>1.2032770490358127</v>
      </c>
      <c r="G58" s="424"/>
      <c r="H58" s="337"/>
      <c r="I58" s="367" t="s">
        <v>297</v>
      </c>
      <c r="J58" s="368">
        <v>10</v>
      </c>
      <c r="K58" s="337" t="s">
        <v>298</v>
      </c>
      <c r="L58" s="353">
        <v>10</v>
      </c>
      <c r="M58" s="355">
        <v>5.34</v>
      </c>
      <c r="N58" s="423">
        <f>(N50*M58)/43560</f>
        <v>0.98921940661157026</v>
      </c>
      <c r="O58" s="424"/>
      <c r="P58" s="337"/>
      <c r="Q58" s="367"/>
      <c r="R58" s="367" t="s">
        <v>297</v>
      </c>
      <c r="S58" s="368">
        <v>5</v>
      </c>
      <c r="T58" s="337" t="s">
        <v>298</v>
      </c>
      <c r="U58" s="353">
        <v>10</v>
      </c>
      <c r="V58" s="355">
        <v>6.68</v>
      </c>
      <c r="W58" s="423">
        <f>(W50*V58)/43560</f>
        <v>0.44807397355371903</v>
      </c>
      <c r="X58" s="424"/>
      <c r="Y58" s="337"/>
      <c r="Z58" s="367"/>
    </row>
    <row r="59" spans="1:26" ht="15">
      <c r="A59" s="337"/>
      <c r="B59" s="368" t="s">
        <v>366</v>
      </c>
      <c r="C59" s="337"/>
      <c r="D59" s="353">
        <v>25</v>
      </c>
      <c r="E59" s="355">
        <v>6.02</v>
      </c>
      <c r="F59" s="423">
        <f>(H50*E59)/43560</f>
        <v>1.0843903944903579</v>
      </c>
      <c r="G59" s="424"/>
      <c r="H59" s="337"/>
      <c r="I59" s="337"/>
      <c r="J59" s="368" t="s">
        <v>366</v>
      </c>
      <c r="K59" s="337"/>
      <c r="L59" s="353">
        <v>25</v>
      </c>
      <c r="M59" s="355">
        <v>6.02</v>
      </c>
      <c r="N59" s="423">
        <f>(P50*M59)/43560</f>
        <v>1.1151874209366393</v>
      </c>
      <c r="O59" s="424"/>
      <c r="P59" s="337"/>
      <c r="Q59" s="337"/>
      <c r="R59" s="337"/>
      <c r="S59" s="368" t="s">
        <v>366</v>
      </c>
      <c r="T59" s="337"/>
      <c r="U59" s="353">
        <v>25</v>
      </c>
      <c r="V59" s="355">
        <v>6.02</v>
      </c>
      <c r="W59" s="423">
        <f>(Y50*V59)/43560</f>
        <v>0.40380319173553719</v>
      </c>
      <c r="X59" s="424"/>
      <c r="Y59" s="337"/>
      <c r="Z59" s="337"/>
    </row>
    <row r="60" spans="1:26" ht="15">
      <c r="A60" s="337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</row>
    <row r="61" spans="1:26" ht="15">
      <c r="A61" s="336" t="s">
        <v>299</v>
      </c>
      <c r="B61" s="337"/>
      <c r="C61" s="338"/>
      <c r="E61" s="337"/>
      <c r="G61" s="337"/>
      <c r="H61" s="337"/>
      <c r="I61" s="336"/>
      <c r="J61" s="336" t="s">
        <v>299</v>
      </c>
      <c r="K61" s="337"/>
      <c r="L61" s="338"/>
      <c r="N61" s="337"/>
      <c r="P61" s="337"/>
      <c r="Q61" s="337"/>
      <c r="R61" s="336"/>
      <c r="S61" s="336" t="s">
        <v>299</v>
      </c>
      <c r="T61" s="337"/>
      <c r="U61" s="338"/>
      <c r="W61" s="337"/>
      <c r="Y61" s="337"/>
      <c r="Z61" s="337"/>
    </row>
    <row r="62" spans="1:26" ht="15">
      <c r="A62" s="339" t="s">
        <v>278</v>
      </c>
      <c r="B62" s="419" t="s">
        <v>551</v>
      </c>
      <c r="C62" s="419"/>
      <c r="D62" s="419"/>
      <c r="E62" s="419"/>
      <c r="F62" s="419"/>
      <c r="G62" s="419"/>
      <c r="H62" s="337"/>
      <c r="I62" s="339"/>
      <c r="J62" s="339" t="s">
        <v>278</v>
      </c>
      <c r="K62" s="419" t="s">
        <v>551</v>
      </c>
      <c r="L62" s="419"/>
      <c r="M62" s="419"/>
      <c r="N62" s="419"/>
      <c r="O62" s="419"/>
      <c r="P62" s="419"/>
      <c r="Q62" s="337"/>
      <c r="R62" s="339"/>
      <c r="S62" s="339" t="s">
        <v>278</v>
      </c>
      <c r="T62" s="419" t="s">
        <v>551</v>
      </c>
      <c r="U62" s="419"/>
      <c r="V62" s="419"/>
      <c r="W62" s="419"/>
      <c r="X62" s="419"/>
      <c r="Y62" s="419"/>
      <c r="Z62" s="337"/>
    </row>
    <row r="63" spans="1:26" ht="15">
      <c r="A63" s="340" t="s">
        <v>300</v>
      </c>
      <c r="B63" s="413">
        <v>203403586</v>
      </c>
      <c r="C63" s="337"/>
      <c r="D63" s="337"/>
      <c r="E63" s="337"/>
      <c r="F63" s="337"/>
      <c r="G63" s="337"/>
      <c r="H63" s="337"/>
      <c r="I63" s="340"/>
      <c r="J63" s="340" t="s">
        <v>300</v>
      </c>
      <c r="K63" s="413">
        <v>203403586</v>
      </c>
      <c r="L63" s="337"/>
      <c r="M63" s="337"/>
      <c r="N63" s="337"/>
      <c r="O63" s="337"/>
      <c r="P63" s="337"/>
      <c r="Q63" s="337"/>
      <c r="R63" s="340"/>
      <c r="S63" s="340" t="s">
        <v>300</v>
      </c>
      <c r="T63" s="413">
        <v>203403586</v>
      </c>
      <c r="U63" s="337"/>
      <c r="V63" s="337"/>
      <c r="W63" s="337"/>
      <c r="X63" s="337"/>
      <c r="Y63" s="337"/>
      <c r="Z63" s="337"/>
    </row>
    <row r="64" spans="1:26" ht="15.75" customHeight="1" thickBot="1">
      <c r="A64" s="337"/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</row>
    <row r="65" spans="1:26" ht="30.75" customHeight="1" thickBot="1">
      <c r="A65" s="337"/>
      <c r="B65" s="342" t="s">
        <v>136</v>
      </c>
      <c r="C65" s="337"/>
      <c r="D65" s="337"/>
      <c r="E65" s="337"/>
      <c r="F65" s="343" t="s">
        <v>279</v>
      </c>
      <c r="G65" s="343" t="s">
        <v>23</v>
      </c>
      <c r="H65" s="337"/>
      <c r="I65" s="337"/>
      <c r="J65" s="337"/>
      <c r="K65" s="342" t="s">
        <v>137</v>
      </c>
      <c r="L65" s="337"/>
      <c r="M65" s="337"/>
      <c r="N65" s="337"/>
      <c r="O65" s="343" t="s">
        <v>279</v>
      </c>
      <c r="P65" s="343" t="s">
        <v>23</v>
      </c>
      <c r="Q65" s="337"/>
      <c r="R65" s="337"/>
      <c r="S65" s="337"/>
      <c r="T65" s="342" t="s">
        <v>138</v>
      </c>
      <c r="U65" s="337"/>
      <c r="V65" s="337"/>
      <c r="W65" s="337"/>
      <c r="X65" s="343" t="s">
        <v>279</v>
      </c>
      <c r="Y65" s="343" t="s">
        <v>23</v>
      </c>
      <c r="Z65" s="337"/>
    </row>
    <row r="66" spans="1:26" ht="15.75" customHeight="1" thickBot="1">
      <c r="A66" s="337"/>
      <c r="B66" s="344"/>
      <c r="C66" s="345"/>
      <c r="D66" s="346"/>
      <c r="E66" s="343" t="s">
        <v>280</v>
      </c>
      <c r="F66" s="343" t="s">
        <v>552</v>
      </c>
      <c r="G66" s="347">
        <v>46239</v>
      </c>
      <c r="H66" s="337"/>
      <c r="I66" s="337"/>
      <c r="J66" s="337"/>
      <c r="K66" s="344"/>
      <c r="L66" s="345"/>
      <c r="M66" s="346"/>
      <c r="N66" s="343" t="s">
        <v>280</v>
      </c>
      <c r="O66" s="343" t="s">
        <v>552</v>
      </c>
      <c r="P66" s="347">
        <v>46239</v>
      </c>
      <c r="Q66" s="337"/>
      <c r="R66" s="337"/>
      <c r="S66" s="337"/>
      <c r="T66" s="344"/>
      <c r="U66" s="345"/>
      <c r="V66" s="346"/>
      <c r="W66" s="343" t="s">
        <v>280</v>
      </c>
      <c r="X66" s="343" t="s">
        <v>552</v>
      </c>
      <c r="Y66" s="347">
        <v>46239</v>
      </c>
      <c r="Z66" s="337"/>
    </row>
    <row r="67" spans="1:26" ht="15.75" customHeight="1" thickBot="1">
      <c r="A67" s="337"/>
      <c r="B67" s="348"/>
      <c r="C67" s="349"/>
      <c r="D67" s="350"/>
      <c r="E67" s="343" t="s">
        <v>281</v>
      </c>
      <c r="F67" s="343"/>
      <c r="G67" s="347"/>
      <c r="H67" s="337"/>
      <c r="I67" s="337"/>
      <c r="J67" s="337"/>
      <c r="K67" s="348"/>
      <c r="L67" s="349"/>
      <c r="M67" s="350"/>
      <c r="N67" s="343" t="s">
        <v>281</v>
      </c>
      <c r="O67" s="343"/>
      <c r="P67" s="347"/>
      <c r="Q67" s="337"/>
      <c r="R67" s="337"/>
      <c r="S67" s="337"/>
      <c r="T67" s="348"/>
      <c r="U67" s="349"/>
      <c r="V67" s="350"/>
      <c r="W67" s="343" t="s">
        <v>281</v>
      </c>
      <c r="X67" s="343"/>
      <c r="Y67" s="347"/>
      <c r="Z67" s="337"/>
    </row>
    <row r="68" spans="1:26" ht="1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</row>
    <row r="69" spans="1:26" ht="30">
      <c r="A69" s="429" t="s">
        <v>282</v>
      </c>
      <c r="B69" s="429" t="s">
        <v>301</v>
      </c>
      <c r="C69" s="431" t="s">
        <v>283</v>
      </c>
      <c r="D69" s="429" t="s">
        <v>303</v>
      </c>
      <c r="E69" s="351" t="s">
        <v>284</v>
      </c>
      <c r="F69" s="352"/>
      <c r="G69" s="433" t="s">
        <v>285</v>
      </c>
      <c r="H69" s="434"/>
      <c r="I69" s="429"/>
      <c r="J69" s="429" t="s">
        <v>282</v>
      </c>
      <c r="K69" s="429" t="s">
        <v>301</v>
      </c>
      <c r="L69" s="431" t="s">
        <v>283</v>
      </c>
      <c r="M69" s="429" t="s">
        <v>303</v>
      </c>
      <c r="N69" s="351" t="s">
        <v>284</v>
      </c>
      <c r="O69" s="352"/>
      <c r="P69" s="433" t="s">
        <v>285</v>
      </c>
      <c r="Q69" s="434"/>
      <c r="R69" s="429"/>
      <c r="S69" s="429" t="s">
        <v>282</v>
      </c>
      <c r="T69" s="429" t="s">
        <v>301</v>
      </c>
      <c r="U69" s="431" t="s">
        <v>283</v>
      </c>
      <c r="V69" s="429" t="s">
        <v>303</v>
      </c>
      <c r="W69" s="351" t="s">
        <v>284</v>
      </c>
      <c r="X69" s="352"/>
      <c r="Y69" s="433" t="s">
        <v>285</v>
      </c>
      <c r="Z69" s="434"/>
    </row>
    <row r="70" spans="1:26" ht="15">
      <c r="A70" s="430"/>
      <c r="B70" s="430"/>
      <c r="C70" s="432"/>
      <c r="D70" s="430"/>
      <c r="E70" s="353" t="s">
        <v>79</v>
      </c>
      <c r="F70" s="353" t="s">
        <v>80</v>
      </c>
      <c r="G70" s="353" t="s">
        <v>79</v>
      </c>
      <c r="H70" s="353" t="s">
        <v>80</v>
      </c>
      <c r="I70" s="430"/>
      <c r="J70" s="430"/>
      <c r="K70" s="430"/>
      <c r="L70" s="432"/>
      <c r="M70" s="430"/>
      <c r="N70" s="353" t="s">
        <v>79</v>
      </c>
      <c r="O70" s="353" t="s">
        <v>80</v>
      </c>
      <c r="P70" s="353" t="s">
        <v>79</v>
      </c>
      <c r="Q70" s="353" t="s">
        <v>80</v>
      </c>
      <c r="R70" s="430"/>
      <c r="S70" s="430"/>
      <c r="T70" s="430"/>
      <c r="U70" s="432"/>
      <c r="V70" s="430"/>
      <c r="W70" s="353" t="s">
        <v>79</v>
      </c>
      <c r="X70" s="353" t="s">
        <v>80</v>
      </c>
      <c r="Y70" s="353" t="s">
        <v>79</v>
      </c>
      <c r="Z70" s="353" t="s">
        <v>80</v>
      </c>
    </row>
    <row r="71" spans="1:26" ht="15">
      <c r="A71" s="354" t="s">
        <v>286</v>
      </c>
      <c r="B71" s="354" t="s">
        <v>286</v>
      </c>
      <c r="C71" s="353" t="s">
        <v>287</v>
      </c>
      <c r="D71" s="355">
        <v>18194.75</v>
      </c>
      <c r="E71" s="355">
        <v>0.9</v>
      </c>
      <c r="F71" s="355">
        <f>D71*E71</f>
        <v>16375.275</v>
      </c>
      <c r="G71" s="355">
        <v>0.9</v>
      </c>
      <c r="H71" s="355">
        <f>D71*G71</f>
        <v>16375.275</v>
      </c>
      <c r="I71" s="354"/>
      <c r="J71" s="354" t="s">
        <v>286</v>
      </c>
      <c r="K71" s="354" t="s">
        <v>286</v>
      </c>
      <c r="L71" s="353" t="s">
        <v>287</v>
      </c>
      <c r="M71" s="355">
        <v>6260.4</v>
      </c>
      <c r="N71" s="355">
        <v>0.9</v>
      </c>
      <c r="O71" s="355">
        <f>M71*N71</f>
        <v>5634.36</v>
      </c>
      <c r="P71" s="355">
        <v>0.9</v>
      </c>
      <c r="Q71" s="355">
        <f>M71*P71</f>
        <v>5634.36</v>
      </c>
      <c r="R71" s="354"/>
      <c r="S71" s="354" t="s">
        <v>286</v>
      </c>
      <c r="T71" s="354" t="s">
        <v>286</v>
      </c>
      <c r="U71" s="353" t="s">
        <v>287</v>
      </c>
      <c r="V71" s="355">
        <v>54867.11</v>
      </c>
      <c r="W71" s="355">
        <v>0.9</v>
      </c>
      <c r="X71" s="355">
        <f>V71*W71</f>
        <v>49380.399000000005</v>
      </c>
      <c r="Y71" s="355">
        <v>0.9</v>
      </c>
      <c r="Z71" s="355">
        <f>V71*Y71</f>
        <v>49380.399000000005</v>
      </c>
    </row>
    <row r="72" spans="1:26" ht="15">
      <c r="A72" s="353" t="s">
        <v>289</v>
      </c>
      <c r="B72" s="356" t="s">
        <v>302</v>
      </c>
      <c r="C72" s="353" t="s">
        <v>288</v>
      </c>
      <c r="D72" s="357">
        <v>10798.4</v>
      </c>
      <c r="E72" s="355">
        <v>0.24</v>
      </c>
      <c r="F72" s="355">
        <f>D72*E72</f>
        <v>2591.616</v>
      </c>
      <c r="G72" s="355">
        <v>0.24</v>
      </c>
      <c r="H72" s="355">
        <f>D72*G72</f>
        <v>2591.616</v>
      </c>
      <c r="I72" s="353"/>
      <c r="J72" s="353" t="s">
        <v>289</v>
      </c>
      <c r="K72" s="356" t="s">
        <v>302</v>
      </c>
      <c r="L72" s="353" t="s">
        <v>288</v>
      </c>
      <c r="M72" s="357">
        <v>4962.21</v>
      </c>
      <c r="N72" s="355">
        <v>0.24</v>
      </c>
      <c r="O72" s="355">
        <f>M72*N72</f>
        <v>1190.9304</v>
      </c>
      <c r="P72" s="355">
        <v>0.24</v>
      </c>
      <c r="Q72" s="355">
        <f>M72*P72</f>
        <v>1190.9304</v>
      </c>
      <c r="R72" s="353"/>
      <c r="S72" s="353" t="s">
        <v>289</v>
      </c>
      <c r="T72" s="356" t="s">
        <v>302</v>
      </c>
      <c r="U72" s="353" t="s">
        <v>288</v>
      </c>
      <c r="V72" s="357">
        <v>52306.26</v>
      </c>
      <c r="W72" s="355">
        <v>0.24</v>
      </c>
      <c r="X72" s="355">
        <f>V72*W72</f>
        <v>12553.502399999999</v>
      </c>
      <c r="Y72" s="355">
        <v>0.24</v>
      </c>
      <c r="Z72" s="355">
        <f>V72*Y72</f>
        <v>12553.502399999999</v>
      </c>
    </row>
    <row r="73" spans="1:26" ht="15">
      <c r="A73" s="353"/>
      <c r="B73" s="356"/>
      <c r="C73" s="353"/>
      <c r="D73" s="357"/>
      <c r="E73" s="355"/>
      <c r="F73" s="355"/>
      <c r="G73" s="355"/>
      <c r="H73" s="355"/>
      <c r="I73" s="353"/>
      <c r="J73" s="353"/>
      <c r="K73" s="356"/>
      <c r="L73" s="353"/>
      <c r="M73" s="357"/>
      <c r="N73" s="355"/>
      <c r="O73" s="355"/>
      <c r="P73" s="355"/>
      <c r="Q73" s="355"/>
      <c r="R73" s="353"/>
      <c r="S73" s="353"/>
      <c r="T73" s="356"/>
      <c r="U73" s="353"/>
      <c r="V73" s="357"/>
      <c r="W73" s="355"/>
      <c r="X73" s="355"/>
      <c r="Y73" s="355"/>
      <c r="Z73" s="355"/>
    </row>
    <row r="74" spans="1:26" ht="15">
      <c r="A74" s="351"/>
      <c r="B74" s="356"/>
      <c r="C74" s="353"/>
      <c r="D74" s="357"/>
      <c r="E74" s="355"/>
      <c r="F74" s="358"/>
      <c r="G74" s="355"/>
      <c r="H74" s="358"/>
      <c r="I74" s="351"/>
      <c r="J74" s="351"/>
      <c r="K74" s="356"/>
      <c r="L74" s="353"/>
      <c r="M74" s="357"/>
      <c r="N74" s="355"/>
      <c r="O74" s="358"/>
      <c r="P74" s="355"/>
      <c r="Q74" s="358"/>
      <c r="R74" s="351"/>
      <c r="S74" s="351"/>
      <c r="T74" s="356"/>
      <c r="U74" s="353"/>
      <c r="V74" s="357"/>
      <c r="W74" s="355"/>
      <c r="X74" s="358"/>
      <c r="Y74" s="355"/>
      <c r="Z74" s="358"/>
    </row>
    <row r="75" spans="1:26" ht="15">
      <c r="A75" s="359"/>
      <c r="B75" s="356"/>
      <c r="C75" s="353"/>
      <c r="D75" s="355"/>
      <c r="E75" s="355"/>
      <c r="F75" s="358"/>
      <c r="G75" s="355"/>
      <c r="H75" s="358"/>
      <c r="I75" s="359"/>
      <c r="J75" s="359"/>
      <c r="K75" s="356"/>
      <c r="L75" s="353"/>
      <c r="M75" s="355"/>
      <c r="N75" s="355"/>
      <c r="O75" s="358"/>
      <c r="P75" s="355"/>
      <c r="Q75" s="358"/>
      <c r="R75" s="359"/>
      <c r="S75" s="359"/>
      <c r="T75" s="356"/>
      <c r="U75" s="353"/>
      <c r="V75" s="355"/>
      <c r="W75" s="355"/>
      <c r="X75" s="358"/>
      <c r="Y75" s="355"/>
      <c r="Z75" s="358"/>
    </row>
    <row r="76" spans="1:26" ht="15">
      <c r="A76" s="353"/>
      <c r="B76" s="356"/>
      <c r="C76" s="353"/>
      <c r="D76" s="355"/>
      <c r="E76" s="355"/>
      <c r="F76" s="358"/>
      <c r="G76" s="355"/>
      <c r="H76" s="358"/>
      <c r="I76" s="353"/>
      <c r="J76" s="353"/>
      <c r="K76" s="356"/>
      <c r="L76" s="353"/>
      <c r="M76" s="355"/>
      <c r="N76" s="355"/>
      <c r="O76" s="358"/>
      <c r="P76" s="355"/>
      <c r="Q76" s="358"/>
      <c r="R76" s="353"/>
      <c r="S76" s="353"/>
      <c r="T76" s="356"/>
      <c r="U76" s="353"/>
      <c r="V76" s="355"/>
      <c r="W76" s="355"/>
      <c r="X76" s="358"/>
      <c r="Y76" s="355"/>
      <c r="Z76" s="358"/>
    </row>
    <row r="77" spans="1:26" ht="15">
      <c r="A77" s="351"/>
      <c r="B77" s="356"/>
      <c r="C77" s="353"/>
      <c r="D77" s="355"/>
      <c r="E77" s="355"/>
      <c r="F77" s="358"/>
      <c r="G77" s="353"/>
      <c r="H77" s="358"/>
      <c r="I77" s="351"/>
      <c r="J77" s="351"/>
      <c r="K77" s="356"/>
      <c r="L77" s="353"/>
      <c r="M77" s="355"/>
      <c r="N77" s="355"/>
      <c r="O77" s="358"/>
      <c r="P77" s="353"/>
      <c r="Q77" s="358"/>
      <c r="R77" s="351"/>
      <c r="S77" s="351"/>
      <c r="T77" s="356"/>
      <c r="U77" s="353"/>
      <c r="V77" s="355"/>
      <c r="W77" s="355"/>
      <c r="X77" s="358"/>
      <c r="Y77" s="353"/>
      <c r="Z77" s="358"/>
    </row>
    <row r="78" spans="1:26" ht="15">
      <c r="A78" s="359"/>
      <c r="B78" s="356"/>
      <c r="C78" s="353"/>
      <c r="D78" s="355"/>
      <c r="E78" s="353"/>
      <c r="F78" s="358"/>
      <c r="G78" s="353"/>
      <c r="H78" s="358"/>
      <c r="I78" s="359"/>
      <c r="J78" s="359"/>
      <c r="K78" s="356"/>
      <c r="L78" s="353"/>
      <c r="M78" s="355"/>
      <c r="N78" s="353"/>
      <c r="O78" s="358"/>
      <c r="P78" s="353"/>
      <c r="Q78" s="358"/>
      <c r="R78" s="359"/>
      <c r="S78" s="359"/>
      <c r="T78" s="356"/>
      <c r="U78" s="353"/>
      <c r="V78" s="355"/>
      <c r="W78" s="353"/>
      <c r="X78" s="358"/>
      <c r="Y78" s="353"/>
      <c r="Z78" s="358"/>
    </row>
    <row r="79" spans="1:26" ht="15">
      <c r="A79" s="353"/>
      <c r="B79" s="356"/>
      <c r="C79" s="353"/>
      <c r="D79" s="355"/>
      <c r="E79" s="353"/>
      <c r="F79" s="358"/>
      <c r="G79" s="353"/>
      <c r="H79" s="358"/>
      <c r="I79" s="353"/>
      <c r="J79" s="353"/>
      <c r="K79" s="356"/>
      <c r="L79" s="353"/>
      <c r="M79" s="355"/>
      <c r="N79" s="353"/>
      <c r="O79" s="358"/>
      <c r="P79" s="353"/>
      <c r="Q79" s="358"/>
      <c r="R79" s="353"/>
      <c r="S79" s="353"/>
      <c r="T79" s="356"/>
      <c r="U79" s="353"/>
      <c r="V79" s="355"/>
      <c r="W79" s="353"/>
      <c r="X79" s="358"/>
      <c r="Y79" s="353"/>
      <c r="Z79" s="358"/>
    </row>
    <row r="80" spans="1:26" ht="15">
      <c r="A80" s="337"/>
      <c r="B80" s="337"/>
      <c r="C80" s="360" t="s">
        <v>290</v>
      </c>
      <c r="D80" s="361">
        <f>SUM(D71:D79)</f>
        <v>28993.15</v>
      </c>
      <c r="E80" s="362"/>
      <c r="F80" s="361">
        <f>SUM(F71:F79)</f>
        <v>18966.891</v>
      </c>
      <c r="G80" s="363"/>
      <c r="H80" s="361">
        <f>SUM(H71:H79)</f>
        <v>18966.891</v>
      </c>
      <c r="I80" s="337"/>
      <c r="J80" s="337"/>
      <c r="K80" s="337"/>
      <c r="L80" s="360" t="s">
        <v>290</v>
      </c>
      <c r="M80" s="361">
        <f>SUM(M71:M79)</f>
        <v>11222.61</v>
      </c>
      <c r="N80" s="362"/>
      <c r="O80" s="361">
        <f>SUM(O71:O79)</f>
        <v>6825.2903999999999</v>
      </c>
      <c r="P80" s="363"/>
      <c r="Q80" s="361">
        <f>SUM(Q71:Q79)</f>
        <v>6825.2903999999999</v>
      </c>
      <c r="R80" s="337"/>
      <c r="S80" s="337"/>
      <c r="T80" s="337"/>
      <c r="U80" s="360" t="s">
        <v>290</v>
      </c>
      <c r="V80" s="361">
        <f>SUM(V71:V79)</f>
        <v>107173.37</v>
      </c>
      <c r="W80" s="362"/>
      <c r="X80" s="361">
        <f>SUM(X71:X79)</f>
        <v>61933.901400000002</v>
      </c>
      <c r="Y80" s="363"/>
      <c r="Z80" s="361">
        <f>SUM(Z71:Z79)</f>
        <v>61933.901400000002</v>
      </c>
    </row>
    <row r="81" spans="1:26" ht="15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</row>
    <row r="82" spans="1:26" ht="15">
      <c r="A82" s="337"/>
      <c r="B82" s="337"/>
      <c r="C82" s="364" t="s">
        <v>291</v>
      </c>
      <c r="D82" s="365">
        <f>F80/D80</f>
        <v>0.6541852472049432</v>
      </c>
      <c r="E82" s="337"/>
      <c r="F82" s="337"/>
      <c r="G82" s="337"/>
      <c r="H82" s="337"/>
      <c r="I82" s="337"/>
      <c r="J82" s="337"/>
      <c r="K82" s="337"/>
      <c r="L82" s="364" t="s">
        <v>291</v>
      </c>
      <c r="M82" s="365">
        <f>O80/M80</f>
        <v>0.60817317896639012</v>
      </c>
      <c r="N82" s="337"/>
      <c r="O82" s="337"/>
      <c r="P82" s="337"/>
      <c r="Q82" s="337"/>
      <c r="R82" s="337"/>
      <c r="S82" s="337"/>
      <c r="T82" s="337"/>
      <c r="U82" s="364" t="s">
        <v>291</v>
      </c>
      <c r="V82" s="365">
        <f>X80/V80</f>
        <v>0.57788517240803383</v>
      </c>
      <c r="W82" s="337"/>
      <c r="X82" s="337"/>
      <c r="Y82" s="337"/>
      <c r="Z82" s="337"/>
    </row>
    <row r="83" spans="1:26" ht="15">
      <c r="A83" s="337"/>
      <c r="B83" s="337"/>
      <c r="C83" s="364" t="s">
        <v>292</v>
      </c>
      <c r="D83" s="365">
        <f>H80/D80</f>
        <v>0.6541852472049432</v>
      </c>
      <c r="E83" s="337"/>
      <c r="F83" s="337"/>
      <c r="G83" s="337"/>
      <c r="H83" s="337"/>
      <c r="I83" s="337"/>
      <c r="J83" s="337"/>
      <c r="K83" s="337"/>
      <c r="L83" s="364" t="s">
        <v>292</v>
      </c>
      <c r="M83" s="365">
        <f>Q80/M80</f>
        <v>0.60817317896639012</v>
      </c>
      <c r="N83" s="337"/>
      <c r="O83" s="337"/>
      <c r="P83" s="337"/>
      <c r="Q83" s="337"/>
      <c r="R83" s="337"/>
      <c r="S83" s="337"/>
      <c r="T83" s="337"/>
      <c r="U83" s="364" t="s">
        <v>292</v>
      </c>
      <c r="V83" s="365">
        <f>Z80/V80</f>
        <v>0.57788517240803383</v>
      </c>
      <c r="W83" s="337"/>
      <c r="X83" s="337"/>
      <c r="Y83" s="337"/>
      <c r="Z83" s="337"/>
    </row>
    <row r="84" spans="1:26" ht="15">
      <c r="A84" s="366" t="s">
        <v>293</v>
      </c>
      <c r="B84" s="337"/>
      <c r="C84" s="337"/>
      <c r="D84" s="337"/>
      <c r="E84" s="337"/>
      <c r="F84" s="337"/>
      <c r="G84" s="337"/>
      <c r="H84" s="337"/>
      <c r="I84" s="366"/>
      <c r="J84" s="366" t="s">
        <v>293</v>
      </c>
      <c r="K84" s="337"/>
      <c r="L84" s="337"/>
      <c r="M84" s="337"/>
      <c r="N84" s="337"/>
      <c r="O84" s="337"/>
      <c r="P84" s="337"/>
      <c r="Q84" s="337"/>
      <c r="R84" s="366"/>
      <c r="S84" s="366" t="s">
        <v>293</v>
      </c>
      <c r="T84" s="337"/>
      <c r="U84" s="337"/>
      <c r="V84" s="337"/>
      <c r="W84" s="337"/>
      <c r="X84" s="337"/>
      <c r="Y84" s="337"/>
      <c r="Z84" s="337"/>
    </row>
    <row r="85" spans="1:26" ht="15">
      <c r="A85" s="337"/>
      <c r="B85" s="337"/>
      <c r="C85" s="337"/>
      <c r="D85" s="429" t="s">
        <v>294</v>
      </c>
      <c r="E85" s="429" t="s">
        <v>295</v>
      </c>
      <c r="F85" s="425" t="s">
        <v>296</v>
      </c>
      <c r="G85" s="426"/>
      <c r="H85" s="337"/>
      <c r="I85" s="337"/>
      <c r="J85" s="337"/>
      <c r="K85" s="337"/>
      <c r="L85" s="337"/>
      <c r="M85" s="429" t="s">
        <v>294</v>
      </c>
      <c r="N85" s="429" t="s">
        <v>295</v>
      </c>
      <c r="O85" s="425" t="s">
        <v>296</v>
      </c>
      <c r="P85" s="426"/>
      <c r="Q85" s="337"/>
      <c r="R85" s="337"/>
      <c r="S85" s="337"/>
      <c r="T85" s="337"/>
      <c r="U85" s="337"/>
      <c r="V85" s="429" t="s">
        <v>294</v>
      </c>
      <c r="W85" s="429" t="s">
        <v>295</v>
      </c>
      <c r="X85" s="425" t="s">
        <v>296</v>
      </c>
      <c r="Y85" s="426"/>
      <c r="Z85" s="337"/>
    </row>
    <row r="86" spans="1:26" ht="30" customHeight="1">
      <c r="A86" s="337"/>
      <c r="B86" s="337"/>
      <c r="C86" s="337"/>
      <c r="D86" s="430"/>
      <c r="E86" s="430"/>
      <c r="F86" s="427"/>
      <c r="G86" s="428"/>
      <c r="H86" s="337"/>
      <c r="I86" s="337"/>
      <c r="J86" s="337"/>
      <c r="K86" s="337"/>
      <c r="L86" s="337"/>
      <c r="M86" s="430"/>
      <c r="N86" s="430"/>
      <c r="O86" s="427"/>
      <c r="P86" s="428"/>
      <c r="Q86" s="337"/>
      <c r="R86" s="337"/>
      <c r="S86" s="337"/>
      <c r="T86" s="337"/>
      <c r="U86" s="337"/>
      <c r="V86" s="430"/>
      <c r="W86" s="430"/>
      <c r="X86" s="427"/>
      <c r="Y86" s="428"/>
      <c r="Z86" s="337"/>
    </row>
    <row r="87" spans="1:26" ht="15">
      <c r="A87" s="337"/>
      <c r="B87" s="337"/>
      <c r="C87" s="337"/>
      <c r="D87" s="353">
        <v>2</v>
      </c>
      <c r="E87" s="355">
        <v>4.01</v>
      </c>
      <c r="F87" s="423">
        <f>(F80*E87)/43560</f>
        <v>1.7460338133608813</v>
      </c>
      <c r="G87" s="424"/>
      <c r="H87" s="337"/>
      <c r="I87" s="337"/>
      <c r="J87" s="337"/>
      <c r="K87" s="337"/>
      <c r="L87" s="337"/>
      <c r="M87" s="353">
        <v>2</v>
      </c>
      <c r="N87" s="355">
        <v>4.01</v>
      </c>
      <c r="O87" s="423">
        <f>(O80*N87)/43560</f>
        <v>0.62831530082644615</v>
      </c>
      <c r="P87" s="424"/>
      <c r="Q87" s="337"/>
      <c r="R87" s="337"/>
      <c r="S87" s="337"/>
      <c r="T87" s="337"/>
      <c r="U87" s="337"/>
      <c r="V87" s="353">
        <v>2</v>
      </c>
      <c r="W87" s="355">
        <v>4.01</v>
      </c>
      <c r="X87" s="423">
        <f>(X80*W87)/43560</f>
        <v>5.7014450095041322</v>
      </c>
      <c r="Y87" s="424"/>
      <c r="Z87" s="337"/>
    </row>
    <row r="88" spans="1:26" ht="15">
      <c r="A88" s="367" t="s">
        <v>297</v>
      </c>
      <c r="B88" s="368">
        <v>7</v>
      </c>
      <c r="C88" s="337" t="s">
        <v>298</v>
      </c>
      <c r="D88" s="353">
        <v>10</v>
      </c>
      <c r="E88" s="355">
        <v>6.15</v>
      </c>
      <c r="F88" s="423">
        <f>(F80*E88)/43560</f>
        <v>2.6778324070247934</v>
      </c>
      <c r="G88" s="424"/>
      <c r="H88" s="337"/>
      <c r="I88" s="367"/>
      <c r="J88" s="367" t="s">
        <v>297</v>
      </c>
      <c r="K88" s="368">
        <v>10</v>
      </c>
      <c r="L88" s="337" t="s">
        <v>298</v>
      </c>
      <c r="M88" s="353">
        <v>10</v>
      </c>
      <c r="N88" s="355">
        <v>5.34</v>
      </c>
      <c r="O88" s="423">
        <f>(O80*N88)/43560</f>
        <v>0.83670915371900823</v>
      </c>
      <c r="P88" s="424"/>
      <c r="Q88" s="337"/>
      <c r="R88" s="367"/>
      <c r="S88" s="367" t="s">
        <v>297</v>
      </c>
      <c r="T88" s="368">
        <v>10</v>
      </c>
      <c r="U88" s="337" t="s">
        <v>298</v>
      </c>
      <c r="V88" s="353">
        <v>10</v>
      </c>
      <c r="W88" s="355">
        <v>5.34</v>
      </c>
      <c r="X88" s="423">
        <f>(X80*W88)/43560</f>
        <v>7.592447967768595</v>
      </c>
      <c r="Y88" s="424"/>
      <c r="Z88" s="337"/>
    </row>
    <row r="89" spans="1:26" ht="15">
      <c r="A89" s="337"/>
      <c r="B89" s="368" t="s">
        <v>366</v>
      </c>
      <c r="C89" s="337"/>
      <c r="D89" s="353">
        <v>25</v>
      </c>
      <c r="E89" s="355">
        <v>6.02</v>
      </c>
      <c r="F89" s="423">
        <f>(H80*E89)/43560</f>
        <v>2.6212278195592282</v>
      </c>
      <c r="G89" s="424"/>
      <c r="H89" s="337"/>
      <c r="I89" s="337"/>
      <c r="J89" s="337"/>
      <c r="K89" s="368" t="s">
        <v>366</v>
      </c>
      <c r="L89" s="337"/>
      <c r="M89" s="353">
        <v>25</v>
      </c>
      <c r="N89" s="355">
        <v>6.02</v>
      </c>
      <c r="O89" s="423">
        <f>(Q80*N89)/43560</f>
        <v>0.94325638677685941</v>
      </c>
      <c r="P89" s="424"/>
      <c r="Q89" s="337"/>
      <c r="R89" s="337"/>
      <c r="S89" s="337"/>
      <c r="T89" s="368" t="s">
        <v>366</v>
      </c>
      <c r="U89" s="337"/>
      <c r="V89" s="353">
        <v>25</v>
      </c>
      <c r="W89" s="355">
        <v>6.02</v>
      </c>
      <c r="X89" s="423">
        <f>(Z80*W89)/43560</f>
        <v>8.5592765479338837</v>
      </c>
      <c r="Y89" s="424"/>
      <c r="Z89" s="337"/>
    </row>
    <row r="90" spans="1:26" ht="15">
      <c r="A90" s="337"/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</row>
    <row r="91" spans="1:26" ht="15">
      <c r="A91" s="336"/>
      <c r="B91" s="337"/>
      <c r="C91" s="338"/>
      <c r="E91" s="337"/>
      <c r="G91" s="337"/>
      <c r="H91" s="337"/>
      <c r="J91" s="336"/>
      <c r="K91" s="337"/>
      <c r="L91" s="338"/>
      <c r="N91" s="337"/>
      <c r="P91" s="337"/>
      <c r="Q91" s="337"/>
      <c r="R91" s="337"/>
      <c r="S91" s="336"/>
      <c r="T91" s="337"/>
      <c r="U91" s="338"/>
      <c r="W91" s="337"/>
      <c r="Y91" s="337"/>
      <c r="Z91" s="337"/>
    </row>
    <row r="92" spans="1:26" ht="15">
      <c r="A92" s="339"/>
      <c r="B92" s="419"/>
      <c r="C92" s="419"/>
      <c r="D92" s="419"/>
      <c r="E92" s="419"/>
      <c r="F92" s="419"/>
      <c r="G92" s="419"/>
      <c r="H92" s="337"/>
      <c r="J92" s="339"/>
      <c r="K92" s="419"/>
      <c r="L92" s="419"/>
      <c r="M92" s="419"/>
      <c r="N92" s="419"/>
      <c r="O92" s="419"/>
      <c r="P92" s="419"/>
      <c r="Q92" s="337"/>
      <c r="R92" s="337"/>
      <c r="S92" s="339"/>
      <c r="T92" s="419"/>
      <c r="U92" s="419"/>
      <c r="V92" s="419"/>
      <c r="W92" s="419"/>
      <c r="X92" s="419"/>
      <c r="Y92" s="419"/>
      <c r="Z92" s="337"/>
    </row>
    <row r="93" spans="1:26" ht="15">
      <c r="A93" s="340"/>
      <c r="B93" s="341"/>
      <c r="C93" s="337"/>
      <c r="D93" s="337"/>
      <c r="E93" s="337"/>
      <c r="F93" s="337"/>
      <c r="G93" s="337"/>
      <c r="H93" s="337"/>
      <c r="J93" s="340"/>
      <c r="K93" s="341"/>
      <c r="L93" s="337"/>
      <c r="M93" s="337"/>
      <c r="N93" s="337"/>
      <c r="O93" s="337"/>
      <c r="P93" s="337"/>
      <c r="Q93" s="337"/>
      <c r="R93" s="337"/>
      <c r="S93" s="340"/>
      <c r="T93" s="341"/>
      <c r="U93" s="337"/>
      <c r="V93" s="337"/>
      <c r="W93" s="337"/>
      <c r="X93" s="337"/>
      <c r="Y93" s="337"/>
      <c r="Z93" s="337"/>
    </row>
    <row r="94" spans="1:26" ht="15">
      <c r="A94" s="337"/>
      <c r="B94" s="337"/>
      <c r="C94" s="337"/>
      <c r="D94" s="337"/>
      <c r="E94" s="337"/>
      <c r="F94" s="337"/>
      <c r="G94" s="337"/>
      <c r="H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</row>
    <row r="95" spans="1:26" ht="15">
      <c r="A95" s="337"/>
      <c r="B95" s="394"/>
      <c r="C95" s="337"/>
      <c r="D95" s="337"/>
      <c r="E95" s="337"/>
      <c r="F95" s="362"/>
      <c r="G95" s="362"/>
      <c r="H95" s="337"/>
      <c r="J95" s="337"/>
      <c r="K95" s="394"/>
      <c r="L95" s="337"/>
      <c r="M95" s="337"/>
      <c r="N95" s="337"/>
      <c r="O95" s="362"/>
      <c r="P95" s="362"/>
      <c r="Q95" s="337"/>
      <c r="R95" s="337"/>
      <c r="S95" s="337"/>
      <c r="T95" s="394"/>
      <c r="U95" s="337"/>
      <c r="V95" s="337"/>
      <c r="W95" s="337"/>
      <c r="X95" s="362"/>
      <c r="Y95" s="362"/>
      <c r="Z95" s="337"/>
    </row>
    <row r="96" spans="1:26" ht="15">
      <c r="A96" s="337"/>
      <c r="B96" s="394"/>
      <c r="C96" s="337"/>
      <c r="D96" s="337"/>
      <c r="E96" s="362"/>
      <c r="F96" s="362"/>
      <c r="G96" s="395"/>
      <c r="H96" s="337"/>
      <c r="J96" s="337"/>
      <c r="K96" s="394"/>
      <c r="L96" s="337"/>
      <c r="M96" s="337"/>
      <c r="N96" s="362"/>
      <c r="O96" s="362"/>
      <c r="P96" s="395"/>
      <c r="Q96" s="337"/>
      <c r="R96" s="337"/>
      <c r="S96" s="337"/>
      <c r="T96" s="394"/>
      <c r="U96" s="337"/>
      <c r="V96" s="337"/>
      <c r="W96" s="362"/>
      <c r="X96" s="362"/>
      <c r="Y96" s="395"/>
      <c r="Z96" s="337"/>
    </row>
    <row r="97" spans="1:26" ht="15">
      <c r="A97" s="337"/>
      <c r="B97" s="394"/>
      <c r="C97" s="337"/>
      <c r="D97" s="337"/>
      <c r="E97" s="362"/>
      <c r="F97" s="362"/>
      <c r="G97" s="395"/>
      <c r="H97" s="337"/>
      <c r="J97" s="337"/>
      <c r="K97" s="394"/>
      <c r="L97" s="337"/>
      <c r="M97" s="337"/>
      <c r="N97" s="362"/>
      <c r="O97" s="362"/>
      <c r="P97" s="395"/>
      <c r="Q97" s="337"/>
      <c r="R97" s="337"/>
      <c r="S97" s="337"/>
      <c r="T97" s="394"/>
      <c r="U97" s="337"/>
      <c r="V97" s="337"/>
      <c r="W97" s="362"/>
      <c r="X97" s="362"/>
      <c r="Y97" s="395"/>
      <c r="Z97" s="337"/>
    </row>
    <row r="98" spans="1:26" ht="15">
      <c r="A98" s="337"/>
      <c r="B98" s="337"/>
      <c r="C98" s="337"/>
      <c r="D98" s="337"/>
      <c r="E98" s="337"/>
      <c r="F98" s="337"/>
      <c r="G98" s="337"/>
      <c r="H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</row>
    <row r="99" spans="1:26" ht="15">
      <c r="A99" s="420"/>
      <c r="B99" s="420"/>
      <c r="C99" s="421"/>
      <c r="D99" s="420"/>
      <c r="E99" s="396"/>
      <c r="F99" s="397"/>
      <c r="G99" s="422"/>
      <c r="H99" s="422"/>
      <c r="J99" s="420"/>
      <c r="K99" s="420"/>
      <c r="L99" s="421"/>
      <c r="M99" s="420"/>
      <c r="N99" s="396"/>
      <c r="O99" s="397"/>
      <c r="P99" s="422"/>
      <c r="Q99" s="422"/>
      <c r="R99" s="337"/>
      <c r="S99" s="420"/>
      <c r="T99" s="420"/>
      <c r="U99" s="421"/>
      <c r="V99" s="420"/>
      <c r="W99" s="396"/>
      <c r="X99" s="397"/>
      <c r="Y99" s="422"/>
      <c r="Z99" s="422"/>
    </row>
    <row r="100" spans="1:26" ht="15">
      <c r="A100" s="420"/>
      <c r="B100" s="420"/>
      <c r="C100" s="421"/>
      <c r="D100" s="420"/>
      <c r="E100" s="362"/>
      <c r="F100" s="362"/>
      <c r="G100" s="362"/>
      <c r="H100" s="362"/>
      <c r="J100" s="420"/>
      <c r="K100" s="420"/>
      <c r="L100" s="421"/>
      <c r="M100" s="420"/>
      <c r="N100" s="362"/>
      <c r="O100" s="362"/>
      <c r="P100" s="362"/>
      <c r="Q100" s="362"/>
      <c r="R100" s="337"/>
      <c r="S100" s="420"/>
      <c r="T100" s="420"/>
      <c r="U100" s="421"/>
      <c r="V100" s="420"/>
      <c r="W100" s="362"/>
      <c r="X100" s="362"/>
      <c r="Y100" s="362"/>
      <c r="Z100" s="362"/>
    </row>
    <row r="101" spans="1:26" ht="15">
      <c r="A101" s="398"/>
      <c r="B101" s="398"/>
      <c r="C101" s="362"/>
      <c r="D101" s="400"/>
      <c r="E101" s="400"/>
      <c r="F101" s="400"/>
      <c r="G101" s="400"/>
      <c r="H101" s="400"/>
      <c r="J101" s="398"/>
      <c r="K101" s="398"/>
      <c r="L101" s="362"/>
      <c r="M101" s="400"/>
      <c r="N101" s="400"/>
      <c r="O101" s="400"/>
      <c r="P101" s="400"/>
      <c r="Q101" s="400"/>
      <c r="R101" s="337"/>
      <c r="S101" s="398"/>
      <c r="T101" s="398"/>
      <c r="U101" s="362"/>
      <c r="V101" s="400"/>
      <c r="W101" s="400"/>
      <c r="X101" s="400"/>
      <c r="Y101" s="400"/>
      <c r="Z101" s="400"/>
    </row>
    <row r="102" spans="1:26" ht="15">
      <c r="A102" s="362"/>
      <c r="B102" s="402"/>
      <c r="C102" s="362"/>
      <c r="D102" s="405"/>
      <c r="E102" s="400"/>
      <c r="F102" s="400"/>
      <c r="G102" s="400"/>
      <c r="H102" s="400"/>
      <c r="J102" s="362"/>
      <c r="K102" s="402"/>
      <c r="L102" s="362"/>
      <c r="M102" s="405"/>
      <c r="N102" s="400"/>
      <c r="O102" s="400"/>
      <c r="P102" s="400"/>
      <c r="Q102" s="400"/>
      <c r="R102" s="337"/>
      <c r="S102" s="362"/>
      <c r="T102" s="402"/>
      <c r="U102" s="362"/>
      <c r="V102" s="405"/>
      <c r="W102" s="400"/>
      <c r="X102" s="400"/>
      <c r="Y102" s="400"/>
      <c r="Z102" s="400"/>
    </row>
    <row r="103" spans="1:26" ht="15">
      <c r="A103" s="362"/>
      <c r="B103" s="402"/>
      <c r="C103" s="362"/>
      <c r="D103" s="405"/>
      <c r="E103" s="400"/>
      <c r="F103" s="400"/>
      <c r="G103" s="400"/>
      <c r="H103" s="400"/>
      <c r="J103" s="362"/>
      <c r="K103" s="402"/>
      <c r="L103" s="362"/>
      <c r="M103" s="405"/>
      <c r="N103" s="400"/>
      <c r="O103" s="400"/>
      <c r="P103" s="400"/>
      <c r="Q103" s="400"/>
      <c r="R103" s="337"/>
      <c r="S103" s="362"/>
      <c r="T103" s="402"/>
      <c r="U103" s="362"/>
      <c r="V103" s="405"/>
      <c r="W103" s="400"/>
      <c r="X103" s="400"/>
      <c r="Y103" s="400"/>
      <c r="Z103" s="400"/>
    </row>
    <row r="104" spans="1:26" ht="15">
      <c r="A104" s="396"/>
      <c r="B104" s="402"/>
      <c r="C104" s="362"/>
      <c r="D104" s="405"/>
      <c r="E104" s="400"/>
      <c r="F104" s="406"/>
      <c r="G104" s="400"/>
      <c r="H104" s="406"/>
      <c r="J104" s="396"/>
      <c r="K104" s="402"/>
      <c r="L104" s="362"/>
      <c r="M104" s="405"/>
      <c r="N104" s="400"/>
      <c r="O104" s="406"/>
      <c r="P104" s="400"/>
      <c r="Q104" s="406"/>
      <c r="R104" s="337"/>
      <c r="S104" s="396"/>
      <c r="T104" s="402"/>
      <c r="U104" s="362"/>
      <c r="V104" s="405"/>
      <c r="W104" s="400"/>
      <c r="X104" s="406"/>
      <c r="Y104" s="400"/>
      <c r="Z104" s="406"/>
    </row>
    <row r="105" spans="1:26" ht="15">
      <c r="A105" s="407"/>
      <c r="B105" s="402"/>
      <c r="C105" s="362"/>
      <c r="D105" s="400"/>
      <c r="E105" s="400"/>
      <c r="F105" s="406"/>
      <c r="G105" s="400"/>
      <c r="H105" s="406"/>
      <c r="J105" s="407"/>
      <c r="K105" s="402"/>
      <c r="L105" s="362"/>
      <c r="M105" s="400"/>
      <c r="N105" s="400"/>
      <c r="O105" s="406"/>
      <c r="P105" s="400"/>
      <c r="Q105" s="406"/>
      <c r="R105" s="337"/>
      <c r="S105" s="407"/>
      <c r="T105" s="402"/>
      <c r="U105" s="362"/>
      <c r="V105" s="400"/>
      <c r="W105" s="400"/>
      <c r="X105" s="406"/>
      <c r="Y105" s="400"/>
      <c r="Z105" s="406"/>
    </row>
    <row r="106" spans="1:26" ht="15">
      <c r="A106" s="362"/>
      <c r="B106" s="402"/>
      <c r="C106" s="362"/>
      <c r="D106" s="400"/>
      <c r="E106" s="400"/>
      <c r="F106" s="406"/>
      <c r="G106" s="400"/>
      <c r="H106" s="406"/>
      <c r="J106" s="362"/>
      <c r="K106" s="402"/>
      <c r="L106" s="362"/>
      <c r="M106" s="400"/>
      <c r="N106" s="400"/>
      <c r="O106" s="406"/>
      <c r="P106" s="400"/>
      <c r="Q106" s="406"/>
      <c r="R106" s="337"/>
      <c r="S106" s="362"/>
      <c r="T106" s="402"/>
      <c r="U106" s="362"/>
      <c r="V106" s="400"/>
      <c r="W106" s="400"/>
      <c r="X106" s="406"/>
      <c r="Y106" s="400"/>
      <c r="Z106" s="406"/>
    </row>
    <row r="107" spans="1:26" ht="15">
      <c r="A107" s="396"/>
      <c r="B107" s="402"/>
      <c r="C107" s="362"/>
      <c r="D107" s="400"/>
      <c r="E107" s="400"/>
      <c r="F107" s="406"/>
      <c r="G107" s="362"/>
      <c r="H107" s="406"/>
      <c r="J107" s="396"/>
      <c r="K107" s="402"/>
      <c r="L107" s="362"/>
      <c r="M107" s="400"/>
      <c r="N107" s="400"/>
      <c r="O107" s="406"/>
      <c r="P107" s="362"/>
      <c r="Q107" s="406"/>
      <c r="R107" s="337"/>
      <c r="S107" s="396"/>
      <c r="T107" s="402"/>
      <c r="U107" s="362"/>
      <c r="V107" s="400"/>
      <c r="W107" s="400"/>
      <c r="X107" s="406"/>
      <c r="Y107" s="362"/>
      <c r="Z107" s="406"/>
    </row>
    <row r="108" spans="1:26" ht="15">
      <c r="A108" s="407"/>
      <c r="B108" s="402"/>
      <c r="C108" s="362"/>
      <c r="D108" s="400"/>
      <c r="E108" s="362"/>
      <c r="F108" s="406"/>
      <c r="G108" s="362"/>
      <c r="H108" s="406"/>
      <c r="J108" s="407"/>
      <c r="K108" s="402"/>
      <c r="L108" s="362"/>
      <c r="M108" s="400"/>
      <c r="N108" s="362"/>
      <c r="O108" s="406"/>
      <c r="P108" s="362"/>
      <c r="Q108" s="406"/>
      <c r="R108" s="337"/>
      <c r="S108" s="407"/>
      <c r="T108" s="402"/>
      <c r="U108" s="362"/>
      <c r="V108" s="400"/>
      <c r="W108" s="362"/>
      <c r="X108" s="406"/>
      <c r="Y108" s="362"/>
      <c r="Z108" s="406"/>
    </row>
    <row r="109" spans="1:26" ht="15">
      <c r="A109" s="362"/>
      <c r="B109" s="402"/>
      <c r="C109" s="362"/>
      <c r="D109" s="400"/>
      <c r="E109" s="362"/>
      <c r="F109" s="406"/>
      <c r="G109" s="362"/>
      <c r="H109" s="406"/>
      <c r="J109" s="362"/>
      <c r="K109" s="402"/>
      <c r="L109" s="362"/>
      <c r="M109" s="400"/>
      <c r="N109" s="362"/>
      <c r="O109" s="406"/>
      <c r="P109" s="362"/>
      <c r="Q109" s="406"/>
      <c r="R109" s="337"/>
      <c r="S109" s="362"/>
      <c r="T109" s="402"/>
      <c r="U109" s="362"/>
      <c r="V109" s="400"/>
      <c r="W109" s="362"/>
      <c r="X109" s="406"/>
      <c r="Y109" s="362"/>
      <c r="Z109" s="406"/>
    </row>
    <row r="110" spans="1:26" ht="15">
      <c r="A110" s="337"/>
      <c r="B110" s="337"/>
      <c r="C110" s="360"/>
      <c r="D110" s="400"/>
      <c r="E110" s="362"/>
      <c r="F110" s="400"/>
      <c r="G110" s="408"/>
      <c r="H110" s="400"/>
      <c r="J110" s="337"/>
      <c r="K110" s="337"/>
      <c r="L110" s="360"/>
      <c r="M110" s="400"/>
      <c r="N110" s="362"/>
      <c r="O110" s="400"/>
      <c r="P110" s="408"/>
      <c r="Q110" s="400"/>
      <c r="R110" s="337"/>
      <c r="S110" s="337"/>
      <c r="T110" s="337"/>
      <c r="U110" s="360"/>
      <c r="V110" s="400"/>
      <c r="W110" s="362"/>
      <c r="X110" s="400"/>
      <c r="Y110" s="408"/>
      <c r="Z110" s="400"/>
    </row>
    <row r="111" spans="1:26" ht="15">
      <c r="A111" s="337"/>
      <c r="B111" s="337"/>
      <c r="C111" s="337"/>
      <c r="D111" s="337"/>
      <c r="E111" s="337"/>
      <c r="F111" s="337"/>
      <c r="G111" s="337"/>
      <c r="H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</row>
    <row r="112" spans="1:26" ht="15">
      <c r="A112" s="337"/>
      <c r="B112" s="337"/>
      <c r="C112" s="364"/>
      <c r="D112" s="365"/>
      <c r="E112" s="337"/>
      <c r="F112" s="337"/>
      <c r="G112" s="337"/>
      <c r="H112" s="337"/>
      <c r="J112" s="337"/>
      <c r="K112" s="337"/>
      <c r="L112" s="364"/>
      <c r="M112" s="365"/>
      <c r="N112" s="337"/>
      <c r="O112" s="337"/>
      <c r="P112" s="337"/>
      <c r="Q112" s="337"/>
      <c r="R112" s="337"/>
      <c r="S112" s="337"/>
      <c r="T112" s="337"/>
      <c r="U112" s="364"/>
      <c r="V112" s="365"/>
      <c r="W112" s="337"/>
      <c r="X112" s="337"/>
      <c r="Y112" s="337"/>
      <c r="Z112" s="337"/>
    </row>
    <row r="113" spans="1:26" ht="15">
      <c r="A113" s="337"/>
      <c r="B113" s="337"/>
      <c r="C113" s="364"/>
      <c r="D113" s="365"/>
      <c r="E113" s="337"/>
      <c r="F113" s="337"/>
      <c r="G113" s="337"/>
      <c r="H113" s="337"/>
      <c r="J113" s="337"/>
      <c r="K113" s="337"/>
      <c r="L113" s="364"/>
      <c r="M113" s="365"/>
      <c r="N113" s="337"/>
      <c r="O113" s="337"/>
      <c r="P113" s="337"/>
      <c r="Q113" s="337"/>
      <c r="R113" s="337"/>
      <c r="S113" s="337"/>
      <c r="T113" s="337"/>
      <c r="U113" s="364"/>
      <c r="V113" s="365"/>
      <c r="W113" s="337"/>
      <c r="X113" s="337"/>
      <c r="Y113" s="337"/>
      <c r="Z113" s="337"/>
    </row>
    <row r="114" spans="1:26" ht="15">
      <c r="A114" s="366"/>
      <c r="B114" s="337"/>
      <c r="C114" s="337"/>
      <c r="D114" s="337"/>
      <c r="E114" s="337"/>
      <c r="F114" s="337"/>
      <c r="G114" s="337"/>
      <c r="H114" s="337"/>
      <c r="J114" s="366"/>
      <c r="K114" s="337"/>
      <c r="L114" s="337"/>
      <c r="M114" s="337"/>
      <c r="N114" s="337"/>
      <c r="O114" s="337"/>
      <c r="P114" s="337"/>
      <c r="Q114" s="337"/>
      <c r="R114" s="337"/>
      <c r="S114" s="366"/>
      <c r="T114" s="337"/>
      <c r="U114" s="337"/>
      <c r="V114" s="337"/>
      <c r="W114" s="337"/>
      <c r="X114" s="337"/>
      <c r="Y114" s="337"/>
      <c r="Z114" s="337"/>
    </row>
    <row r="115" spans="1:26" ht="15">
      <c r="A115" s="337"/>
      <c r="B115" s="337"/>
      <c r="C115" s="337"/>
      <c r="D115" s="420"/>
      <c r="E115" s="420"/>
      <c r="F115" s="420"/>
      <c r="G115" s="420"/>
      <c r="H115" s="337"/>
      <c r="J115" s="337"/>
      <c r="K115" s="337"/>
      <c r="L115" s="337"/>
      <c r="M115" s="420"/>
      <c r="N115" s="420"/>
      <c r="O115" s="420"/>
      <c r="P115" s="420"/>
      <c r="Q115" s="337"/>
      <c r="R115" s="337"/>
      <c r="S115" s="337"/>
      <c r="T115" s="337"/>
      <c r="U115" s="337"/>
      <c r="V115" s="420"/>
      <c r="W115" s="420"/>
      <c r="X115" s="420"/>
      <c r="Y115" s="420"/>
      <c r="Z115" s="337"/>
    </row>
    <row r="116" spans="1:26" ht="34.5" customHeight="1">
      <c r="A116" s="337"/>
      <c r="B116" s="337"/>
      <c r="C116" s="337"/>
      <c r="D116" s="420"/>
      <c r="E116" s="420"/>
      <c r="F116" s="420"/>
      <c r="G116" s="420"/>
      <c r="H116" s="337"/>
      <c r="J116" s="337"/>
      <c r="K116" s="337"/>
      <c r="L116" s="337"/>
      <c r="M116" s="420"/>
      <c r="N116" s="420"/>
      <c r="O116" s="420"/>
      <c r="P116" s="420"/>
      <c r="Q116" s="337"/>
      <c r="R116" s="337"/>
      <c r="S116" s="337"/>
      <c r="T116" s="337"/>
      <c r="U116" s="337"/>
      <c r="V116" s="420"/>
      <c r="W116" s="420"/>
      <c r="X116" s="420"/>
      <c r="Y116" s="420"/>
      <c r="Z116" s="337"/>
    </row>
    <row r="117" spans="1:26" ht="15">
      <c r="A117" s="337"/>
      <c r="B117" s="337"/>
      <c r="C117" s="337"/>
      <c r="D117" s="362"/>
      <c r="E117" s="400"/>
      <c r="F117" s="418"/>
      <c r="G117" s="418"/>
      <c r="H117" s="337"/>
      <c r="J117" s="337"/>
      <c r="K117" s="337"/>
      <c r="L117" s="337"/>
      <c r="M117" s="362"/>
      <c r="N117" s="400"/>
      <c r="O117" s="418"/>
      <c r="P117" s="418"/>
      <c r="Q117" s="337"/>
      <c r="R117" s="337"/>
      <c r="S117" s="337"/>
      <c r="T117" s="337"/>
      <c r="U117" s="337"/>
      <c r="V117" s="362"/>
      <c r="W117" s="400"/>
      <c r="X117" s="418"/>
      <c r="Y117" s="418"/>
      <c r="Z117" s="337"/>
    </row>
    <row r="118" spans="1:26" ht="15">
      <c r="A118" s="367"/>
      <c r="B118" s="368"/>
      <c r="C118" s="337"/>
      <c r="D118" s="362"/>
      <c r="E118" s="400"/>
      <c r="F118" s="418"/>
      <c r="G118" s="418"/>
      <c r="H118" s="337"/>
      <c r="J118" s="367"/>
      <c r="K118" s="368"/>
      <c r="L118" s="337"/>
      <c r="M118" s="362"/>
      <c r="N118" s="400"/>
      <c r="O118" s="418"/>
      <c r="P118" s="418"/>
      <c r="Q118" s="337"/>
      <c r="R118" s="337"/>
      <c r="S118" s="367"/>
      <c r="T118" s="368"/>
      <c r="U118" s="337"/>
      <c r="V118" s="362"/>
      <c r="W118" s="400"/>
      <c r="X118" s="418"/>
      <c r="Y118" s="418"/>
      <c r="Z118" s="337"/>
    </row>
    <row r="119" spans="1:26" ht="15">
      <c r="A119" s="337"/>
      <c r="B119" s="337"/>
      <c r="C119" s="337"/>
      <c r="D119" s="362"/>
      <c r="E119" s="400"/>
      <c r="F119" s="418"/>
      <c r="G119" s="418"/>
      <c r="H119" s="337"/>
      <c r="J119" s="337"/>
      <c r="K119" s="337"/>
      <c r="L119" s="337"/>
      <c r="M119" s="362"/>
      <c r="N119" s="400"/>
      <c r="O119" s="418"/>
      <c r="P119" s="418"/>
      <c r="Q119" s="337"/>
      <c r="R119" s="337"/>
      <c r="S119" s="337"/>
      <c r="T119" s="337"/>
      <c r="U119" s="337"/>
      <c r="V119" s="362"/>
      <c r="W119" s="400"/>
      <c r="X119" s="418"/>
      <c r="Y119" s="418"/>
      <c r="Z119" s="337"/>
    </row>
    <row r="121" spans="1:26" ht="15">
      <c r="A121" s="336"/>
      <c r="B121" s="337"/>
      <c r="C121" s="338"/>
      <c r="E121" s="337"/>
      <c r="G121" s="337"/>
      <c r="H121" s="337"/>
      <c r="J121" s="336"/>
      <c r="K121" s="337"/>
      <c r="L121" s="338"/>
      <c r="N121" s="337"/>
      <c r="P121" s="337"/>
      <c r="Q121" s="337"/>
      <c r="R121" s="337"/>
      <c r="S121" s="336"/>
      <c r="T121" s="337"/>
      <c r="U121" s="338"/>
      <c r="W121" s="337"/>
      <c r="Y121" s="337"/>
      <c r="Z121" s="337"/>
    </row>
    <row r="122" spans="1:26" ht="15">
      <c r="A122" s="339"/>
      <c r="B122" s="419"/>
      <c r="C122" s="419"/>
      <c r="D122" s="419"/>
      <c r="E122" s="419"/>
      <c r="F122" s="419"/>
      <c r="G122" s="419"/>
      <c r="H122" s="337"/>
      <c r="J122" s="339"/>
      <c r="K122" s="419"/>
      <c r="L122" s="419"/>
      <c r="M122" s="419"/>
      <c r="N122" s="419"/>
      <c r="O122" s="419"/>
      <c r="P122" s="419"/>
      <c r="Q122" s="337"/>
      <c r="R122" s="337"/>
      <c r="S122" s="339"/>
      <c r="T122" s="419"/>
      <c r="U122" s="419"/>
      <c r="V122" s="419"/>
      <c r="W122" s="419"/>
      <c r="X122" s="419"/>
      <c r="Y122" s="419"/>
      <c r="Z122" s="337"/>
    </row>
    <row r="123" spans="1:26" ht="15">
      <c r="A123" s="340"/>
      <c r="B123" s="341"/>
      <c r="C123" s="337"/>
      <c r="D123" s="337"/>
      <c r="E123" s="337"/>
      <c r="F123" s="337"/>
      <c r="G123" s="337"/>
      <c r="H123" s="337"/>
      <c r="J123" s="340"/>
      <c r="K123" s="341"/>
      <c r="L123" s="337"/>
      <c r="M123" s="337"/>
      <c r="N123" s="337"/>
      <c r="O123" s="337"/>
      <c r="P123" s="337"/>
      <c r="Q123" s="337"/>
      <c r="R123" s="337"/>
      <c r="S123" s="340"/>
      <c r="T123" s="341"/>
      <c r="U123" s="337"/>
      <c r="V123" s="337"/>
      <c r="W123" s="337"/>
      <c r="X123" s="337"/>
      <c r="Y123" s="337"/>
      <c r="Z123" s="337"/>
    </row>
    <row r="124" spans="1:26" ht="15">
      <c r="A124" s="337"/>
      <c r="B124" s="337"/>
      <c r="C124" s="337"/>
      <c r="D124" s="337"/>
      <c r="E124" s="337"/>
      <c r="F124" s="337"/>
      <c r="G124" s="337"/>
      <c r="H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</row>
    <row r="125" spans="1:26" ht="15">
      <c r="A125" s="337"/>
      <c r="B125" s="394"/>
      <c r="C125" s="337"/>
      <c r="D125" s="337"/>
      <c r="E125" s="337"/>
      <c r="F125" s="362"/>
      <c r="G125" s="362"/>
      <c r="H125" s="337"/>
      <c r="J125" s="337"/>
      <c r="K125" s="394"/>
      <c r="L125" s="337"/>
      <c r="M125" s="337"/>
      <c r="N125" s="337"/>
      <c r="O125" s="362"/>
      <c r="P125" s="362"/>
      <c r="Q125" s="337"/>
      <c r="R125" s="337"/>
      <c r="S125" s="337"/>
      <c r="T125" s="394"/>
      <c r="U125" s="337"/>
      <c r="V125" s="337"/>
      <c r="W125" s="337"/>
      <c r="X125" s="362"/>
      <c r="Y125" s="362"/>
      <c r="Z125" s="337"/>
    </row>
    <row r="126" spans="1:26" ht="15">
      <c r="A126" s="337"/>
      <c r="B126" s="394"/>
      <c r="C126" s="337"/>
      <c r="D126" s="337"/>
      <c r="E126" s="362"/>
      <c r="F126" s="362"/>
      <c r="G126" s="395"/>
      <c r="H126" s="337"/>
      <c r="J126" s="337"/>
      <c r="K126" s="394"/>
      <c r="L126" s="337"/>
      <c r="M126" s="337"/>
      <c r="N126" s="362"/>
      <c r="O126" s="362"/>
      <c r="P126" s="395"/>
      <c r="Q126" s="337"/>
      <c r="R126" s="337"/>
      <c r="S126" s="337"/>
      <c r="T126" s="394"/>
      <c r="U126" s="337"/>
      <c r="V126" s="337"/>
      <c r="W126" s="362"/>
      <c r="X126" s="362"/>
      <c r="Y126" s="395"/>
      <c r="Z126" s="337"/>
    </row>
    <row r="127" spans="1:26" ht="15">
      <c r="A127" s="337"/>
      <c r="B127" s="394"/>
      <c r="C127" s="337"/>
      <c r="D127" s="337"/>
      <c r="E127" s="362"/>
      <c r="F127" s="362"/>
      <c r="G127" s="395"/>
      <c r="H127" s="337"/>
      <c r="J127" s="337"/>
      <c r="K127" s="394"/>
      <c r="L127" s="337"/>
      <c r="M127" s="337"/>
      <c r="N127" s="362"/>
      <c r="O127" s="362"/>
      <c r="P127" s="395"/>
      <c r="Q127" s="337"/>
      <c r="R127" s="337"/>
      <c r="S127" s="337"/>
      <c r="T127" s="394"/>
      <c r="U127" s="337"/>
      <c r="V127" s="337"/>
      <c r="W127" s="362"/>
      <c r="X127" s="362"/>
      <c r="Y127" s="395"/>
      <c r="Z127" s="337"/>
    </row>
    <row r="128" spans="1:26" ht="15">
      <c r="A128" s="337"/>
      <c r="B128" s="337"/>
      <c r="C128" s="337"/>
      <c r="D128" s="337"/>
      <c r="E128" s="337"/>
      <c r="F128" s="337"/>
      <c r="G128" s="337"/>
      <c r="H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</row>
    <row r="129" spans="1:26" ht="15">
      <c r="A129" s="420"/>
      <c r="B129" s="420"/>
      <c r="C129" s="421"/>
      <c r="D129" s="420"/>
      <c r="E129" s="396"/>
      <c r="F129" s="397"/>
      <c r="G129" s="422"/>
      <c r="H129" s="422"/>
      <c r="J129" s="420"/>
      <c r="K129" s="420"/>
      <c r="L129" s="421"/>
      <c r="M129" s="420"/>
      <c r="N129" s="396"/>
      <c r="O129" s="397"/>
      <c r="P129" s="422"/>
      <c r="Q129" s="422"/>
      <c r="R129" s="337"/>
      <c r="S129" s="420"/>
      <c r="T129" s="420"/>
      <c r="U129" s="421"/>
      <c r="V129" s="420"/>
      <c r="W129" s="396"/>
      <c r="X129" s="397"/>
      <c r="Y129" s="422"/>
      <c r="Z129" s="422"/>
    </row>
    <row r="130" spans="1:26" ht="15">
      <c r="A130" s="420"/>
      <c r="B130" s="420"/>
      <c r="C130" s="421"/>
      <c r="D130" s="420"/>
      <c r="E130" s="362"/>
      <c r="F130" s="362"/>
      <c r="G130" s="362"/>
      <c r="H130" s="362"/>
      <c r="J130" s="420"/>
      <c r="K130" s="420"/>
      <c r="L130" s="421"/>
      <c r="M130" s="420"/>
      <c r="N130" s="362"/>
      <c r="O130" s="362"/>
      <c r="P130" s="362"/>
      <c r="Q130" s="362"/>
      <c r="R130" s="337"/>
      <c r="S130" s="420"/>
      <c r="T130" s="420"/>
      <c r="U130" s="421"/>
      <c r="V130" s="420"/>
      <c r="W130" s="362"/>
      <c r="X130" s="362"/>
      <c r="Y130" s="362"/>
      <c r="Z130" s="362"/>
    </row>
    <row r="131" spans="1:26" ht="15">
      <c r="A131" s="398"/>
      <c r="B131" s="398"/>
      <c r="C131" s="362"/>
      <c r="D131" s="400"/>
      <c r="E131" s="400"/>
      <c r="F131" s="400"/>
      <c r="G131" s="400"/>
      <c r="H131" s="400"/>
      <c r="J131" s="398"/>
      <c r="K131" s="398"/>
      <c r="L131" s="362"/>
      <c r="M131" s="400"/>
      <c r="N131" s="400"/>
      <c r="O131" s="400"/>
      <c r="P131" s="400"/>
      <c r="Q131" s="400"/>
      <c r="R131" s="337"/>
      <c r="S131" s="398"/>
      <c r="T131" s="398"/>
      <c r="U131" s="362"/>
      <c r="V131" s="400"/>
      <c r="W131" s="400"/>
      <c r="X131" s="400"/>
      <c r="Y131" s="400"/>
      <c r="Z131" s="400"/>
    </row>
    <row r="132" spans="1:26" ht="15">
      <c r="A132" s="362"/>
      <c r="B132" s="402"/>
      <c r="C132" s="362"/>
      <c r="D132" s="405"/>
      <c r="E132" s="400"/>
      <c r="F132" s="400"/>
      <c r="G132" s="400"/>
      <c r="H132" s="400"/>
      <c r="J132" s="362"/>
      <c r="K132" s="402"/>
      <c r="L132" s="362"/>
      <c r="M132" s="405"/>
      <c r="N132" s="400"/>
      <c r="O132" s="400"/>
      <c r="P132" s="400"/>
      <c r="Q132" s="400"/>
      <c r="R132" s="337"/>
      <c r="S132" s="362"/>
      <c r="T132" s="402"/>
      <c r="U132" s="362"/>
      <c r="V132" s="405"/>
      <c r="W132" s="400"/>
      <c r="X132" s="400"/>
      <c r="Y132" s="400"/>
      <c r="Z132" s="400"/>
    </row>
    <row r="133" spans="1:26" ht="15">
      <c r="A133" s="362"/>
      <c r="B133" s="402"/>
      <c r="C133" s="362"/>
      <c r="D133" s="405"/>
      <c r="E133" s="400"/>
      <c r="F133" s="400"/>
      <c r="G133" s="400"/>
      <c r="H133" s="400"/>
      <c r="J133" s="362"/>
      <c r="K133" s="402"/>
      <c r="L133" s="362"/>
      <c r="M133" s="405"/>
      <c r="N133" s="400"/>
      <c r="O133" s="406"/>
      <c r="P133" s="400"/>
      <c r="Q133" s="406"/>
      <c r="R133" s="337"/>
      <c r="S133" s="362"/>
      <c r="T133" s="402"/>
      <c r="U133" s="362"/>
      <c r="V133" s="405"/>
      <c r="W133" s="400"/>
      <c r="X133" s="400"/>
      <c r="Y133" s="400"/>
      <c r="Z133" s="400"/>
    </row>
    <row r="134" spans="1:26" ht="15">
      <c r="A134" s="396"/>
      <c r="B134" s="402"/>
      <c r="C134" s="362"/>
      <c r="D134" s="405"/>
      <c r="E134" s="400"/>
      <c r="F134" s="406"/>
      <c r="G134" s="400"/>
      <c r="H134" s="406"/>
      <c r="J134" s="396"/>
      <c r="K134" s="402"/>
      <c r="L134" s="362"/>
      <c r="M134" s="405"/>
      <c r="N134" s="400"/>
      <c r="O134" s="406"/>
      <c r="P134" s="400"/>
      <c r="Q134" s="406"/>
      <c r="R134" s="337"/>
      <c r="S134" s="396"/>
      <c r="T134" s="402"/>
      <c r="U134" s="362"/>
      <c r="V134" s="405"/>
      <c r="W134" s="400"/>
      <c r="X134" s="406"/>
      <c r="Y134" s="400"/>
      <c r="Z134" s="406"/>
    </row>
    <row r="135" spans="1:26" ht="15">
      <c r="A135" s="407"/>
      <c r="B135" s="402"/>
      <c r="C135" s="362"/>
      <c r="D135" s="400"/>
      <c r="E135" s="400"/>
      <c r="F135" s="406"/>
      <c r="G135" s="400"/>
      <c r="H135" s="406"/>
      <c r="J135" s="407"/>
      <c r="K135" s="402"/>
      <c r="L135" s="362"/>
      <c r="M135" s="400"/>
      <c r="N135" s="400"/>
      <c r="O135" s="406"/>
      <c r="P135" s="400"/>
      <c r="Q135" s="406"/>
      <c r="R135" s="337"/>
      <c r="S135" s="407"/>
      <c r="T135" s="402"/>
      <c r="U135" s="362"/>
      <c r="V135" s="400"/>
      <c r="W135" s="400"/>
      <c r="X135" s="406"/>
      <c r="Y135" s="400"/>
      <c r="Z135" s="406"/>
    </row>
    <row r="136" spans="1:26" ht="15">
      <c r="A136" s="362"/>
      <c r="B136" s="402"/>
      <c r="C136" s="362"/>
      <c r="D136" s="400"/>
      <c r="E136" s="400"/>
      <c r="F136" s="406"/>
      <c r="G136" s="400"/>
      <c r="H136" s="406"/>
      <c r="J136" s="362"/>
      <c r="K136" s="402"/>
      <c r="L136" s="362"/>
      <c r="M136" s="400"/>
      <c r="N136" s="400"/>
      <c r="O136" s="406"/>
      <c r="P136" s="400"/>
      <c r="Q136" s="406"/>
      <c r="R136" s="337"/>
      <c r="S136" s="362"/>
      <c r="T136" s="402"/>
      <c r="U136" s="362"/>
      <c r="V136" s="400"/>
      <c r="W136" s="400"/>
      <c r="X136" s="406"/>
      <c r="Y136" s="400"/>
      <c r="Z136" s="406"/>
    </row>
    <row r="137" spans="1:26" ht="15">
      <c r="A137" s="396"/>
      <c r="B137" s="402"/>
      <c r="C137" s="362"/>
      <c r="D137" s="400"/>
      <c r="E137" s="400"/>
      <c r="F137" s="406"/>
      <c r="G137" s="362"/>
      <c r="H137" s="406"/>
      <c r="J137" s="396"/>
      <c r="K137" s="402"/>
      <c r="L137" s="362"/>
      <c r="M137" s="400"/>
      <c r="N137" s="400"/>
      <c r="O137" s="406"/>
      <c r="P137" s="362"/>
      <c r="Q137" s="406"/>
      <c r="R137" s="337"/>
      <c r="S137" s="396"/>
      <c r="T137" s="402"/>
      <c r="U137" s="362"/>
      <c r="V137" s="400"/>
      <c r="W137" s="400"/>
      <c r="X137" s="406"/>
      <c r="Y137" s="362"/>
      <c r="Z137" s="406"/>
    </row>
    <row r="138" spans="1:26" ht="15">
      <c r="A138" s="407"/>
      <c r="B138" s="402"/>
      <c r="C138" s="362"/>
      <c r="D138" s="400"/>
      <c r="E138" s="362"/>
      <c r="F138" s="406"/>
      <c r="G138" s="362"/>
      <c r="H138" s="406"/>
      <c r="J138" s="407"/>
      <c r="K138" s="402"/>
      <c r="L138" s="362"/>
      <c r="M138" s="400"/>
      <c r="N138" s="362"/>
      <c r="O138" s="406"/>
      <c r="P138" s="362"/>
      <c r="Q138" s="406"/>
      <c r="R138" s="337"/>
      <c r="S138" s="407"/>
      <c r="T138" s="402"/>
      <c r="U138" s="362"/>
      <c r="V138" s="400"/>
      <c r="W138" s="362"/>
      <c r="X138" s="406"/>
      <c r="Y138" s="362"/>
      <c r="Z138" s="406"/>
    </row>
    <row r="139" spans="1:26" ht="15">
      <c r="A139" s="362"/>
      <c r="B139" s="402"/>
      <c r="C139" s="362"/>
      <c r="D139" s="400"/>
      <c r="E139" s="362"/>
      <c r="F139" s="406"/>
      <c r="G139" s="362"/>
      <c r="H139" s="406"/>
      <c r="J139" s="362"/>
      <c r="K139" s="402"/>
      <c r="L139" s="362"/>
      <c r="M139" s="400"/>
      <c r="N139" s="362"/>
      <c r="O139" s="406"/>
      <c r="P139" s="362"/>
      <c r="Q139" s="406"/>
      <c r="R139" s="337"/>
      <c r="S139" s="362"/>
      <c r="T139" s="402"/>
      <c r="U139" s="362"/>
      <c r="V139" s="400"/>
      <c r="W139" s="362"/>
      <c r="X139" s="406"/>
      <c r="Y139" s="362"/>
      <c r="Z139" s="406"/>
    </row>
    <row r="140" spans="1:26" ht="15">
      <c r="A140" s="337"/>
      <c r="B140" s="337"/>
      <c r="C140" s="360"/>
      <c r="D140" s="400"/>
      <c r="E140" s="362"/>
      <c r="F140" s="400"/>
      <c r="G140" s="408"/>
      <c r="H140" s="400"/>
      <c r="J140" s="337"/>
      <c r="K140" s="337"/>
      <c r="L140" s="360"/>
      <c r="M140" s="400"/>
      <c r="N140" s="362"/>
      <c r="O140" s="400"/>
      <c r="P140" s="408"/>
      <c r="Q140" s="400"/>
      <c r="R140" s="337"/>
      <c r="S140" s="337"/>
      <c r="T140" s="337"/>
      <c r="U140" s="360"/>
      <c r="V140" s="400"/>
      <c r="W140" s="362"/>
      <c r="X140" s="400"/>
      <c r="Y140" s="408"/>
      <c r="Z140" s="400"/>
    </row>
    <row r="141" spans="1:26" ht="15">
      <c r="A141" s="337"/>
      <c r="B141" s="337"/>
      <c r="C141" s="337"/>
      <c r="D141" s="337"/>
      <c r="E141" s="337"/>
      <c r="F141" s="337"/>
      <c r="G141" s="337"/>
      <c r="H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</row>
    <row r="142" spans="1:26" ht="15">
      <c r="A142" s="337"/>
      <c r="B142" s="337"/>
      <c r="C142" s="364"/>
      <c r="D142" s="365"/>
      <c r="E142" s="337"/>
      <c r="F142" s="337"/>
      <c r="G142" s="337"/>
      <c r="H142" s="337"/>
      <c r="J142" s="337"/>
      <c r="K142" s="337"/>
      <c r="L142" s="364"/>
      <c r="M142" s="365"/>
      <c r="N142" s="337"/>
      <c r="O142" s="337"/>
      <c r="P142" s="337"/>
      <c r="Q142" s="337"/>
      <c r="R142" s="337"/>
      <c r="S142" s="337"/>
      <c r="T142" s="337"/>
      <c r="U142" s="364"/>
      <c r="V142" s="365"/>
      <c r="W142" s="337"/>
      <c r="X142" s="337"/>
      <c r="Y142" s="337"/>
      <c r="Z142" s="337"/>
    </row>
    <row r="143" spans="1:26" ht="15">
      <c r="A143" s="337"/>
      <c r="B143" s="337"/>
      <c r="C143" s="364"/>
      <c r="D143" s="365"/>
      <c r="E143" s="337"/>
      <c r="F143" s="337"/>
      <c r="G143" s="337"/>
      <c r="H143" s="337"/>
      <c r="J143" s="337"/>
      <c r="K143" s="337"/>
      <c r="L143" s="364"/>
      <c r="M143" s="365"/>
      <c r="N143" s="337"/>
      <c r="O143" s="337"/>
      <c r="P143" s="337"/>
      <c r="Q143" s="337"/>
      <c r="R143" s="337"/>
      <c r="S143" s="337"/>
      <c r="T143" s="337"/>
      <c r="U143" s="364"/>
      <c r="V143" s="365"/>
      <c r="W143" s="337"/>
      <c r="X143" s="337"/>
      <c r="Y143" s="337"/>
      <c r="Z143" s="337"/>
    </row>
    <row r="144" spans="1:26" ht="15">
      <c r="A144" s="366"/>
      <c r="B144" s="337"/>
      <c r="C144" s="337"/>
      <c r="D144" s="337"/>
      <c r="E144" s="337"/>
      <c r="F144" s="337"/>
      <c r="G144" s="337"/>
      <c r="H144" s="337"/>
      <c r="J144" s="366"/>
      <c r="K144" s="337"/>
      <c r="L144" s="337"/>
      <c r="M144" s="337"/>
      <c r="N144" s="337"/>
      <c r="O144" s="337"/>
      <c r="P144" s="337"/>
      <c r="Q144" s="337"/>
      <c r="R144" s="337"/>
      <c r="S144" s="366"/>
      <c r="T144" s="337"/>
      <c r="U144" s="337"/>
      <c r="V144" s="337"/>
      <c r="W144" s="337"/>
      <c r="X144" s="337"/>
      <c r="Y144" s="337"/>
      <c r="Z144" s="337"/>
    </row>
    <row r="145" spans="1:26" ht="15">
      <c r="A145" s="337"/>
      <c r="B145" s="337"/>
      <c r="C145" s="337"/>
      <c r="D145" s="420"/>
      <c r="E145" s="420"/>
      <c r="F145" s="420"/>
      <c r="G145" s="420"/>
      <c r="H145" s="337"/>
      <c r="J145" s="337"/>
      <c r="K145" s="337"/>
      <c r="L145" s="337"/>
      <c r="M145" s="420"/>
      <c r="N145" s="420"/>
      <c r="O145" s="420"/>
      <c r="P145" s="420"/>
      <c r="Q145" s="337"/>
      <c r="R145" s="337"/>
      <c r="S145" s="337"/>
      <c r="T145" s="337"/>
      <c r="U145" s="337"/>
      <c r="V145" s="420"/>
      <c r="W145" s="420"/>
      <c r="X145" s="420"/>
      <c r="Y145" s="420"/>
      <c r="Z145" s="337"/>
    </row>
    <row r="146" spans="1:26" ht="33" customHeight="1">
      <c r="A146" s="337"/>
      <c r="B146" s="337"/>
      <c r="C146" s="337"/>
      <c r="D146" s="420"/>
      <c r="E146" s="420"/>
      <c r="F146" s="420"/>
      <c r="G146" s="420"/>
      <c r="H146" s="337"/>
      <c r="J146" s="337"/>
      <c r="K146" s="337"/>
      <c r="L146" s="337"/>
      <c r="M146" s="420"/>
      <c r="N146" s="420"/>
      <c r="O146" s="420"/>
      <c r="P146" s="420"/>
      <c r="Q146" s="337"/>
      <c r="R146" s="337"/>
      <c r="S146" s="337"/>
      <c r="T146" s="337"/>
      <c r="U146" s="337"/>
      <c r="V146" s="420"/>
      <c r="W146" s="420"/>
      <c r="X146" s="420"/>
      <c r="Y146" s="420"/>
      <c r="Z146" s="337"/>
    </row>
    <row r="147" spans="1:26" ht="15">
      <c r="A147" s="337"/>
      <c r="B147" s="337"/>
      <c r="C147" s="337"/>
      <c r="D147" s="362"/>
      <c r="E147" s="400"/>
      <c r="F147" s="418"/>
      <c r="G147" s="418"/>
      <c r="H147" s="337"/>
      <c r="J147" s="337"/>
      <c r="K147" s="337"/>
      <c r="L147" s="337"/>
      <c r="M147" s="362"/>
      <c r="N147" s="400"/>
      <c r="O147" s="418"/>
      <c r="P147" s="418"/>
      <c r="Q147" s="337"/>
      <c r="R147" s="337"/>
      <c r="S147" s="337"/>
      <c r="T147" s="337"/>
      <c r="U147" s="337"/>
      <c r="V147" s="362"/>
      <c r="W147" s="400"/>
      <c r="X147" s="418"/>
      <c r="Y147" s="418"/>
      <c r="Z147" s="337"/>
    </row>
    <row r="148" spans="1:26" ht="15">
      <c r="A148" s="367"/>
      <c r="B148" s="368"/>
      <c r="C148" s="337"/>
      <c r="D148" s="362"/>
      <c r="E148" s="400"/>
      <c r="F148" s="418"/>
      <c r="G148" s="418"/>
      <c r="H148" s="337"/>
      <c r="J148" s="367"/>
      <c r="K148" s="368"/>
      <c r="L148" s="337"/>
      <c r="M148" s="362"/>
      <c r="N148" s="400"/>
      <c r="O148" s="418"/>
      <c r="P148" s="418"/>
      <c r="Q148" s="337"/>
      <c r="R148" s="337"/>
      <c r="S148" s="367"/>
      <c r="T148" s="368"/>
      <c r="U148" s="337"/>
      <c r="V148" s="362"/>
      <c r="W148" s="400"/>
      <c r="X148" s="418"/>
      <c r="Y148" s="418"/>
      <c r="Z148" s="337"/>
    </row>
    <row r="149" spans="1:26" ht="15">
      <c r="A149" s="337"/>
      <c r="B149" s="337"/>
      <c r="C149" s="337"/>
      <c r="D149" s="362"/>
      <c r="E149" s="400"/>
      <c r="F149" s="418"/>
      <c r="G149" s="418"/>
      <c r="H149" s="337"/>
      <c r="J149" s="337"/>
      <c r="K149" s="337"/>
      <c r="L149" s="337"/>
      <c r="M149" s="362"/>
      <c r="N149" s="400"/>
      <c r="O149" s="418"/>
      <c r="P149" s="418"/>
      <c r="Q149" s="337"/>
      <c r="R149" s="337"/>
      <c r="S149" s="337"/>
      <c r="T149" s="337"/>
      <c r="U149" s="337"/>
      <c r="V149" s="362"/>
      <c r="W149" s="400"/>
      <c r="X149" s="418"/>
      <c r="Y149" s="418"/>
      <c r="Z149" s="337"/>
    </row>
    <row r="151" spans="1:26" ht="15">
      <c r="A151" s="336"/>
      <c r="B151" s="337"/>
      <c r="C151" s="338"/>
      <c r="E151" s="337"/>
      <c r="G151" s="337"/>
      <c r="H151" s="337"/>
      <c r="J151" s="336"/>
      <c r="K151" s="337"/>
      <c r="L151" s="338"/>
      <c r="N151" s="337"/>
      <c r="P151" s="337"/>
      <c r="Q151" s="337"/>
      <c r="R151" s="337"/>
      <c r="S151" s="336"/>
      <c r="T151" s="337"/>
      <c r="U151" s="338"/>
      <c r="W151" s="337"/>
      <c r="Y151" s="337"/>
      <c r="Z151" s="337"/>
    </row>
    <row r="152" spans="1:26" ht="15">
      <c r="A152" s="339"/>
      <c r="B152" s="419"/>
      <c r="C152" s="419"/>
      <c r="D152" s="419"/>
      <c r="E152" s="419"/>
      <c r="F152" s="419"/>
      <c r="G152" s="419"/>
      <c r="H152" s="337"/>
      <c r="J152" s="339"/>
      <c r="K152" s="419"/>
      <c r="L152" s="419"/>
      <c r="M152" s="419"/>
      <c r="N152" s="419"/>
      <c r="O152" s="419"/>
      <c r="P152" s="419"/>
      <c r="Q152" s="337"/>
      <c r="R152" s="337"/>
      <c r="S152" s="339"/>
      <c r="T152" s="419"/>
      <c r="U152" s="419"/>
      <c r="V152" s="419"/>
      <c r="W152" s="419"/>
      <c r="X152" s="419"/>
      <c r="Y152" s="419"/>
      <c r="Z152" s="337"/>
    </row>
    <row r="153" spans="1:26" ht="15">
      <c r="A153" s="340"/>
      <c r="B153" s="341"/>
      <c r="C153" s="337"/>
      <c r="D153" s="337"/>
      <c r="E153" s="337"/>
      <c r="F153" s="337"/>
      <c r="G153" s="337"/>
      <c r="H153" s="337"/>
      <c r="J153" s="340"/>
      <c r="K153" s="341"/>
      <c r="L153" s="337"/>
      <c r="M153" s="337"/>
      <c r="N153" s="337"/>
      <c r="O153" s="337"/>
      <c r="P153" s="337"/>
      <c r="Q153" s="337"/>
      <c r="R153" s="337"/>
      <c r="S153" s="340"/>
      <c r="T153" s="341"/>
      <c r="U153" s="337"/>
      <c r="V153" s="337"/>
      <c r="W153" s="337"/>
      <c r="X153" s="337"/>
      <c r="Y153" s="337"/>
      <c r="Z153" s="337"/>
    </row>
    <row r="154" spans="1:26" ht="15">
      <c r="A154" s="337"/>
      <c r="B154" s="337"/>
      <c r="C154" s="337"/>
      <c r="D154" s="337"/>
      <c r="E154" s="337"/>
      <c r="F154" s="337"/>
      <c r="G154" s="337"/>
      <c r="H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</row>
    <row r="155" spans="1:26" ht="15">
      <c r="A155" s="337"/>
      <c r="B155" s="394"/>
      <c r="C155" s="337"/>
      <c r="D155" s="337"/>
      <c r="E155" s="337"/>
      <c r="F155" s="362"/>
      <c r="G155" s="362"/>
      <c r="H155" s="337"/>
      <c r="J155" s="337"/>
      <c r="K155" s="394"/>
      <c r="L155" s="337"/>
      <c r="M155" s="337"/>
      <c r="N155" s="337"/>
      <c r="O155" s="362"/>
      <c r="P155" s="362"/>
      <c r="Q155" s="337"/>
      <c r="R155" s="337"/>
      <c r="S155" s="337"/>
      <c r="T155" s="394"/>
      <c r="U155" s="337"/>
      <c r="V155" s="337"/>
      <c r="W155" s="337"/>
      <c r="X155" s="362"/>
      <c r="Y155" s="362"/>
      <c r="Z155" s="337"/>
    </row>
    <row r="156" spans="1:26" ht="15">
      <c r="A156" s="337"/>
      <c r="B156" s="394"/>
      <c r="C156" s="337"/>
      <c r="D156" s="337"/>
      <c r="E156" s="362"/>
      <c r="F156" s="362"/>
      <c r="G156" s="395"/>
      <c r="H156" s="337"/>
      <c r="J156" s="337"/>
      <c r="K156" s="394"/>
      <c r="L156" s="337"/>
      <c r="M156" s="337"/>
      <c r="N156" s="362"/>
      <c r="O156" s="362"/>
      <c r="P156" s="395"/>
      <c r="Q156" s="337"/>
      <c r="R156" s="337"/>
      <c r="S156" s="337"/>
      <c r="T156" s="394"/>
      <c r="U156" s="337"/>
      <c r="V156" s="337"/>
      <c r="W156" s="362"/>
      <c r="X156" s="362"/>
      <c r="Y156" s="395"/>
      <c r="Z156" s="337"/>
    </row>
    <row r="157" spans="1:26" ht="15">
      <c r="A157" s="337"/>
      <c r="B157" s="394"/>
      <c r="C157" s="337"/>
      <c r="D157" s="337"/>
      <c r="E157" s="362"/>
      <c r="F157" s="362"/>
      <c r="G157" s="395"/>
      <c r="H157" s="337"/>
      <c r="J157" s="337"/>
      <c r="K157" s="394"/>
      <c r="L157" s="337"/>
      <c r="M157" s="337"/>
      <c r="N157" s="362"/>
      <c r="O157" s="362"/>
      <c r="P157" s="395"/>
      <c r="Q157" s="337"/>
      <c r="R157" s="337"/>
      <c r="S157" s="337"/>
      <c r="T157" s="394"/>
      <c r="U157" s="337"/>
      <c r="V157" s="337"/>
      <c r="W157" s="362"/>
      <c r="X157" s="362"/>
      <c r="Y157" s="395"/>
      <c r="Z157" s="337"/>
    </row>
    <row r="158" spans="1:26" ht="15">
      <c r="A158" s="337"/>
      <c r="B158" s="337"/>
      <c r="C158" s="337"/>
      <c r="D158" s="337"/>
      <c r="E158" s="337"/>
      <c r="F158" s="337"/>
      <c r="G158" s="337"/>
      <c r="H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</row>
    <row r="159" spans="1:26" ht="15">
      <c r="A159" s="420"/>
      <c r="B159" s="420"/>
      <c r="C159" s="421"/>
      <c r="D159" s="420"/>
      <c r="E159" s="396"/>
      <c r="F159" s="397"/>
      <c r="G159" s="422"/>
      <c r="H159" s="422"/>
      <c r="J159" s="420"/>
      <c r="K159" s="420"/>
      <c r="L159" s="421"/>
      <c r="M159" s="420"/>
      <c r="N159" s="396"/>
      <c r="O159" s="397"/>
      <c r="P159" s="422"/>
      <c r="Q159" s="422"/>
      <c r="R159" s="337"/>
      <c r="S159" s="420"/>
      <c r="T159" s="420"/>
      <c r="U159" s="421"/>
      <c r="V159" s="420"/>
      <c r="W159" s="396"/>
      <c r="X159" s="397"/>
      <c r="Y159" s="422"/>
      <c r="Z159" s="422"/>
    </row>
    <row r="160" spans="1:26" ht="15">
      <c r="A160" s="420"/>
      <c r="B160" s="420"/>
      <c r="C160" s="421"/>
      <c r="D160" s="420"/>
      <c r="E160" s="362"/>
      <c r="F160" s="362"/>
      <c r="G160" s="362"/>
      <c r="H160" s="362"/>
      <c r="J160" s="420"/>
      <c r="K160" s="420"/>
      <c r="L160" s="421"/>
      <c r="M160" s="420"/>
      <c r="N160" s="362"/>
      <c r="O160" s="362"/>
      <c r="P160" s="362"/>
      <c r="Q160" s="362"/>
      <c r="R160" s="337"/>
      <c r="S160" s="420"/>
      <c r="T160" s="420"/>
      <c r="U160" s="421"/>
      <c r="V160" s="420"/>
      <c r="W160" s="362"/>
      <c r="X160" s="362"/>
      <c r="Y160" s="362"/>
      <c r="Z160" s="362"/>
    </row>
    <row r="161" spans="1:26" ht="15">
      <c r="A161" s="398"/>
      <c r="B161" s="398"/>
      <c r="C161" s="362"/>
      <c r="D161" s="400"/>
      <c r="E161" s="400"/>
      <c r="F161" s="400"/>
      <c r="G161" s="400"/>
      <c r="H161" s="400"/>
      <c r="J161" s="398"/>
      <c r="K161" s="398"/>
      <c r="L161" s="362"/>
      <c r="M161" s="400"/>
      <c r="N161" s="400"/>
      <c r="O161" s="400"/>
      <c r="P161" s="400"/>
      <c r="Q161" s="400"/>
      <c r="R161" s="337"/>
      <c r="S161" s="398"/>
      <c r="T161" s="398"/>
      <c r="U161" s="362"/>
      <c r="V161" s="400"/>
      <c r="W161" s="400"/>
      <c r="X161" s="400"/>
      <c r="Y161" s="400"/>
      <c r="Z161" s="400"/>
    </row>
    <row r="162" spans="1:26" ht="15">
      <c r="A162" s="362"/>
      <c r="B162" s="402"/>
      <c r="C162" s="362"/>
      <c r="D162" s="405"/>
      <c r="E162" s="400"/>
      <c r="F162" s="400"/>
      <c r="G162" s="400"/>
      <c r="H162" s="400"/>
      <c r="J162" s="362"/>
      <c r="K162" s="402"/>
      <c r="L162" s="362"/>
      <c r="M162" s="405"/>
      <c r="N162" s="400"/>
      <c r="O162" s="400"/>
      <c r="P162" s="400"/>
      <c r="Q162" s="400"/>
      <c r="R162" s="337"/>
      <c r="S162" s="362"/>
      <c r="T162" s="402"/>
      <c r="U162" s="362"/>
      <c r="V162" s="405"/>
      <c r="W162" s="400"/>
      <c r="X162" s="400"/>
      <c r="Y162" s="400"/>
      <c r="Z162" s="400"/>
    </row>
    <row r="163" spans="1:26" ht="15">
      <c r="A163" s="362"/>
      <c r="B163" s="402"/>
      <c r="C163" s="362"/>
      <c r="D163" s="405"/>
      <c r="E163" s="400"/>
      <c r="F163" s="400"/>
      <c r="G163" s="400"/>
      <c r="H163" s="400"/>
      <c r="J163" s="362"/>
      <c r="K163" s="402"/>
      <c r="L163" s="362"/>
      <c r="M163" s="405"/>
      <c r="N163" s="400"/>
      <c r="O163" s="400"/>
      <c r="P163" s="400"/>
      <c r="Q163" s="400"/>
      <c r="R163" s="337"/>
      <c r="S163" s="362"/>
      <c r="T163" s="402"/>
      <c r="U163" s="362"/>
      <c r="V163" s="405"/>
      <c r="W163" s="400"/>
      <c r="X163" s="406"/>
      <c r="Y163" s="400"/>
      <c r="Z163" s="406"/>
    </row>
    <row r="164" spans="1:26" ht="15">
      <c r="A164" s="396"/>
      <c r="B164" s="402"/>
      <c r="C164" s="362"/>
      <c r="D164" s="405"/>
      <c r="E164" s="400"/>
      <c r="F164" s="406"/>
      <c r="G164" s="400"/>
      <c r="H164" s="406"/>
      <c r="J164" s="396"/>
      <c r="K164" s="402"/>
      <c r="L164" s="362"/>
      <c r="M164" s="405"/>
      <c r="N164" s="400"/>
      <c r="O164" s="406"/>
      <c r="P164" s="400"/>
      <c r="Q164" s="406"/>
      <c r="R164" s="337"/>
      <c r="S164" s="396"/>
      <c r="T164" s="402"/>
      <c r="U164" s="362"/>
      <c r="V164" s="405"/>
      <c r="W164" s="400"/>
      <c r="X164" s="406"/>
      <c r="Y164" s="400"/>
      <c r="Z164" s="406"/>
    </row>
    <row r="165" spans="1:26" ht="15">
      <c r="A165" s="407"/>
      <c r="B165" s="402"/>
      <c r="C165" s="362"/>
      <c r="D165" s="400"/>
      <c r="E165" s="400"/>
      <c r="F165" s="406"/>
      <c r="G165" s="400"/>
      <c r="H165" s="406"/>
      <c r="J165" s="407"/>
      <c r="K165" s="402"/>
      <c r="L165" s="362"/>
      <c r="M165" s="400"/>
      <c r="N165" s="400"/>
      <c r="O165" s="406"/>
      <c r="P165" s="400"/>
      <c r="Q165" s="406"/>
      <c r="R165" s="337"/>
      <c r="S165" s="407"/>
      <c r="T165" s="402"/>
      <c r="U165" s="362"/>
      <c r="V165" s="400"/>
      <c r="W165" s="400"/>
      <c r="X165" s="406"/>
      <c r="Y165" s="400"/>
      <c r="Z165" s="406"/>
    </row>
    <row r="166" spans="1:26" ht="15">
      <c r="A166" s="362"/>
      <c r="B166" s="402"/>
      <c r="C166" s="362"/>
      <c r="D166" s="400"/>
      <c r="E166" s="400"/>
      <c r="F166" s="406"/>
      <c r="G166" s="400"/>
      <c r="H166" s="406"/>
      <c r="J166" s="362"/>
      <c r="K166" s="402"/>
      <c r="L166" s="362"/>
      <c r="M166" s="400"/>
      <c r="N166" s="400"/>
      <c r="O166" s="406"/>
      <c r="P166" s="400"/>
      <c r="Q166" s="406"/>
      <c r="R166" s="337"/>
      <c r="S166" s="362"/>
      <c r="T166" s="402"/>
      <c r="U166" s="362"/>
      <c r="V166" s="400"/>
      <c r="W166" s="400"/>
      <c r="X166" s="406"/>
      <c r="Y166" s="400"/>
      <c r="Z166" s="406"/>
    </row>
    <row r="167" spans="1:26" ht="15">
      <c r="A167" s="396"/>
      <c r="B167" s="402"/>
      <c r="C167" s="362"/>
      <c r="D167" s="400"/>
      <c r="E167" s="400"/>
      <c r="F167" s="406"/>
      <c r="G167" s="362"/>
      <c r="H167" s="406"/>
      <c r="J167" s="396"/>
      <c r="K167" s="402"/>
      <c r="L167" s="362"/>
      <c r="M167" s="400"/>
      <c r="N167" s="400"/>
      <c r="O167" s="406"/>
      <c r="P167" s="362"/>
      <c r="Q167" s="406"/>
      <c r="R167" s="337"/>
      <c r="S167" s="396"/>
      <c r="T167" s="402"/>
      <c r="U167" s="362"/>
      <c r="V167" s="400"/>
      <c r="W167" s="400"/>
      <c r="X167" s="406"/>
      <c r="Y167" s="362"/>
      <c r="Z167" s="406"/>
    </row>
    <row r="168" spans="1:26" ht="15">
      <c r="A168" s="407"/>
      <c r="B168" s="402"/>
      <c r="C168" s="362"/>
      <c r="D168" s="400"/>
      <c r="E168" s="362"/>
      <c r="F168" s="406"/>
      <c r="G168" s="362"/>
      <c r="H168" s="406"/>
      <c r="J168" s="407"/>
      <c r="K168" s="402"/>
      <c r="L168" s="362"/>
      <c r="M168" s="400"/>
      <c r="N168" s="362"/>
      <c r="O168" s="406"/>
      <c r="P168" s="362"/>
      <c r="Q168" s="406"/>
      <c r="R168" s="337"/>
      <c r="S168" s="407"/>
      <c r="T168" s="402"/>
      <c r="U168" s="362"/>
      <c r="V168" s="400"/>
      <c r="W168" s="362"/>
      <c r="X168" s="406"/>
      <c r="Y168" s="362"/>
      <c r="Z168" s="406"/>
    </row>
    <row r="169" spans="1:26" ht="15">
      <c r="A169" s="362"/>
      <c r="B169" s="402"/>
      <c r="C169" s="362"/>
      <c r="D169" s="400"/>
      <c r="E169" s="362"/>
      <c r="F169" s="406"/>
      <c r="G169" s="362"/>
      <c r="H169" s="406"/>
      <c r="J169" s="362"/>
      <c r="K169" s="402"/>
      <c r="L169" s="362"/>
      <c r="M169" s="400"/>
      <c r="N169" s="362"/>
      <c r="O169" s="406"/>
      <c r="P169" s="362"/>
      <c r="Q169" s="406"/>
      <c r="R169" s="337"/>
      <c r="S169" s="362"/>
      <c r="T169" s="402"/>
      <c r="U169" s="362"/>
      <c r="V169" s="400"/>
      <c r="W169" s="362"/>
      <c r="X169" s="406"/>
      <c r="Y169" s="362"/>
      <c r="Z169" s="406"/>
    </row>
    <row r="170" spans="1:26" ht="15">
      <c r="A170" s="337"/>
      <c r="B170" s="337"/>
      <c r="C170" s="360"/>
      <c r="D170" s="400"/>
      <c r="E170" s="362"/>
      <c r="F170" s="400"/>
      <c r="G170" s="408"/>
      <c r="H170" s="400"/>
      <c r="J170" s="337"/>
      <c r="K170" s="337"/>
      <c r="L170" s="360"/>
      <c r="M170" s="400"/>
      <c r="N170" s="362"/>
      <c r="O170" s="400"/>
      <c r="P170" s="408"/>
      <c r="Q170" s="400"/>
      <c r="R170" s="337"/>
      <c r="S170" s="337"/>
      <c r="T170" s="337"/>
      <c r="U170" s="360"/>
      <c r="V170" s="400"/>
      <c r="W170" s="362"/>
      <c r="X170" s="400"/>
      <c r="Y170" s="408"/>
      <c r="Z170" s="400"/>
    </row>
    <row r="171" spans="1:26" ht="15">
      <c r="A171" s="337"/>
      <c r="B171" s="337"/>
      <c r="C171" s="337"/>
      <c r="D171" s="337"/>
      <c r="E171" s="337"/>
      <c r="F171" s="337"/>
      <c r="G171" s="337"/>
      <c r="H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</row>
    <row r="172" spans="1:26" ht="15">
      <c r="A172" s="337"/>
      <c r="B172" s="337"/>
      <c r="C172" s="364"/>
      <c r="D172" s="365"/>
      <c r="E172" s="337"/>
      <c r="F172" s="337"/>
      <c r="G172" s="337"/>
      <c r="H172" s="337"/>
      <c r="J172" s="337"/>
      <c r="K172" s="337"/>
      <c r="L172" s="364"/>
      <c r="M172" s="365"/>
      <c r="N172" s="337"/>
      <c r="O172" s="337"/>
      <c r="P172" s="337"/>
      <c r="Q172" s="337"/>
      <c r="R172" s="337"/>
      <c r="S172" s="337"/>
      <c r="T172" s="337"/>
      <c r="U172" s="364"/>
      <c r="V172" s="365"/>
      <c r="W172" s="337"/>
      <c r="X172" s="337"/>
      <c r="Y172" s="337"/>
      <c r="Z172" s="337"/>
    </row>
    <row r="173" spans="1:26" ht="15">
      <c r="A173" s="337"/>
      <c r="B173" s="337"/>
      <c r="C173" s="364"/>
      <c r="D173" s="365"/>
      <c r="E173" s="337"/>
      <c r="F173" s="337"/>
      <c r="G173" s="337"/>
      <c r="H173" s="337"/>
      <c r="J173" s="337"/>
      <c r="K173" s="337"/>
      <c r="L173" s="364"/>
      <c r="M173" s="365"/>
      <c r="N173" s="337"/>
      <c r="O173" s="337"/>
      <c r="P173" s="337"/>
      <c r="Q173" s="337"/>
      <c r="R173" s="337"/>
      <c r="S173" s="337"/>
      <c r="T173" s="337"/>
      <c r="U173" s="364"/>
      <c r="V173" s="365"/>
      <c r="W173" s="337"/>
      <c r="X173" s="337"/>
      <c r="Y173" s="337"/>
      <c r="Z173" s="337"/>
    </row>
    <row r="174" spans="1:26" ht="15">
      <c r="A174" s="366"/>
      <c r="B174" s="337"/>
      <c r="C174" s="337"/>
      <c r="D174" s="337"/>
      <c r="E174" s="337"/>
      <c r="F174" s="337"/>
      <c r="G174" s="337"/>
      <c r="H174" s="337"/>
      <c r="J174" s="366"/>
      <c r="K174" s="337"/>
      <c r="L174" s="337"/>
      <c r="M174" s="337"/>
      <c r="N174" s="337"/>
      <c r="O174" s="337"/>
      <c r="P174" s="337"/>
      <c r="Q174" s="337"/>
      <c r="R174" s="337"/>
      <c r="S174" s="366"/>
      <c r="T174" s="337"/>
      <c r="U174" s="337"/>
      <c r="V174" s="337"/>
      <c r="W174" s="337"/>
      <c r="X174" s="337"/>
      <c r="Y174" s="337"/>
      <c r="Z174" s="337"/>
    </row>
    <row r="175" spans="1:26" ht="15">
      <c r="A175" s="337"/>
      <c r="B175" s="337"/>
      <c r="C175" s="337"/>
      <c r="D175" s="420"/>
      <c r="E175" s="420"/>
      <c r="F175" s="420"/>
      <c r="G175" s="420"/>
      <c r="H175" s="337"/>
      <c r="J175" s="337"/>
      <c r="K175" s="337"/>
      <c r="L175" s="337"/>
      <c r="M175" s="420"/>
      <c r="N175" s="420"/>
      <c r="O175" s="420"/>
      <c r="P175" s="420"/>
      <c r="Q175" s="337"/>
      <c r="R175" s="337"/>
      <c r="S175" s="337"/>
      <c r="T175" s="337"/>
      <c r="U175" s="337"/>
      <c r="V175" s="420"/>
      <c r="W175" s="420"/>
      <c r="X175" s="420"/>
      <c r="Y175" s="420"/>
      <c r="Z175" s="337"/>
    </row>
    <row r="176" spans="1:26" ht="30" customHeight="1">
      <c r="A176" s="337"/>
      <c r="B176" s="337"/>
      <c r="C176" s="337"/>
      <c r="D176" s="420"/>
      <c r="E176" s="420"/>
      <c r="F176" s="420"/>
      <c r="G176" s="420"/>
      <c r="H176" s="337"/>
      <c r="J176" s="337"/>
      <c r="K176" s="337"/>
      <c r="L176" s="337"/>
      <c r="M176" s="420"/>
      <c r="N176" s="420"/>
      <c r="O176" s="420"/>
      <c r="P176" s="420"/>
      <c r="Q176" s="337"/>
      <c r="R176" s="337"/>
      <c r="S176" s="337"/>
      <c r="T176" s="337"/>
      <c r="U176" s="337"/>
      <c r="V176" s="420"/>
      <c r="W176" s="420"/>
      <c r="X176" s="420"/>
      <c r="Y176" s="420"/>
      <c r="Z176" s="337"/>
    </row>
    <row r="177" spans="1:26" ht="15">
      <c r="A177" s="337"/>
      <c r="B177" s="337"/>
      <c r="C177" s="337"/>
      <c r="D177" s="362"/>
      <c r="E177" s="400"/>
      <c r="F177" s="418"/>
      <c r="G177" s="418"/>
      <c r="H177" s="337"/>
      <c r="J177" s="337"/>
      <c r="K177" s="337"/>
      <c r="L177" s="337"/>
      <c r="M177" s="362"/>
      <c r="N177" s="400"/>
      <c r="O177" s="418"/>
      <c r="P177" s="418"/>
      <c r="Q177" s="337"/>
      <c r="R177" s="337"/>
      <c r="S177" s="337"/>
      <c r="T177" s="337"/>
      <c r="U177" s="337"/>
      <c r="V177" s="362"/>
      <c r="W177" s="400"/>
      <c r="X177" s="418"/>
      <c r="Y177" s="418"/>
      <c r="Z177" s="337"/>
    </row>
    <row r="178" spans="1:26" ht="15">
      <c r="A178" s="367"/>
      <c r="B178" s="368"/>
      <c r="C178" s="337"/>
      <c r="D178" s="362"/>
      <c r="E178" s="400"/>
      <c r="F178" s="418"/>
      <c r="G178" s="418"/>
      <c r="H178" s="337"/>
      <c r="J178" s="367"/>
      <c r="K178" s="368"/>
      <c r="L178" s="337"/>
      <c r="M178" s="362"/>
      <c r="N178" s="400"/>
      <c r="O178" s="418"/>
      <c r="P178" s="418"/>
      <c r="Q178" s="337"/>
      <c r="R178" s="337"/>
      <c r="S178" s="367"/>
      <c r="T178" s="368"/>
      <c r="U178" s="337"/>
      <c r="V178" s="362"/>
      <c r="W178" s="400"/>
      <c r="X178" s="418"/>
      <c r="Y178" s="418"/>
      <c r="Z178" s="337"/>
    </row>
    <row r="179" spans="1:26" ht="15">
      <c r="A179" s="337"/>
      <c r="B179" s="337"/>
      <c r="C179" s="337"/>
      <c r="D179" s="362"/>
      <c r="E179" s="400"/>
      <c r="F179" s="418"/>
      <c r="G179" s="418"/>
      <c r="H179" s="337"/>
      <c r="J179" s="337"/>
      <c r="K179" s="337"/>
      <c r="L179" s="337"/>
      <c r="M179" s="362"/>
      <c r="N179" s="400"/>
      <c r="O179" s="418"/>
      <c r="P179" s="418"/>
      <c r="Q179" s="337"/>
      <c r="R179" s="337"/>
      <c r="S179" s="337"/>
      <c r="T179" s="337"/>
      <c r="U179" s="337"/>
      <c r="V179" s="362"/>
      <c r="W179" s="400"/>
      <c r="X179" s="418"/>
      <c r="Y179" s="418"/>
      <c r="Z179" s="337"/>
    </row>
    <row r="180" spans="1:26" ht="15">
      <c r="A180" s="336"/>
      <c r="B180" s="337"/>
      <c r="C180" s="338"/>
      <c r="E180" s="337"/>
      <c r="G180" s="337"/>
      <c r="H180" s="337"/>
      <c r="J180" s="336"/>
      <c r="K180" s="337"/>
      <c r="L180" s="338"/>
      <c r="N180" s="337"/>
      <c r="P180" s="337"/>
      <c r="Q180" s="337"/>
      <c r="S180" s="336"/>
      <c r="T180" s="337"/>
      <c r="U180" s="338"/>
      <c r="W180" s="337"/>
      <c r="Y180" s="337"/>
      <c r="Z180" s="337"/>
    </row>
    <row r="181" spans="1:26" ht="15">
      <c r="A181" s="339"/>
      <c r="B181" s="419"/>
      <c r="C181" s="419"/>
      <c r="D181" s="419"/>
      <c r="E181" s="419"/>
      <c r="F181" s="419"/>
      <c r="G181" s="419"/>
      <c r="H181" s="337"/>
      <c r="J181" s="339"/>
      <c r="K181" s="419"/>
      <c r="L181" s="419"/>
      <c r="M181" s="419"/>
      <c r="N181" s="419"/>
      <c r="O181" s="419"/>
      <c r="P181" s="419"/>
      <c r="Q181" s="337"/>
      <c r="S181" s="339"/>
      <c r="T181" s="419"/>
      <c r="U181" s="419"/>
      <c r="V181" s="419"/>
      <c r="W181" s="419"/>
      <c r="X181" s="419"/>
      <c r="Y181" s="419"/>
      <c r="Z181" s="337"/>
    </row>
    <row r="182" spans="1:26" ht="15">
      <c r="A182" s="340"/>
      <c r="B182" s="341"/>
      <c r="C182" s="337"/>
      <c r="D182" s="337"/>
      <c r="E182" s="337"/>
      <c r="F182" s="337"/>
      <c r="G182" s="337"/>
      <c r="H182" s="337"/>
      <c r="J182" s="340"/>
      <c r="K182" s="341"/>
      <c r="L182" s="337"/>
      <c r="M182" s="337"/>
      <c r="N182" s="337"/>
      <c r="O182" s="337"/>
      <c r="P182" s="337"/>
      <c r="Q182" s="337"/>
      <c r="S182" s="340"/>
      <c r="T182" s="341"/>
      <c r="U182" s="337"/>
      <c r="V182" s="337"/>
      <c r="W182" s="337"/>
      <c r="X182" s="337"/>
      <c r="Y182" s="337"/>
      <c r="Z182" s="337"/>
    </row>
    <row r="183" spans="1:26" ht="15">
      <c r="A183" s="337"/>
      <c r="B183" s="337"/>
      <c r="C183" s="337"/>
      <c r="D183" s="337"/>
      <c r="E183" s="337"/>
      <c r="F183" s="337"/>
      <c r="G183" s="337"/>
      <c r="H183" s="337"/>
      <c r="J183" s="337"/>
      <c r="K183" s="337"/>
      <c r="L183" s="337"/>
      <c r="M183" s="337"/>
      <c r="N183" s="337"/>
      <c r="O183" s="337"/>
      <c r="P183" s="337"/>
      <c r="Q183" s="337"/>
      <c r="S183" s="337"/>
      <c r="T183" s="337"/>
      <c r="U183" s="337"/>
      <c r="V183" s="337"/>
      <c r="W183" s="337"/>
      <c r="X183" s="337"/>
      <c r="Y183" s="337"/>
      <c r="Z183" s="337"/>
    </row>
    <row r="184" spans="1:26" ht="15">
      <c r="A184" s="337"/>
      <c r="B184" s="394"/>
      <c r="C184" s="337"/>
      <c r="D184" s="337"/>
      <c r="E184" s="337"/>
      <c r="F184" s="362"/>
      <c r="G184" s="362"/>
      <c r="H184" s="337"/>
      <c r="J184" s="337"/>
      <c r="K184" s="394"/>
      <c r="L184" s="337"/>
      <c r="M184" s="337"/>
      <c r="N184" s="337"/>
      <c r="O184" s="362"/>
      <c r="P184" s="362"/>
      <c r="Q184" s="337"/>
      <c r="S184" s="337"/>
      <c r="T184" s="394"/>
      <c r="U184" s="337"/>
      <c r="V184" s="337"/>
      <c r="W184" s="337"/>
      <c r="X184" s="362"/>
      <c r="Y184" s="362"/>
      <c r="Z184" s="337"/>
    </row>
    <row r="185" spans="1:26" ht="15">
      <c r="A185" s="337"/>
      <c r="B185" s="394"/>
      <c r="C185" s="337"/>
      <c r="D185" s="337"/>
      <c r="E185" s="362"/>
      <c r="F185" s="362"/>
      <c r="G185" s="395"/>
      <c r="H185" s="337"/>
      <c r="J185" s="337"/>
      <c r="K185" s="394"/>
      <c r="L185" s="337"/>
      <c r="M185" s="337"/>
      <c r="N185" s="362"/>
      <c r="O185" s="362"/>
      <c r="P185" s="395"/>
      <c r="Q185" s="337"/>
      <c r="S185" s="337"/>
      <c r="T185" s="394"/>
      <c r="U185" s="337"/>
      <c r="V185" s="337"/>
      <c r="W185" s="362"/>
      <c r="X185" s="362"/>
      <c r="Y185" s="395"/>
      <c r="Z185" s="337"/>
    </row>
    <row r="186" spans="1:26" ht="15">
      <c r="A186" s="337"/>
      <c r="B186" s="394"/>
      <c r="C186" s="337"/>
      <c r="D186" s="337"/>
      <c r="E186" s="362"/>
      <c r="F186" s="362"/>
      <c r="G186" s="395"/>
      <c r="H186" s="337"/>
      <c r="J186" s="337"/>
      <c r="K186" s="394"/>
      <c r="L186" s="337"/>
      <c r="M186" s="337"/>
      <c r="N186" s="362"/>
      <c r="O186" s="362"/>
      <c r="P186" s="395"/>
      <c r="Q186" s="337"/>
      <c r="S186" s="337"/>
      <c r="T186" s="394"/>
      <c r="U186" s="337"/>
      <c r="V186" s="337"/>
      <c r="W186" s="362"/>
      <c r="X186" s="362"/>
      <c r="Y186" s="395"/>
      <c r="Z186" s="337"/>
    </row>
    <row r="187" spans="1:26" ht="15">
      <c r="A187" s="337"/>
      <c r="B187" s="337"/>
      <c r="C187" s="337"/>
      <c r="D187" s="337"/>
      <c r="E187" s="337"/>
      <c r="F187" s="337"/>
      <c r="G187" s="337"/>
      <c r="H187" s="337"/>
      <c r="J187" s="337"/>
      <c r="K187" s="337"/>
      <c r="L187" s="337"/>
      <c r="M187" s="337"/>
      <c r="N187" s="337"/>
      <c r="O187" s="337"/>
      <c r="P187" s="337"/>
      <c r="Q187" s="337"/>
      <c r="S187" s="337"/>
      <c r="T187" s="337"/>
      <c r="U187" s="337"/>
      <c r="V187" s="337"/>
      <c r="W187" s="337"/>
      <c r="X187" s="337"/>
      <c r="Y187" s="337"/>
      <c r="Z187" s="337"/>
    </row>
    <row r="188" spans="1:26" ht="15">
      <c r="A188" s="420"/>
      <c r="B188" s="420"/>
      <c r="C188" s="421"/>
      <c r="D188" s="420"/>
      <c r="E188" s="396"/>
      <c r="F188" s="397"/>
      <c r="G188" s="422"/>
      <c r="H188" s="422"/>
      <c r="J188" s="420"/>
      <c r="K188" s="420"/>
      <c r="L188" s="421"/>
      <c r="M188" s="420"/>
      <c r="N188" s="396"/>
      <c r="O188" s="397"/>
      <c r="P188" s="422"/>
      <c r="Q188" s="422"/>
      <c r="S188" s="420"/>
      <c r="T188" s="420"/>
      <c r="U188" s="421"/>
      <c r="V188" s="420"/>
      <c r="W188" s="396"/>
      <c r="X188" s="397"/>
      <c r="Y188" s="422"/>
      <c r="Z188" s="422"/>
    </row>
    <row r="189" spans="1:26" ht="15">
      <c r="A189" s="420"/>
      <c r="B189" s="420"/>
      <c r="C189" s="421"/>
      <c r="D189" s="420"/>
      <c r="E189" s="362"/>
      <c r="F189" s="362"/>
      <c r="G189" s="362"/>
      <c r="H189" s="362"/>
      <c r="J189" s="420"/>
      <c r="K189" s="420"/>
      <c r="L189" s="421"/>
      <c r="M189" s="420"/>
      <c r="N189" s="362"/>
      <c r="O189" s="362"/>
      <c r="P189" s="362"/>
      <c r="Q189" s="362"/>
      <c r="S189" s="420"/>
      <c r="T189" s="420"/>
      <c r="U189" s="421"/>
      <c r="V189" s="420"/>
      <c r="W189" s="362"/>
      <c r="X189" s="362"/>
      <c r="Y189" s="362"/>
      <c r="Z189" s="362"/>
    </row>
    <row r="190" spans="1:26" ht="15">
      <c r="A190" s="398"/>
      <c r="B190" s="398"/>
      <c r="C190" s="362"/>
      <c r="D190" s="400"/>
      <c r="E190" s="400"/>
      <c r="F190" s="400"/>
      <c r="G190" s="400"/>
      <c r="H190" s="400"/>
      <c r="J190" s="398"/>
      <c r="K190" s="398"/>
      <c r="L190" s="362"/>
      <c r="M190" s="400"/>
      <c r="N190" s="400"/>
      <c r="O190" s="400"/>
      <c r="P190" s="400"/>
      <c r="Q190" s="400"/>
      <c r="S190" s="398"/>
      <c r="T190" s="398"/>
      <c r="U190" s="362"/>
      <c r="V190" s="400"/>
      <c r="W190" s="400"/>
      <c r="X190" s="400"/>
      <c r="Y190" s="400"/>
      <c r="Z190" s="400"/>
    </row>
    <row r="191" spans="1:26" ht="15">
      <c r="A191" s="362"/>
      <c r="B191" s="402"/>
      <c r="C191" s="362"/>
      <c r="D191" s="405"/>
      <c r="E191" s="400"/>
      <c r="F191" s="400"/>
      <c r="G191" s="400"/>
      <c r="H191" s="400"/>
      <c r="J191" s="362"/>
      <c r="K191" s="402"/>
      <c r="L191" s="362"/>
      <c r="M191" s="405"/>
      <c r="N191" s="400"/>
      <c r="O191" s="400"/>
      <c r="P191" s="400"/>
      <c r="Q191" s="400"/>
      <c r="S191" s="362"/>
      <c r="T191" s="402"/>
      <c r="U191" s="362"/>
      <c r="V191" s="405"/>
      <c r="W191" s="400"/>
      <c r="X191" s="400"/>
      <c r="Y191" s="400"/>
      <c r="Z191" s="400"/>
    </row>
    <row r="192" spans="1:26" ht="15">
      <c r="A192" s="362"/>
      <c r="B192" s="402"/>
      <c r="C192" s="362"/>
      <c r="D192" s="405"/>
      <c r="E192" s="400"/>
      <c r="F192" s="400"/>
      <c r="G192" s="400"/>
      <c r="H192" s="400"/>
      <c r="J192" s="362"/>
      <c r="K192" s="402"/>
      <c r="L192" s="362"/>
      <c r="M192" s="405"/>
      <c r="N192" s="400"/>
      <c r="O192" s="400"/>
      <c r="P192" s="400"/>
      <c r="Q192" s="400"/>
      <c r="S192" s="362"/>
      <c r="T192" s="402"/>
      <c r="U192" s="362"/>
      <c r="V192" s="405"/>
      <c r="W192" s="400"/>
      <c r="X192" s="400"/>
      <c r="Y192" s="400"/>
      <c r="Z192" s="400"/>
    </row>
    <row r="193" spans="1:26" ht="15">
      <c r="A193" s="396"/>
      <c r="B193" s="402"/>
      <c r="C193" s="362"/>
      <c r="D193" s="405"/>
      <c r="E193" s="400"/>
      <c r="F193" s="406"/>
      <c r="G193" s="400"/>
      <c r="H193" s="406"/>
      <c r="J193" s="396"/>
      <c r="K193" s="402"/>
      <c r="L193" s="362"/>
      <c r="M193" s="405"/>
      <c r="N193" s="400"/>
      <c r="O193" s="406"/>
      <c r="P193" s="400"/>
      <c r="Q193" s="406"/>
      <c r="S193" s="396"/>
      <c r="T193" s="402"/>
      <c r="U193" s="362"/>
      <c r="V193" s="405"/>
      <c r="W193" s="400"/>
      <c r="X193" s="406"/>
      <c r="Y193" s="400"/>
      <c r="Z193" s="406"/>
    </row>
    <row r="194" spans="1:26" ht="15">
      <c r="A194" s="407"/>
      <c r="B194" s="402"/>
      <c r="C194" s="362"/>
      <c r="D194" s="400"/>
      <c r="E194" s="400"/>
      <c r="F194" s="406"/>
      <c r="G194" s="400"/>
      <c r="H194" s="406"/>
      <c r="J194" s="407"/>
      <c r="K194" s="402"/>
      <c r="L194" s="362"/>
      <c r="M194" s="400"/>
      <c r="N194" s="400"/>
      <c r="O194" s="406"/>
      <c r="P194" s="400"/>
      <c r="Q194" s="406"/>
      <c r="S194" s="407"/>
      <c r="T194" s="402"/>
      <c r="U194" s="362"/>
      <c r="V194" s="400"/>
      <c r="W194" s="400"/>
      <c r="X194" s="406"/>
      <c r="Y194" s="400"/>
      <c r="Z194" s="406"/>
    </row>
    <row r="195" spans="1:26" ht="15">
      <c r="A195" s="362"/>
      <c r="B195" s="402"/>
      <c r="C195" s="362"/>
      <c r="D195" s="400"/>
      <c r="E195" s="400"/>
      <c r="F195" s="406"/>
      <c r="G195" s="400"/>
      <c r="H195" s="406"/>
      <c r="J195" s="362"/>
      <c r="K195" s="402"/>
      <c r="L195" s="362"/>
      <c r="M195" s="400"/>
      <c r="N195" s="400"/>
      <c r="O195" s="406"/>
      <c r="P195" s="400"/>
      <c r="Q195" s="406"/>
      <c r="S195" s="362"/>
      <c r="T195" s="402"/>
      <c r="U195" s="362"/>
      <c r="V195" s="400"/>
      <c r="W195" s="400"/>
      <c r="X195" s="406"/>
      <c r="Y195" s="400"/>
      <c r="Z195" s="406"/>
    </row>
    <row r="196" spans="1:26" ht="15">
      <c r="A196" s="396"/>
      <c r="B196" s="402"/>
      <c r="C196" s="362"/>
      <c r="D196" s="400"/>
      <c r="E196" s="400"/>
      <c r="F196" s="406"/>
      <c r="G196" s="362"/>
      <c r="H196" s="406"/>
      <c r="J196" s="396"/>
      <c r="K196" s="402"/>
      <c r="L196" s="362"/>
      <c r="M196" s="400"/>
      <c r="N196" s="400"/>
      <c r="O196" s="406"/>
      <c r="P196" s="362"/>
      <c r="Q196" s="406"/>
      <c r="S196" s="396"/>
      <c r="T196" s="402"/>
      <c r="U196" s="362"/>
      <c r="V196" s="400"/>
      <c r="W196" s="400"/>
      <c r="X196" s="406"/>
      <c r="Y196" s="362"/>
      <c r="Z196" s="406"/>
    </row>
    <row r="197" spans="1:26" ht="15">
      <c r="A197" s="407"/>
      <c r="B197" s="402"/>
      <c r="C197" s="362"/>
      <c r="D197" s="400"/>
      <c r="E197" s="362"/>
      <c r="F197" s="406"/>
      <c r="G197" s="362"/>
      <c r="H197" s="406"/>
      <c r="J197" s="407"/>
      <c r="K197" s="402"/>
      <c r="L197" s="362"/>
      <c r="M197" s="400"/>
      <c r="N197" s="362"/>
      <c r="O197" s="406"/>
      <c r="P197" s="362"/>
      <c r="Q197" s="406"/>
      <c r="S197" s="407"/>
      <c r="T197" s="402"/>
      <c r="U197" s="362"/>
      <c r="V197" s="400"/>
      <c r="W197" s="362"/>
      <c r="X197" s="406"/>
      <c r="Y197" s="362"/>
      <c r="Z197" s="406"/>
    </row>
    <row r="198" spans="1:26" ht="15">
      <c r="A198" s="362"/>
      <c r="B198" s="402"/>
      <c r="C198" s="362"/>
      <c r="D198" s="400"/>
      <c r="E198" s="362"/>
      <c r="F198" s="406"/>
      <c r="G198" s="362"/>
      <c r="H198" s="406"/>
      <c r="J198" s="362"/>
      <c r="K198" s="402"/>
      <c r="L198" s="362"/>
      <c r="M198" s="400"/>
      <c r="N198" s="362"/>
      <c r="O198" s="406"/>
      <c r="P198" s="362"/>
      <c r="Q198" s="406"/>
      <c r="S198" s="362"/>
      <c r="T198" s="402"/>
      <c r="U198" s="362"/>
      <c r="V198" s="400"/>
      <c r="W198" s="362"/>
      <c r="X198" s="406"/>
      <c r="Y198" s="362"/>
      <c r="Z198" s="406"/>
    </row>
    <row r="199" spans="1:26" ht="15">
      <c r="A199" s="337"/>
      <c r="B199" s="337"/>
      <c r="C199" s="360"/>
      <c r="D199" s="400"/>
      <c r="E199" s="362"/>
      <c r="F199" s="400"/>
      <c r="G199" s="408"/>
      <c r="H199" s="400"/>
      <c r="J199" s="337"/>
      <c r="K199" s="337"/>
      <c r="L199" s="360"/>
      <c r="M199" s="400"/>
      <c r="N199" s="362"/>
      <c r="O199" s="400"/>
      <c r="P199" s="408"/>
      <c r="Q199" s="400"/>
      <c r="S199" s="337"/>
      <c r="T199" s="337"/>
      <c r="U199" s="360"/>
      <c r="V199" s="400"/>
      <c r="W199" s="362"/>
      <c r="X199" s="400"/>
      <c r="Y199" s="408"/>
      <c r="Z199" s="400"/>
    </row>
    <row r="200" spans="1:26" ht="15">
      <c r="A200" s="337"/>
      <c r="B200" s="337"/>
      <c r="C200" s="337"/>
      <c r="D200" s="337"/>
      <c r="E200" s="337"/>
      <c r="F200" s="337"/>
      <c r="G200" s="337"/>
      <c r="H200" s="337"/>
      <c r="J200" s="337"/>
      <c r="K200" s="337"/>
      <c r="L200" s="337"/>
      <c r="M200" s="337"/>
      <c r="N200" s="337"/>
      <c r="O200" s="337"/>
      <c r="P200" s="337"/>
      <c r="Q200" s="337"/>
      <c r="S200" s="337"/>
      <c r="T200" s="337"/>
      <c r="U200" s="337"/>
      <c r="V200" s="337"/>
      <c r="W200" s="337"/>
      <c r="X200" s="337"/>
      <c r="Y200" s="337"/>
      <c r="Z200" s="337"/>
    </row>
    <row r="201" spans="1:26" ht="15">
      <c r="A201" s="337"/>
      <c r="B201" s="337"/>
      <c r="C201" s="364"/>
      <c r="D201" s="365"/>
      <c r="E201" s="337"/>
      <c r="F201" s="337"/>
      <c r="G201" s="337"/>
      <c r="H201" s="337"/>
      <c r="J201" s="337"/>
      <c r="K201" s="337"/>
      <c r="L201" s="364"/>
      <c r="M201" s="365"/>
      <c r="N201" s="337"/>
      <c r="O201" s="337"/>
      <c r="P201" s="337"/>
      <c r="Q201" s="337"/>
      <c r="S201" s="337"/>
      <c r="T201" s="337"/>
      <c r="U201" s="364"/>
      <c r="V201" s="365"/>
      <c r="W201" s="337"/>
      <c r="X201" s="337"/>
      <c r="Y201" s="337"/>
      <c r="Z201" s="337"/>
    </row>
    <row r="202" spans="1:26" ht="15">
      <c r="A202" s="337"/>
      <c r="B202" s="337"/>
      <c r="C202" s="364"/>
      <c r="D202" s="365"/>
      <c r="E202" s="337"/>
      <c r="F202" s="337"/>
      <c r="G202" s="337"/>
      <c r="H202" s="337"/>
      <c r="J202" s="337"/>
      <c r="K202" s="337"/>
      <c r="L202" s="364"/>
      <c r="M202" s="365"/>
      <c r="N202" s="337"/>
      <c r="O202" s="337"/>
      <c r="P202" s="337"/>
      <c r="Q202" s="337"/>
      <c r="S202" s="337"/>
      <c r="T202" s="337"/>
      <c r="U202" s="364"/>
      <c r="V202" s="365"/>
      <c r="W202" s="337"/>
      <c r="X202" s="337"/>
      <c r="Y202" s="337"/>
      <c r="Z202" s="337"/>
    </row>
    <row r="203" spans="1:26" ht="15">
      <c r="A203" s="366"/>
      <c r="B203" s="337"/>
      <c r="C203" s="337"/>
      <c r="D203" s="337"/>
      <c r="E203" s="337"/>
      <c r="F203" s="337"/>
      <c r="G203" s="337"/>
      <c r="H203" s="337"/>
      <c r="J203" s="366"/>
      <c r="K203" s="337"/>
      <c r="L203" s="337"/>
      <c r="M203" s="337"/>
      <c r="N203" s="337"/>
      <c r="O203" s="337"/>
      <c r="P203" s="337"/>
      <c r="Q203" s="337"/>
      <c r="S203" s="366"/>
      <c r="T203" s="337"/>
      <c r="U203" s="337"/>
      <c r="V203" s="337"/>
      <c r="W203" s="337"/>
      <c r="X203" s="337"/>
      <c r="Y203" s="337"/>
      <c r="Z203" s="337"/>
    </row>
    <row r="204" spans="1:26" ht="15">
      <c r="A204" s="337"/>
      <c r="B204" s="337"/>
      <c r="C204" s="337"/>
      <c r="D204" s="420"/>
      <c r="E204" s="420"/>
      <c r="F204" s="420"/>
      <c r="G204" s="420"/>
      <c r="H204" s="337"/>
      <c r="J204" s="337"/>
      <c r="K204" s="337"/>
      <c r="L204" s="337"/>
      <c r="M204" s="420"/>
      <c r="N204" s="420"/>
      <c r="O204" s="420"/>
      <c r="P204" s="420"/>
      <c r="Q204" s="337"/>
      <c r="S204" s="337"/>
      <c r="T204" s="337"/>
      <c r="U204" s="337"/>
      <c r="V204" s="420"/>
      <c r="W204" s="420"/>
      <c r="X204" s="420"/>
      <c r="Y204" s="420"/>
      <c r="Z204" s="337"/>
    </row>
    <row r="205" spans="1:26" ht="32.25" customHeight="1">
      <c r="A205" s="337"/>
      <c r="B205" s="337"/>
      <c r="C205" s="337"/>
      <c r="D205" s="420"/>
      <c r="E205" s="420"/>
      <c r="F205" s="420"/>
      <c r="G205" s="420"/>
      <c r="H205" s="337"/>
      <c r="J205" s="337"/>
      <c r="K205" s="337"/>
      <c r="L205" s="337"/>
      <c r="M205" s="420"/>
      <c r="N205" s="420"/>
      <c r="O205" s="420"/>
      <c r="P205" s="420"/>
      <c r="Q205" s="337"/>
      <c r="S205" s="337"/>
      <c r="T205" s="337"/>
      <c r="U205" s="337"/>
      <c r="V205" s="420"/>
      <c r="W205" s="420"/>
      <c r="X205" s="420"/>
      <c r="Y205" s="420"/>
      <c r="Z205" s="337"/>
    </row>
    <row r="206" spans="1:26" ht="15">
      <c r="A206" s="337"/>
      <c r="B206" s="337"/>
      <c r="C206" s="337"/>
      <c r="D206" s="362"/>
      <c r="E206" s="400"/>
      <c r="F206" s="418"/>
      <c r="G206" s="418"/>
      <c r="H206" s="337"/>
      <c r="J206" s="337"/>
      <c r="K206" s="337"/>
      <c r="L206" s="337"/>
      <c r="M206" s="362"/>
      <c r="N206" s="400"/>
      <c r="O206" s="418"/>
      <c r="P206" s="418"/>
      <c r="Q206" s="337"/>
      <c r="S206" s="337"/>
      <c r="T206" s="337"/>
      <c r="U206" s="337"/>
      <c r="V206" s="362"/>
      <c r="W206" s="400"/>
      <c r="X206" s="418"/>
      <c r="Y206" s="418"/>
      <c r="Z206" s="337"/>
    </row>
    <row r="207" spans="1:26" ht="15">
      <c r="A207" s="367"/>
      <c r="B207" s="368"/>
      <c r="C207" s="337"/>
      <c r="D207" s="362"/>
      <c r="E207" s="400"/>
      <c r="F207" s="418"/>
      <c r="G207" s="418"/>
      <c r="H207" s="337"/>
      <c r="J207" s="367"/>
      <c r="K207" s="368"/>
      <c r="L207" s="337"/>
      <c r="M207" s="362"/>
      <c r="N207" s="400"/>
      <c r="O207" s="418"/>
      <c r="P207" s="418"/>
      <c r="Q207" s="337"/>
      <c r="S207" s="367"/>
      <c r="T207" s="368"/>
      <c r="U207" s="337"/>
      <c r="V207" s="362"/>
      <c r="W207" s="400"/>
      <c r="X207" s="418"/>
      <c r="Y207" s="418"/>
      <c r="Z207" s="337"/>
    </row>
    <row r="208" spans="1:26" ht="15">
      <c r="A208" s="337"/>
      <c r="B208" s="337"/>
      <c r="C208" s="337"/>
      <c r="D208" s="362"/>
      <c r="E208" s="400"/>
      <c r="F208" s="418"/>
      <c r="G208" s="418"/>
      <c r="H208" s="337"/>
      <c r="J208" s="337"/>
      <c r="K208" s="337"/>
      <c r="L208" s="337"/>
      <c r="M208" s="362"/>
      <c r="N208" s="400"/>
      <c r="O208" s="418"/>
      <c r="P208" s="418"/>
      <c r="Q208" s="337"/>
      <c r="S208" s="337"/>
      <c r="T208" s="337"/>
      <c r="U208" s="337"/>
      <c r="V208" s="362"/>
      <c r="W208" s="400"/>
      <c r="X208" s="418"/>
      <c r="Y208" s="418"/>
      <c r="Z208" s="337"/>
    </row>
    <row r="209" spans="1:35" ht="15">
      <c r="A209" s="336"/>
      <c r="B209" s="337"/>
      <c r="C209" s="338"/>
      <c r="E209" s="337"/>
      <c r="G209" s="337"/>
      <c r="H209" s="337"/>
      <c r="J209" s="336"/>
      <c r="K209" s="337"/>
      <c r="L209" s="338"/>
      <c r="N209" s="337"/>
      <c r="P209" s="337"/>
      <c r="Q209" s="337"/>
      <c r="S209" s="336"/>
      <c r="T209" s="337"/>
      <c r="U209" s="338"/>
      <c r="W209" s="337"/>
      <c r="Y209" s="337"/>
      <c r="Z209" s="337"/>
      <c r="AB209" s="336"/>
      <c r="AC209" s="337"/>
      <c r="AD209" s="338"/>
      <c r="AF209" s="337"/>
      <c r="AH209" s="337"/>
      <c r="AI209" s="337"/>
    </row>
    <row r="210" spans="1:35" ht="15">
      <c r="A210" s="339"/>
      <c r="B210" s="419"/>
      <c r="C210" s="419"/>
      <c r="D210" s="419"/>
      <c r="E210" s="419"/>
      <c r="F210" s="419"/>
      <c r="G210" s="419"/>
      <c r="H210" s="337"/>
      <c r="J210" s="339"/>
      <c r="K210" s="419"/>
      <c r="L210" s="419"/>
      <c r="M210" s="419"/>
      <c r="N210" s="419"/>
      <c r="O210" s="419"/>
      <c r="P210" s="419"/>
      <c r="Q210" s="337"/>
      <c r="S210" s="339"/>
      <c r="T210" s="419"/>
      <c r="U210" s="419"/>
      <c r="V210" s="419"/>
      <c r="W210" s="419"/>
      <c r="X210" s="419"/>
      <c r="Y210" s="419"/>
      <c r="Z210" s="337"/>
      <c r="AB210" s="339"/>
      <c r="AC210" s="419"/>
      <c r="AD210" s="419"/>
      <c r="AE210" s="419"/>
      <c r="AF210" s="419"/>
      <c r="AG210" s="419"/>
      <c r="AH210" s="419"/>
      <c r="AI210" s="337"/>
    </row>
    <row r="211" spans="1:35" ht="15">
      <c r="A211" s="340"/>
      <c r="B211" s="341"/>
      <c r="C211" s="337"/>
      <c r="D211" s="337"/>
      <c r="E211" s="337"/>
      <c r="F211" s="337"/>
      <c r="G211" s="337"/>
      <c r="H211" s="337"/>
      <c r="J211" s="340"/>
      <c r="K211" s="341"/>
      <c r="L211" s="337"/>
      <c r="M211" s="337"/>
      <c r="N211" s="337"/>
      <c r="O211" s="337"/>
      <c r="P211" s="337"/>
      <c r="Q211" s="337"/>
      <c r="S211" s="340"/>
      <c r="T211" s="341"/>
      <c r="U211" s="337"/>
      <c r="V211" s="337"/>
      <c r="W211" s="337"/>
      <c r="X211" s="337"/>
      <c r="Y211" s="337"/>
      <c r="Z211" s="337"/>
      <c r="AB211" s="340"/>
      <c r="AC211" s="341"/>
      <c r="AD211" s="337"/>
      <c r="AE211" s="337"/>
      <c r="AF211" s="337"/>
      <c r="AG211" s="337"/>
      <c r="AH211" s="337"/>
      <c r="AI211" s="337"/>
    </row>
    <row r="212" spans="1:35" ht="15.4" thickBot="1">
      <c r="A212" s="337"/>
      <c r="B212" s="337"/>
      <c r="C212" s="337"/>
      <c r="D212" s="337"/>
      <c r="E212" s="337"/>
      <c r="F212" s="337"/>
      <c r="G212" s="337"/>
      <c r="H212" s="337"/>
      <c r="J212" s="337"/>
      <c r="K212" s="337"/>
      <c r="L212" s="337"/>
      <c r="M212" s="337"/>
      <c r="N212" s="337"/>
      <c r="O212" s="337"/>
      <c r="P212" s="337"/>
      <c r="Q212" s="337"/>
      <c r="S212" s="337"/>
      <c r="T212" s="337"/>
      <c r="U212" s="337"/>
      <c r="V212" s="337"/>
      <c r="W212" s="337"/>
      <c r="X212" s="337"/>
      <c r="Y212" s="337"/>
      <c r="Z212" s="337"/>
      <c r="AB212" s="337"/>
      <c r="AC212" s="337"/>
      <c r="AD212" s="337"/>
      <c r="AE212" s="337"/>
      <c r="AF212" s="337"/>
      <c r="AG212" s="337"/>
      <c r="AH212" s="337"/>
      <c r="AI212" s="337"/>
    </row>
    <row r="213" spans="1:35" ht="15.4" thickBot="1">
      <c r="A213" s="337"/>
      <c r="B213" s="394"/>
      <c r="C213" s="337"/>
      <c r="D213" s="337"/>
      <c r="E213" s="337"/>
      <c r="F213" s="362"/>
      <c r="G213" s="362"/>
      <c r="H213" s="337"/>
      <c r="J213" s="337"/>
      <c r="K213" s="394"/>
      <c r="L213" s="337"/>
      <c r="M213" s="337"/>
      <c r="N213" s="337"/>
      <c r="O213" s="362"/>
      <c r="P213" s="362"/>
      <c r="Q213" s="337"/>
      <c r="S213" s="337"/>
      <c r="T213" s="394"/>
      <c r="U213" s="337"/>
      <c r="V213" s="337"/>
      <c r="W213" s="337"/>
      <c r="X213" s="362"/>
      <c r="Y213" s="362"/>
      <c r="Z213" s="337"/>
      <c r="AB213" s="337"/>
      <c r="AC213" s="342"/>
      <c r="AD213" s="337"/>
      <c r="AE213" s="337"/>
      <c r="AF213" s="337"/>
      <c r="AG213" s="343"/>
      <c r="AH213" s="343"/>
      <c r="AI213" s="337"/>
    </row>
    <row r="214" spans="1:35" ht="15.4" thickBot="1">
      <c r="A214" s="337"/>
      <c r="B214" s="394"/>
      <c r="C214" s="337"/>
      <c r="D214" s="337"/>
      <c r="E214" s="362"/>
      <c r="F214" s="362"/>
      <c r="G214" s="395"/>
      <c r="H214" s="337"/>
      <c r="J214" s="337"/>
      <c r="K214" s="394"/>
      <c r="L214" s="337"/>
      <c r="M214" s="337"/>
      <c r="N214" s="362"/>
      <c r="O214" s="362"/>
      <c r="P214" s="395"/>
      <c r="Q214" s="337"/>
      <c r="S214" s="337"/>
      <c r="T214" s="394"/>
      <c r="U214" s="337"/>
      <c r="V214" s="337"/>
      <c r="W214" s="362"/>
      <c r="X214" s="362"/>
      <c r="Y214" s="395"/>
      <c r="Z214" s="337"/>
      <c r="AB214" s="337"/>
      <c r="AC214" s="344"/>
      <c r="AD214" s="345"/>
      <c r="AE214" s="346"/>
      <c r="AF214" s="343"/>
      <c r="AG214" s="343"/>
      <c r="AH214" s="347"/>
      <c r="AI214" s="337"/>
    </row>
    <row r="215" spans="1:35" ht="15.4" thickBot="1">
      <c r="A215" s="337"/>
      <c r="B215" s="394"/>
      <c r="C215" s="337"/>
      <c r="D215" s="337"/>
      <c r="E215" s="362"/>
      <c r="F215" s="362"/>
      <c r="G215" s="395"/>
      <c r="H215" s="337"/>
      <c r="J215" s="337"/>
      <c r="K215" s="394"/>
      <c r="L215" s="337"/>
      <c r="M215" s="337"/>
      <c r="N215" s="362"/>
      <c r="O215" s="362"/>
      <c r="P215" s="395"/>
      <c r="Q215" s="337"/>
      <c r="S215" s="337"/>
      <c r="T215" s="394"/>
      <c r="U215" s="337"/>
      <c r="V215" s="337"/>
      <c r="W215" s="362"/>
      <c r="X215" s="362"/>
      <c r="Y215" s="395"/>
      <c r="Z215" s="337"/>
      <c r="AB215" s="337"/>
      <c r="AC215" s="348"/>
      <c r="AD215" s="349"/>
      <c r="AE215" s="350"/>
      <c r="AF215" s="343"/>
      <c r="AG215" s="343"/>
      <c r="AH215" s="347"/>
      <c r="AI215" s="337"/>
    </row>
    <row r="216" spans="1:35" ht="15">
      <c r="A216" s="337"/>
      <c r="B216" s="337"/>
      <c r="C216" s="337"/>
      <c r="D216" s="337"/>
      <c r="E216" s="337"/>
      <c r="F216" s="337"/>
      <c r="G216" s="337"/>
      <c r="H216" s="337"/>
      <c r="J216" s="337"/>
      <c r="K216" s="337"/>
      <c r="L216" s="337"/>
      <c r="M216" s="337"/>
      <c r="N216" s="337"/>
      <c r="O216" s="337"/>
      <c r="P216" s="337"/>
      <c r="Q216" s="337"/>
      <c r="S216" s="337"/>
      <c r="T216" s="337"/>
      <c r="U216" s="337"/>
      <c r="V216" s="337"/>
      <c r="W216" s="337"/>
      <c r="X216" s="337"/>
      <c r="Y216" s="337"/>
      <c r="Z216" s="337"/>
      <c r="AB216" s="337"/>
      <c r="AC216" s="337"/>
      <c r="AD216" s="337"/>
      <c r="AE216" s="337"/>
      <c r="AF216" s="337"/>
      <c r="AG216" s="337"/>
      <c r="AH216" s="337"/>
      <c r="AI216" s="337"/>
    </row>
    <row r="217" spans="1:35" ht="15">
      <c r="A217" s="420"/>
      <c r="B217" s="420"/>
      <c r="C217" s="421"/>
      <c r="D217" s="420"/>
      <c r="E217" s="396"/>
      <c r="F217" s="397"/>
      <c r="G217" s="422"/>
      <c r="H217" s="422"/>
      <c r="J217" s="420"/>
      <c r="K217" s="420"/>
      <c r="L217" s="421"/>
      <c r="M217" s="420"/>
      <c r="N217" s="396"/>
      <c r="O217" s="397"/>
      <c r="P217" s="422"/>
      <c r="Q217" s="422"/>
      <c r="S217" s="420"/>
      <c r="T217" s="420"/>
      <c r="U217" s="421"/>
      <c r="V217" s="420"/>
      <c r="W217" s="396"/>
      <c r="X217" s="397"/>
      <c r="Y217" s="422"/>
      <c r="Z217" s="422"/>
      <c r="AB217" s="429"/>
      <c r="AC217" s="429"/>
      <c r="AD217" s="431"/>
      <c r="AE217" s="429"/>
      <c r="AF217" s="351"/>
      <c r="AG217" s="352"/>
      <c r="AH217" s="433"/>
      <c r="AI217" s="434"/>
    </row>
    <row r="218" spans="1:35" ht="15">
      <c r="A218" s="420"/>
      <c r="B218" s="420"/>
      <c r="C218" s="421"/>
      <c r="D218" s="420"/>
      <c r="E218" s="362"/>
      <c r="F218" s="362"/>
      <c r="G218" s="362"/>
      <c r="H218" s="362"/>
      <c r="J218" s="420"/>
      <c r="K218" s="420"/>
      <c r="L218" s="421"/>
      <c r="M218" s="420"/>
      <c r="N218" s="362"/>
      <c r="O218" s="362"/>
      <c r="P218" s="362"/>
      <c r="Q218" s="362"/>
      <c r="S218" s="420"/>
      <c r="T218" s="420"/>
      <c r="U218" s="421"/>
      <c r="V218" s="420"/>
      <c r="W218" s="362"/>
      <c r="X218" s="362"/>
      <c r="Y218" s="362"/>
      <c r="Z218" s="362"/>
      <c r="AB218" s="430"/>
      <c r="AC218" s="430"/>
      <c r="AD218" s="432"/>
      <c r="AE218" s="430"/>
      <c r="AF218" s="353"/>
      <c r="AG218" s="353"/>
      <c r="AH218" s="353"/>
      <c r="AI218" s="353"/>
    </row>
    <row r="219" spans="1:35" ht="15">
      <c r="A219" s="398"/>
      <c r="B219" s="398"/>
      <c r="C219" s="362"/>
      <c r="D219" s="400"/>
      <c r="E219" s="400"/>
      <c r="F219" s="400"/>
      <c r="G219" s="400"/>
      <c r="H219" s="400"/>
      <c r="J219" s="398"/>
      <c r="K219" s="398"/>
      <c r="L219" s="362"/>
      <c r="M219" s="400"/>
      <c r="N219" s="400"/>
      <c r="O219" s="400"/>
      <c r="P219" s="400"/>
      <c r="Q219" s="400"/>
      <c r="S219" s="398"/>
      <c r="T219" s="398"/>
      <c r="U219" s="362"/>
      <c r="V219" s="400"/>
      <c r="W219" s="400"/>
      <c r="X219" s="400"/>
      <c r="Y219" s="400"/>
      <c r="Z219" s="400"/>
      <c r="AB219" s="354"/>
      <c r="AC219" s="354"/>
      <c r="AD219" s="353"/>
      <c r="AE219" s="355"/>
      <c r="AF219" s="355"/>
      <c r="AG219" s="355"/>
      <c r="AH219" s="355"/>
      <c r="AI219" s="355"/>
    </row>
    <row r="220" spans="1:35" ht="15">
      <c r="A220" s="362"/>
      <c r="B220" s="402"/>
      <c r="C220" s="362"/>
      <c r="D220" s="405"/>
      <c r="E220" s="400"/>
      <c r="F220" s="400"/>
      <c r="G220" s="400"/>
      <c r="H220" s="400"/>
      <c r="J220" s="362"/>
      <c r="K220" s="402"/>
      <c r="L220" s="362"/>
      <c r="M220" s="405"/>
      <c r="N220" s="400"/>
      <c r="O220" s="400"/>
      <c r="P220" s="400"/>
      <c r="Q220" s="400"/>
      <c r="S220" s="362"/>
      <c r="T220" s="402"/>
      <c r="U220" s="362"/>
      <c r="V220" s="405"/>
      <c r="W220" s="400"/>
      <c r="X220" s="400"/>
      <c r="Y220" s="400"/>
      <c r="Z220" s="400"/>
      <c r="AB220" s="353"/>
      <c r="AC220" s="356"/>
      <c r="AD220" s="353"/>
      <c r="AE220" s="357"/>
      <c r="AF220" s="355"/>
      <c r="AG220" s="355"/>
      <c r="AH220" s="355"/>
      <c r="AI220" s="355"/>
    </row>
    <row r="221" spans="1:35" ht="15">
      <c r="A221" s="362"/>
      <c r="B221" s="402"/>
      <c r="C221" s="362"/>
      <c r="D221" s="405"/>
      <c r="E221" s="400"/>
      <c r="F221" s="400"/>
      <c r="G221" s="400"/>
      <c r="H221" s="400"/>
      <c r="J221" s="362"/>
      <c r="K221" s="402"/>
      <c r="L221" s="362"/>
      <c r="M221" s="405"/>
      <c r="N221" s="400"/>
      <c r="O221" s="400"/>
      <c r="P221" s="400"/>
      <c r="Q221" s="400"/>
      <c r="S221" s="362"/>
      <c r="T221" s="402"/>
      <c r="U221" s="362"/>
      <c r="V221" s="405"/>
      <c r="W221" s="400"/>
      <c r="X221" s="400"/>
      <c r="Y221" s="400"/>
      <c r="Z221" s="400"/>
      <c r="AB221" s="353"/>
      <c r="AC221" s="356"/>
      <c r="AD221" s="353"/>
      <c r="AE221" s="357"/>
      <c r="AF221" s="355"/>
      <c r="AG221" s="358"/>
      <c r="AH221" s="355"/>
      <c r="AI221" s="358"/>
    </row>
    <row r="222" spans="1:35" ht="15">
      <c r="A222" s="396"/>
      <c r="B222" s="402"/>
      <c r="C222" s="362"/>
      <c r="D222" s="405"/>
      <c r="E222" s="400"/>
      <c r="F222" s="406"/>
      <c r="G222" s="400"/>
      <c r="H222" s="406"/>
      <c r="J222" s="396"/>
      <c r="K222" s="402"/>
      <c r="L222" s="362"/>
      <c r="M222" s="405"/>
      <c r="N222" s="400"/>
      <c r="O222" s="406"/>
      <c r="P222" s="400"/>
      <c r="Q222" s="406"/>
      <c r="S222" s="396"/>
      <c r="T222" s="402"/>
      <c r="U222" s="362"/>
      <c r="V222" s="405"/>
      <c r="W222" s="400"/>
      <c r="X222" s="406"/>
      <c r="Y222" s="400"/>
      <c r="Z222" s="406"/>
      <c r="AB222" s="351"/>
      <c r="AC222" s="356"/>
      <c r="AD222" s="353"/>
      <c r="AE222" s="357"/>
      <c r="AF222" s="355"/>
      <c r="AG222" s="358"/>
      <c r="AH222" s="355"/>
      <c r="AI222" s="358"/>
    </row>
    <row r="223" spans="1:35" ht="15">
      <c r="A223" s="407"/>
      <c r="B223" s="402"/>
      <c r="C223" s="362"/>
      <c r="D223" s="400"/>
      <c r="E223" s="400"/>
      <c r="F223" s="406"/>
      <c r="G223" s="400"/>
      <c r="H223" s="406"/>
      <c r="J223" s="407"/>
      <c r="K223" s="402"/>
      <c r="L223" s="362"/>
      <c r="M223" s="400"/>
      <c r="N223" s="400"/>
      <c r="O223" s="406"/>
      <c r="P223" s="400"/>
      <c r="Q223" s="406"/>
      <c r="S223" s="407"/>
      <c r="T223" s="402"/>
      <c r="U223" s="362"/>
      <c r="V223" s="400"/>
      <c r="W223" s="400"/>
      <c r="X223" s="406"/>
      <c r="Y223" s="400"/>
      <c r="Z223" s="406"/>
      <c r="AB223" s="359"/>
      <c r="AC223" s="356"/>
      <c r="AD223" s="353"/>
      <c r="AE223" s="355"/>
      <c r="AF223" s="355"/>
      <c r="AG223" s="358"/>
      <c r="AH223" s="355"/>
      <c r="AI223" s="358"/>
    </row>
    <row r="224" spans="1:35" ht="15">
      <c r="A224" s="362"/>
      <c r="B224" s="402"/>
      <c r="C224" s="362"/>
      <c r="D224" s="400"/>
      <c r="E224" s="400"/>
      <c r="F224" s="406"/>
      <c r="G224" s="400"/>
      <c r="H224" s="406"/>
      <c r="J224" s="362"/>
      <c r="K224" s="402"/>
      <c r="L224" s="362"/>
      <c r="M224" s="400"/>
      <c r="N224" s="400"/>
      <c r="O224" s="406"/>
      <c r="P224" s="400"/>
      <c r="Q224" s="406"/>
      <c r="S224" s="362"/>
      <c r="T224" s="402"/>
      <c r="U224" s="362"/>
      <c r="V224" s="400"/>
      <c r="W224" s="400"/>
      <c r="X224" s="406"/>
      <c r="Y224" s="400"/>
      <c r="Z224" s="406"/>
      <c r="AB224" s="353"/>
      <c r="AC224" s="356"/>
      <c r="AD224" s="353"/>
      <c r="AE224" s="355"/>
      <c r="AF224" s="355"/>
      <c r="AG224" s="358"/>
      <c r="AH224" s="355"/>
      <c r="AI224" s="358"/>
    </row>
    <row r="225" spans="1:35" ht="15">
      <c r="A225" s="396"/>
      <c r="B225" s="402"/>
      <c r="C225" s="362"/>
      <c r="D225" s="400"/>
      <c r="E225" s="400"/>
      <c r="F225" s="406"/>
      <c r="G225" s="362"/>
      <c r="H225" s="406"/>
      <c r="J225" s="396"/>
      <c r="K225" s="402"/>
      <c r="L225" s="362"/>
      <c r="M225" s="400"/>
      <c r="N225" s="400"/>
      <c r="O225" s="406"/>
      <c r="P225" s="362"/>
      <c r="Q225" s="406"/>
      <c r="S225" s="396"/>
      <c r="T225" s="402"/>
      <c r="U225" s="362"/>
      <c r="V225" s="400"/>
      <c r="W225" s="400"/>
      <c r="X225" s="406"/>
      <c r="Y225" s="362"/>
      <c r="Z225" s="406"/>
      <c r="AB225" s="351"/>
      <c r="AC225" s="356"/>
      <c r="AD225" s="353"/>
      <c r="AE225" s="355"/>
      <c r="AF225" s="355"/>
      <c r="AG225" s="358"/>
      <c r="AH225" s="353"/>
      <c r="AI225" s="358"/>
    </row>
    <row r="226" spans="1:35" ht="15">
      <c r="A226" s="407"/>
      <c r="B226" s="402"/>
      <c r="C226" s="362"/>
      <c r="D226" s="400"/>
      <c r="E226" s="362"/>
      <c r="F226" s="406"/>
      <c r="G226" s="362"/>
      <c r="H226" s="406"/>
      <c r="J226" s="407"/>
      <c r="K226" s="402"/>
      <c r="L226" s="362"/>
      <c r="M226" s="400"/>
      <c r="N226" s="362"/>
      <c r="O226" s="406"/>
      <c r="P226" s="362"/>
      <c r="Q226" s="406"/>
      <c r="S226" s="407"/>
      <c r="T226" s="402"/>
      <c r="U226" s="362"/>
      <c r="V226" s="400"/>
      <c r="W226" s="362"/>
      <c r="X226" s="406"/>
      <c r="Y226" s="362"/>
      <c r="Z226" s="406"/>
      <c r="AB226" s="359"/>
      <c r="AC226" s="356"/>
      <c r="AD226" s="353"/>
      <c r="AE226" s="355"/>
      <c r="AF226" s="353"/>
      <c r="AG226" s="358"/>
      <c r="AH226" s="353"/>
      <c r="AI226" s="358"/>
    </row>
    <row r="227" spans="1:35" ht="15">
      <c r="A227" s="362"/>
      <c r="B227" s="402"/>
      <c r="C227" s="362"/>
      <c r="D227" s="400"/>
      <c r="E227" s="362"/>
      <c r="F227" s="406"/>
      <c r="G227" s="362"/>
      <c r="H227" s="406"/>
      <c r="J227" s="362"/>
      <c r="K227" s="402"/>
      <c r="L227" s="362"/>
      <c r="M227" s="400"/>
      <c r="N227" s="362"/>
      <c r="O227" s="406"/>
      <c r="P227" s="362"/>
      <c r="Q227" s="406"/>
      <c r="S227" s="362"/>
      <c r="T227" s="402"/>
      <c r="U227" s="362"/>
      <c r="V227" s="400"/>
      <c r="W227" s="362"/>
      <c r="X227" s="406"/>
      <c r="Y227" s="362"/>
      <c r="Z227" s="406"/>
      <c r="AB227" s="353"/>
      <c r="AC227" s="356"/>
      <c r="AD227" s="353"/>
      <c r="AE227" s="355"/>
      <c r="AF227" s="353"/>
      <c r="AG227" s="358"/>
      <c r="AH227" s="353"/>
      <c r="AI227" s="358"/>
    </row>
    <row r="228" spans="1:35" ht="15">
      <c r="A228" s="337"/>
      <c r="B228" s="337"/>
      <c r="C228" s="360"/>
      <c r="D228" s="400"/>
      <c r="E228" s="362"/>
      <c r="F228" s="400"/>
      <c r="G228" s="408"/>
      <c r="H228" s="400"/>
      <c r="J228" s="337"/>
      <c r="K228" s="337"/>
      <c r="L228" s="360"/>
      <c r="M228" s="400"/>
      <c r="N228" s="362"/>
      <c r="O228" s="400"/>
      <c r="P228" s="408"/>
      <c r="Q228" s="400"/>
      <c r="S228" s="337"/>
      <c r="T228" s="337"/>
      <c r="U228" s="360"/>
      <c r="V228" s="400"/>
      <c r="W228" s="362"/>
      <c r="X228" s="400"/>
      <c r="Y228" s="408"/>
      <c r="Z228" s="400"/>
      <c r="AB228" s="337"/>
      <c r="AC228" s="337"/>
      <c r="AD228" s="360"/>
      <c r="AE228" s="361"/>
      <c r="AF228" s="362"/>
      <c r="AG228" s="361"/>
      <c r="AH228" s="363"/>
      <c r="AI228" s="361"/>
    </row>
    <row r="229" spans="1:35" ht="15">
      <c r="A229" s="337"/>
      <c r="B229" s="337"/>
      <c r="C229" s="337"/>
      <c r="D229" s="337"/>
      <c r="E229" s="337"/>
      <c r="F229" s="337"/>
      <c r="G229" s="337"/>
      <c r="H229" s="337"/>
      <c r="J229" s="337"/>
      <c r="K229" s="337"/>
      <c r="L229" s="337"/>
      <c r="M229" s="337"/>
      <c r="N229" s="337"/>
      <c r="O229" s="337"/>
      <c r="P229" s="337"/>
      <c r="Q229" s="337"/>
      <c r="S229" s="337"/>
      <c r="T229" s="337"/>
      <c r="U229" s="337"/>
      <c r="V229" s="337"/>
      <c r="W229" s="337"/>
      <c r="X229" s="337"/>
      <c r="Y229" s="337"/>
      <c r="Z229" s="337"/>
      <c r="AB229" s="337"/>
      <c r="AC229" s="337"/>
      <c r="AD229" s="337"/>
      <c r="AE229" s="337"/>
      <c r="AF229" s="337"/>
      <c r="AG229" s="337"/>
      <c r="AH229" s="337"/>
      <c r="AI229" s="337"/>
    </row>
    <row r="230" spans="1:35" ht="15">
      <c r="A230" s="337"/>
      <c r="B230" s="337"/>
      <c r="C230" s="364"/>
      <c r="D230" s="365"/>
      <c r="E230" s="337"/>
      <c r="F230" s="337"/>
      <c r="G230" s="337"/>
      <c r="H230" s="337"/>
      <c r="J230" s="337"/>
      <c r="K230" s="337"/>
      <c r="L230" s="364"/>
      <c r="M230" s="365"/>
      <c r="N230" s="337"/>
      <c r="O230" s="337"/>
      <c r="P230" s="337"/>
      <c r="Q230" s="337"/>
      <c r="S230" s="337"/>
      <c r="T230" s="337"/>
      <c r="U230" s="364"/>
      <c r="V230" s="365"/>
      <c r="W230" s="337"/>
      <c r="X230" s="337"/>
      <c r="Y230" s="337"/>
      <c r="Z230" s="337"/>
      <c r="AB230" s="337"/>
      <c r="AC230" s="337"/>
      <c r="AD230" s="364"/>
      <c r="AE230" s="365"/>
      <c r="AF230" s="337"/>
      <c r="AG230" s="337"/>
      <c r="AH230" s="337"/>
      <c r="AI230" s="337"/>
    </row>
    <row r="231" spans="1:35" ht="15">
      <c r="A231" s="337"/>
      <c r="B231" s="337"/>
      <c r="C231" s="364"/>
      <c r="D231" s="365"/>
      <c r="E231" s="337"/>
      <c r="F231" s="337"/>
      <c r="G231" s="337"/>
      <c r="H231" s="337"/>
      <c r="J231" s="337"/>
      <c r="K231" s="337"/>
      <c r="L231" s="364"/>
      <c r="M231" s="365"/>
      <c r="N231" s="337"/>
      <c r="O231" s="337"/>
      <c r="P231" s="337"/>
      <c r="Q231" s="337"/>
      <c r="S231" s="337"/>
      <c r="T231" s="337"/>
      <c r="U231" s="364"/>
      <c r="V231" s="365"/>
      <c r="W231" s="337"/>
      <c r="X231" s="337"/>
      <c r="Y231" s="337"/>
      <c r="Z231" s="337"/>
      <c r="AB231" s="337"/>
      <c r="AC231" s="337"/>
      <c r="AD231" s="364"/>
      <c r="AE231" s="365"/>
      <c r="AF231" s="337"/>
      <c r="AG231" s="337"/>
      <c r="AH231" s="337"/>
      <c r="AI231" s="337"/>
    </row>
    <row r="232" spans="1:35" ht="15">
      <c r="A232" s="366"/>
      <c r="B232" s="337"/>
      <c r="C232" s="337"/>
      <c r="D232" s="337"/>
      <c r="E232" s="337"/>
      <c r="F232" s="337"/>
      <c r="G232" s="337"/>
      <c r="H232" s="337"/>
      <c r="J232" s="366"/>
      <c r="K232" s="337"/>
      <c r="L232" s="337"/>
      <c r="M232" s="337"/>
      <c r="N232" s="337"/>
      <c r="O232" s="337"/>
      <c r="P232" s="337"/>
      <c r="Q232" s="337"/>
      <c r="S232" s="366"/>
      <c r="T232" s="337"/>
      <c r="U232" s="337"/>
      <c r="V232" s="337"/>
      <c r="W232" s="337"/>
      <c r="X232" s="337"/>
      <c r="Y232" s="337"/>
      <c r="Z232" s="337"/>
      <c r="AB232" s="366"/>
      <c r="AC232" s="337"/>
      <c r="AD232" s="337"/>
      <c r="AE232" s="337"/>
      <c r="AF232" s="337"/>
      <c r="AG232" s="337"/>
      <c r="AH232" s="337"/>
      <c r="AI232" s="337"/>
    </row>
    <row r="233" spans="1:35" ht="15">
      <c r="A233" s="337"/>
      <c r="B233" s="337"/>
      <c r="C233" s="337"/>
      <c r="D233" s="420"/>
      <c r="E233" s="420"/>
      <c r="F233" s="420"/>
      <c r="G233" s="420"/>
      <c r="H233" s="337"/>
      <c r="J233" s="337"/>
      <c r="K233" s="337"/>
      <c r="L233" s="337"/>
      <c r="M233" s="420"/>
      <c r="N233" s="420"/>
      <c r="O233" s="420"/>
      <c r="P233" s="420"/>
      <c r="Q233" s="337"/>
      <c r="S233" s="337"/>
      <c r="T233" s="337"/>
      <c r="U233" s="337"/>
      <c r="V233" s="420"/>
      <c r="W233" s="420"/>
      <c r="X233" s="420"/>
      <c r="Y233" s="420"/>
      <c r="Z233" s="337"/>
      <c r="AB233" s="337"/>
      <c r="AC233" s="337"/>
      <c r="AD233" s="337"/>
      <c r="AE233" s="429"/>
      <c r="AF233" s="435"/>
      <c r="AG233" s="425"/>
      <c r="AH233" s="426"/>
      <c r="AI233" s="337"/>
    </row>
    <row r="234" spans="1:35" ht="32.25" customHeight="1">
      <c r="A234" s="337"/>
      <c r="B234" s="337"/>
      <c r="C234" s="337"/>
      <c r="D234" s="420"/>
      <c r="E234" s="420"/>
      <c r="F234" s="420"/>
      <c r="G234" s="420"/>
      <c r="H234" s="337"/>
      <c r="J234" s="337"/>
      <c r="K234" s="337"/>
      <c r="L234" s="337"/>
      <c r="M234" s="420"/>
      <c r="N234" s="420"/>
      <c r="O234" s="420"/>
      <c r="P234" s="420"/>
      <c r="Q234" s="337"/>
      <c r="S234" s="337"/>
      <c r="T234" s="337"/>
      <c r="U234" s="337"/>
      <c r="V234" s="420"/>
      <c r="W234" s="420"/>
      <c r="X234" s="420"/>
      <c r="Y234" s="420"/>
      <c r="Z234" s="337"/>
      <c r="AB234" s="337"/>
      <c r="AC234" s="337"/>
      <c r="AD234" s="337"/>
      <c r="AE234" s="430"/>
      <c r="AF234" s="436"/>
      <c r="AG234" s="427"/>
      <c r="AH234" s="428"/>
      <c r="AI234" s="337"/>
    </row>
    <row r="235" spans="1:35" ht="15">
      <c r="A235" s="337"/>
      <c r="B235" s="337"/>
      <c r="C235" s="337"/>
      <c r="D235" s="362"/>
      <c r="E235" s="400"/>
      <c r="F235" s="418"/>
      <c r="G235" s="418"/>
      <c r="H235" s="337"/>
      <c r="J235" s="337"/>
      <c r="K235" s="337"/>
      <c r="L235" s="337"/>
      <c r="M235" s="362"/>
      <c r="N235" s="400"/>
      <c r="O235" s="418"/>
      <c r="P235" s="418"/>
      <c r="Q235" s="337"/>
      <c r="S235" s="337"/>
      <c r="T235" s="337"/>
      <c r="U235" s="337"/>
      <c r="V235" s="362"/>
      <c r="W235" s="400"/>
      <c r="X235" s="418"/>
      <c r="Y235" s="418"/>
      <c r="Z235" s="337"/>
      <c r="AB235" s="337"/>
      <c r="AC235" s="337"/>
      <c r="AD235" s="337"/>
      <c r="AE235" s="353"/>
      <c r="AF235" s="355"/>
      <c r="AG235" s="423"/>
      <c r="AH235" s="424"/>
      <c r="AI235" s="337"/>
    </row>
    <row r="236" spans="1:35" ht="15">
      <c r="A236" s="367"/>
      <c r="B236" s="368"/>
      <c r="C236" s="337"/>
      <c r="D236" s="362"/>
      <c r="E236" s="400"/>
      <c r="F236" s="418"/>
      <c r="G236" s="418"/>
      <c r="H236" s="337"/>
      <c r="J236" s="367"/>
      <c r="K236" s="368"/>
      <c r="L236" s="337"/>
      <c r="M236" s="362"/>
      <c r="N236" s="400"/>
      <c r="O236" s="418"/>
      <c r="P236" s="418"/>
      <c r="Q236" s="337"/>
      <c r="S236" s="367"/>
      <c r="T236" s="368"/>
      <c r="U236" s="337"/>
      <c r="V236" s="362"/>
      <c r="W236" s="400"/>
      <c r="X236" s="418"/>
      <c r="Y236" s="418"/>
      <c r="Z236" s="337"/>
      <c r="AB236" s="367"/>
      <c r="AC236" s="368"/>
      <c r="AD236" s="337"/>
      <c r="AE236" s="353"/>
      <c r="AF236" s="355"/>
      <c r="AG236" s="423"/>
      <c r="AH236" s="424"/>
      <c r="AI236" s="337"/>
    </row>
    <row r="237" spans="1:35" ht="15">
      <c r="A237" s="337"/>
      <c r="B237" s="337"/>
      <c r="C237" s="337"/>
      <c r="D237" s="362"/>
      <c r="E237" s="400"/>
      <c r="F237" s="418"/>
      <c r="G237" s="418"/>
      <c r="H237" s="337"/>
      <c r="J237" s="337"/>
      <c r="K237" s="337"/>
      <c r="L237" s="337"/>
      <c r="M237" s="362"/>
      <c r="N237" s="400"/>
      <c r="O237" s="418"/>
      <c r="P237" s="418"/>
      <c r="Q237" s="337"/>
      <c r="S237" s="337"/>
      <c r="T237" s="337"/>
      <c r="U237" s="337"/>
      <c r="V237" s="362"/>
      <c r="W237" s="400"/>
      <c r="X237" s="418"/>
      <c r="Y237" s="418"/>
      <c r="Z237" s="337"/>
      <c r="AB237" s="337"/>
      <c r="AC237" s="337"/>
      <c r="AD237" s="337"/>
      <c r="AE237" s="353"/>
      <c r="AF237" s="355"/>
      <c r="AG237" s="423"/>
      <c r="AH237" s="424"/>
      <c r="AI237" s="337"/>
    </row>
    <row r="238" spans="1:35" ht="15">
      <c r="A238" s="336"/>
      <c r="B238" s="337"/>
      <c r="C238" s="338"/>
      <c r="E238" s="337"/>
      <c r="G238" s="337"/>
      <c r="H238" s="337"/>
      <c r="J238" s="336"/>
      <c r="K238" s="337"/>
      <c r="L238" s="338"/>
      <c r="N238" s="337"/>
      <c r="P238" s="337"/>
      <c r="Q238" s="337"/>
      <c r="S238" s="336"/>
      <c r="T238" s="337"/>
      <c r="U238" s="338"/>
      <c r="W238" s="337"/>
      <c r="Y238" s="337"/>
      <c r="Z238" s="337"/>
    </row>
    <row r="239" spans="1:35" ht="15">
      <c r="A239" s="339"/>
      <c r="B239" s="419"/>
      <c r="C239" s="419"/>
      <c r="D239" s="419"/>
      <c r="E239" s="419"/>
      <c r="F239" s="419"/>
      <c r="G239" s="419"/>
      <c r="H239" s="337"/>
      <c r="J239" s="339"/>
      <c r="K239" s="419"/>
      <c r="L239" s="419"/>
      <c r="M239" s="419"/>
      <c r="N239" s="419"/>
      <c r="O239" s="419"/>
      <c r="P239" s="419"/>
      <c r="Q239" s="337"/>
      <c r="S239" s="339"/>
      <c r="T239" s="419"/>
      <c r="U239" s="419"/>
      <c r="V239" s="419"/>
      <c r="W239" s="419"/>
      <c r="X239" s="419"/>
      <c r="Y239" s="419"/>
      <c r="Z239" s="337"/>
      <c r="AB239" s="339"/>
      <c r="AC239" s="419"/>
      <c r="AD239" s="419"/>
      <c r="AE239" s="419"/>
      <c r="AF239" s="419"/>
      <c r="AG239" s="419"/>
      <c r="AH239" s="419"/>
      <c r="AI239" s="337"/>
    </row>
    <row r="240" spans="1:35" ht="15">
      <c r="A240" s="340"/>
      <c r="B240" s="341"/>
      <c r="C240" s="337"/>
      <c r="D240" s="337"/>
      <c r="E240" s="337"/>
      <c r="F240" s="337"/>
      <c r="G240" s="337"/>
      <c r="H240" s="337"/>
      <c r="J240" s="340"/>
      <c r="K240" s="341"/>
      <c r="L240" s="337"/>
      <c r="M240" s="337"/>
      <c r="N240" s="337"/>
      <c r="O240" s="337"/>
      <c r="P240" s="337"/>
      <c r="Q240" s="337"/>
      <c r="S240" s="340"/>
      <c r="T240" s="341"/>
      <c r="U240" s="337"/>
      <c r="V240" s="337"/>
      <c r="W240" s="337"/>
      <c r="X240" s="337"/>
      <c r="Y240" s="337"/>
      <c r="Z240" s="337"/>
      <c r="AB240" s="340"/>
      <c r="AC240" s="341"/>
      <c r="AD240" s="337"/>
      <c r="AE240" s="337"/>
      <c r="AF240" s="337"/>
      <c r="AG240" s="337"/>
      <c r="AH240" s="337"/>
      <c r="AI240" s="337"/>
    </row>
    <row r="241" spans="1:35" ht="15.4" thickBot="1">
      <c r="A241" s="337"/>
      <c r="B241" s="337"/>
      <c r="C241" s="337"/>
      <c r="D241" s="337"/>
      <c r="E241" s="337"/>
      <c r="F241" s="337"/>
      <c r="G241" s="337"/>
      <c r="H241" s="337"/>
      <c r="J241" s="337"/>
      <c r="K241" s="337"/>
      <c r="L241" s="337"/>
      <c r="M241" s="337"/>
      <c r="N241" s="337"/>
      <c r="O241" s="337"/>
      <c r="P241" s="337"/>
      <c r="Q241" s="337"/>
      <c r="S241" s="337"/>
      <c r="T241" s="337"/>
      <c r="U241" s="337"/>
      <c r="V241" s="337"/>
      <c r="W241" s="337"/>
      <c r="X241" s="337"/>
      <c r="Y241" s="337"/>
      <c r="Z241" s="337"/>
      <c r="AB241" s="337"/>
      <c r="AC241" s="337"/>
      <c r="AD241" s="337"/>
      <c r="AE241" s="337"/>
      <c r="AF241" s="337"/>
      <c r="AG241" s="337"/>
      <c r="AH241" s="337"/>
      <c r="AI241" s="337"/>
    </row>
    <row r="242" spans="1:35" ht="15.4" thickBot="1">
      <c r="A242" s="337"/>
      <c r="B242" s="394"/>
      <c r="C242" s="337"/>
      <c r="D242" s="337"/>
      <c r="E242" s="337"/>
      <c r="F242" s="362"/>
      <c r="G242" s="362"/>
      <c r="H242" s="337"/>
      <c r="J242" s="337"/>
      <c r="K242" s="394"/>
      <c r="L242" s="337"/>
      <c r="M242" s="337"/>
      <c r="N242" s="337"/>
      <c r="O242" s="362"/>
      <c r="P242" s="362"/>
      <c r="Q242" s="337"/>
      <c r="S242" s="337"/>
      <c r="T242" s="394"/>
      <c r="U242" s="337"/>
      <c r="V242" s="337"/>
      <c r="W242" s="337"/>
      <c r="X242" s="362"/>
      <c r="Y242" s="362"/>
      <c r="Z242" s="337"/>
      <c r="AB242" s="337"/>
      <c r="AC242" s="342"/>
      <c r="AD242" s="337"/>
      <c r="AE242" s="337"/>
      <c r="AF242" s="337"/>
      <c r="AG242" s="343"/>
      <c r="AH242" s="343"/>
      <c r="AI242" s="337"/>
    </row>
    <row r="243" spans="1:35" ht="15.4" thickBot="1">
      <c r="A243" s="337"/>
      <c r="B243" s="394"/>
      <c r="C243" s="337"/>
      <c r="D243" s="337"/>
      <c r="E243" s="362"/>
      <c r="F243" s="362"/>
      <c r="G243" s="395"/>
      <c r="H243" s="337"/>
      <c r="J243" s="337"/>
      <c r="K243" s="394"/>
      <c r="L243" s="337"/>
      <c r="M243" s="337"/>
      <c r="N243" s="362"/>
      <c r="O243" s="362"/>
      <c r="P243" s="395"/>
      <c r="Q243" s="337"/>
      <c r="S243" s="337"/>
      <c r="T243" s="394"/>
      <c r="U243" s="337"/>
      <c r="V243" s="337"/>
      <c r="W243" s="362"/>
      <c r="X243" s="362"/>
      <c r="Y243" s="395"/>
      <c r="Z243" s="337"/>
      <c r="AB243" s="337"/>
      <c r="AC243" s="344"/>
      <c r="AD243" s="345"/>
      <c r="AE243" s="346"/>
      <c r="AF243" s="343"/>
      <c r="AG243" s="343"/>
      <c r="AH243" s="347"/>
      <c r="AI243" s="337"/>
    </row>
    <row r="244" spans="1:35" ht="15.4" thickBot="1">
      <c r="A244" s="337"/>
      <c r="B244" s="394"/>
      <c r="C244" s="337"/>
      <c r="D244" s="337"/>
      <c r="E244" s="362"/>
      <c r="F244" s="362"/>
      <c r="G244" s="395"/>
      <c r="H244" s="337"/>
      <c r="J244" s="337"/>
      <c r="K244" s="394"/>
      <c r="L244" s="337"/>
      <c r="M244" s="337"/>
      <c r="N244" s="362"/>
      <c r="O244" s="362"/>
      <c r="P244" s="395"/>
      <c r="Q244" s="337"/>
      <c r="S244" s="337"/>
      <c r="T244" s="394"/>
      <c r="U244" s="337"/>
      <c r="V244" s="337"/>
      <c r="W244" s="362"/>
      <c r="X244" s="362"/>
      <c r="Y244" s="395"/>
      <c r="Z244" s="337"/>
      <c r="AB244" s="337"/>
      <c r="AC244" s="348"/>
      <c r="AD244" s="349"/>
      <c r="AE244" s="350"/>
      <c r="AF244" s="343"/>
      <c r="AG244" s="343"/>
      <c r="AH244" s="347"/>
      <c r="AI244" s="337"/>
    </row>
    <row r="245" spans="1:35" ht="15">
      <c r="A245" s="337"/>
      <c r="B245" s="337"/>
      <c r="C245" s="337"/>
      <c r="D245" s="337"/>
      <c r="E245" s="337"/>
      <c r="F245" s="337"/>
      <c r="G245" s="337"/>
      <c r="H245" s="337"/>
      <c r="J245" s="337"/>
      <c r="K245" s="337"/>
      <c r="L245" s="337"/>
      <c r="M245" s="337"/>
      <c r="N245" s="337"/>
      <c r="O245" s="337"/>
      <c r="P245" s="337"/>
      <c r="Q245" s="337"/>
      <c r="S245" s="337"/>
      <c r="T245" s="337"/>
      <c r="U245" s="337"/>
      <c r="V245" s="337"/>
      <c r="W245" s="337"/>
      <c r="X245" s="337"/>
      <c r="Y245" s="337"/>
      <c r="Z245" s="337"/>
      <c r="AB245" s="337"/>
      <c r="AC245" s="337"/>
      <c r="AD245" s="337"/>
      <c r="AE245" s="337"/>
      <c r="AF245" s="337"/>
      <c r="AG245" s="337"/>
      <c r="AH245" s="337"/>
      <c r="AI245" s="337"/>
    </row>
    <row r="246" spans="1:35" ht="15">
      <c r="A246" s="420"/>
      <c r="B246" s="420"/>
      <c r="C246" s="421"/>
      <c r="D246" s="420"/>
      <c r="E246" s="396"/>
      <c r="F246" s="397"/>
      <c r="G246" s="422"/>
      <c r="H246" s="422"/>
      <c r="J246" s="420"/>
      <c r="K246" s="420"/>
      <c r="L246" s="421"/>
      <c r="M246" s="420"/>
      <c r="N246" s="396"/>
      <c r="O246" s="397"/>
      <c r="P246" s="422"/>
      <c r="Q246" s="422"/>
      <c r="S246" s="420"/>
      <c r="T246" s="420"/>
      <c r="U246" s="421"/>
      <c r="V246" s="420"/>
      <c r="W246" s="396"/>
      <c r="X246" s="397"/>
      <c r="Y246" s="422"/>
      <c r="Z246" s="422"/>
      <c r="AB246" s="429"/>
      <c r="AC246" s="429"/>
      <c r="AD246" s="431"/>
      <c r="AE246" s="429"/>
      <c r="AF246" s="351"/>
      <c r="AG246" s="352"/>
      <c r="AH246" s="433"/>
      <c r="AI246" s="434"/>
    </row>
    <row r="247" spans="1:35" ht="15">
      <c r="A247" s="420"/>
      <c r="B247" s="420"/>
      <c r="C247" s="421"/>
      <c r="D247" s="420"/>
      <c r="E247" s="362"/>
      <c r="F247" s="362"/>
      <c r="G247" s="362"/>
      <c r="H247" s="362"/>
      <c r="J247" s="420"/>
      <c r="K247" s="420"/>
      <c r="L247" s="421"/>
      <c r="M247" s="420"/>
      <c r="N247" s="362"/>
      <c r="O247" s="362"/>
      <c r="P247" s="362"/>
      <c r="Q247" s="362"/>
      <c r="S247" s="420"/>
      <c r="T247" s="420"/>
      <c r="U247" s="421"/>
      <c r="V247" s="420"/>
      <c r="W247" s="362"/>
      <c r="X247" s="362"/>
      <c r="Y247" s="362"/>
      <c r="Z247" s="362"/>
      <c r="AB247" s="430"/>
      <c r="AC247" s="430"/>
      <c r="AD247" s="432"/>
      <c r="AE247" s="430"/>
      <c r="AF247" s="353"/>
      <c r="AG247" s="353"/>
      <c r="AH247" s="353"/>
      <c r="AI247" s="353"/>
    </row>
    <row r="248" spans="1:35" ht="15">
      <c r="A248" s="398"/>
      <c r="B248" s="398"/>
      <c r="C248" s="362"/>
      <c r="D248" s="400"/>
      <c r="E248" s="400"/>
      <c r="F248" s="400"/>
      <c r="G248" s="400"/>
      <c r="H248" s="400"/>
      <c r="J248" s="398"/>
      <c r="K248" s="398"/>
      <c r="L248" s="362"/>
      <c r="M248" s="400"/>
      <c r="N248" s="400"/>
      <c r="O248" s="400"/>
      <c r="P248" s="400"/>
      <c r="Q248" s="400"/>
      <c r="S248" s="398"/>
      <c r="T248" s="398"/>
      <c r="U248" s="362"/>
      <c r="V248" s="400"/>
      <c r="W248" s="400"/>
      <c r="X248" s="400"/>
      <c r="Y248" s="400"/>
      <c r="Z248" s="400"/>
      <c r="AB248" s="354"/>
      <c r="AC248" s="354"/>
      <c r="AD248" s="353"/>
      <c r="AE248" s="355"/>
      <c r="AF248" s="355"/>
      <c r="AG248" s="355"/>
      <c r="AH248" s="355"/>
      <c r="AI248" s="355"/>
    </row>
    <row r="249" spans="1:35" ht="15">
      <c r="A249" s="362"/>
      <c r="B249" s="402"/>
      <c r="C249" s="362"/>
      <c r="D249" s="405"/>
      <c r="E249" s="400"/>
      <c r="F249" s="400"/>
      <c r="G249" s="400"/>
      <c r="H249" s="400"/>
      <c r="J249" s="362"/>
      <c r="K249" s="402"/>
      <c r="L249" s="362"/>
      <c r="M249" s="405"/>
      <c r="N249" s="400"/>
      <c r="O249" s="400"/>
      <c r="P249" s="400"/>
      <c r="Q249" s="400"/>
      <c r="S249" s="362"/>
      <c r="T249" s="402"/>
      <c r="U249" s="362"/>
      <c r="V249" s="405"/>
      <c r="W249" s="400"/>
      <c r="X249" s="400"/>
      <c r="Y249" s="400"/>
      <c r="Z249" s="400"/>
      <c r="AB249" s="353"/>
      <c r="AC249" s="356"/>
      <c r="AD249" s="353"/>
      <c r="AE249" s="357"/>
      <c r="AF249" s="355"/>
      <c r="AG249" s="355"/>
      <c r="AH249" s="355"/>
      <c r="AI249" s="355"/>
    </row>
    <row r="250" spans="1:35" ht="15">
      <c r="A250" s="362"/>
      <c r="B250" s="402"/>
      <c r="C250" s="362"/>
      <c r="D250" s="405"/>
      <c r="E250" s="400"/>
      <c r="F250" s="400"/>
      <c r="G250" s="400"/>
      <c r="H250" s="400"/>
      <c r="J250" s="362"/>
      <c r="K250" s="402"/>
      <c r="L250" s="362"/>
      <c r="M250" s="405"/>
      <c r="N250" s="400"/>
      <c r="O250" s="400"/>
      <c r="P250" s="400"/>
      <c r="Q250" s="400"/>
      <c r="S250" s="362"/>
      <c r="T250" s="402"/>
      <c r="U250" s="362"/>
      <c r="V250" s="405"/>
      <c r="W250" s="400"/>
      <c r="X250" s="400"/>
      <c r="Y250" s="400"/>
      <c r="Z250" s="400"/>
      <c r="AB250" s="353"/>
      <c r="AC250" s="356"/>
      <c r="AD250" s="353"/>
      <c r="AE250" s="357"/>
      <c r="AF250" s="355"/>
      <c r="AG250" s="355"/>
      <c r="AH250" s="355"/>
      <c r="AI250" s="355"/>
    </row>
    <row r="251" spans="1:35" ht="15">
      <c r="A251" s="396"/>
      <c r="B251" s="402"/>
      <c r="C251" s="362"/>
      <c r="D251" s="405"/>
      <c r="E251" s="400"/>
      <c r="F251" s="406"/>
      <c r="G251" s="400"/>
      <c r="H251" s="406"/>
      <c r="J251" s="396"/>
      <c r="K251" s="402"/>
      <c r="L251" s="362"/>
      <c r="M251" s="405"/>
      <c r="N251" s="400"/>
      <c r="O251" s="406"/>
      <c r="P251" s="400"/>
      <c r="Q251" s="406"/>
      <c r="S251" s="396"/>
      <c r="T251" s="402"/>
      <c r="U251" s="362"/>
      <c r="V251" s="405"/>
      <c r="W251" s="400"/>
      <c r="X251" s="406"/>
      <c r="Y251" s="400"/>
      <c r="Z251" s="406"/>
      <c r="AB251" s="351"/>
      <c r="AC251" s="356"/>
      <c r="AD251" s="353"/>
      <c r="AE251" s="357"/>
      <c r="AF251" s="355"/>
      <c r="AG251" s="358"/>
      <c r="AH251" s="355"/>
      <c r="AI251" s="358"/>
    </row>
    <row r="252" spans="1:35" ht="15">
      <c r="A252" s="407"/>
      <c r="B252" s="402"/>
      <c r="C252" s="362"/>
      <c r="D252" s="400"/>
      <c r="E252" s="400"/>
      <c r="F252" s="406"/>
      <c r="G252" s="400"/>
      <c r="H252" s="406"/>
      <c r="J252" s="407"/>
      <c r="K252" s="402"/>
      <c r="L252" s="362"/>
      <c r="M252" s="400"/>
      <c r="N252" s="400"/>
      <c r="O252" s="406"/>
      <c r="P252" s="400"/>
      <c r="Q252" s="406"/>
      <c r="S252" s="407"/>
      <c r="T252" s="402"/>
      <c r="U252" s="362"/>
      <c r="V252" s="400"/>
      <c r="W252" s="400"/>
      <c r="X252" s="406"/>
      <c r="Y252" s="400"/>
      <c r="Z252" s="406"/>
      <c r="AB252" s="359"/>
      <c r="AC252" s="356"/>
      <c r="AD252" s="353"/>
      <c r="AE252" s="355"/>
      <c r="AF252" s="355"/>
      <c r="AG252" s="358"/>
      <c r="AH252" s="355"/>
      <c r="AI252" s="358"/>
    </row>
    <row r="253" spans="1:35" ht="15">
      <c r="A253" s="362"/>
      <c r="B253" s="402"/>
      <c r="C253" s="362"/>
      <c r="D253" s="400"/>
      <c r="E253" s="400"/>
      <c r="F253" s="406"/>
      <c r="G253" s="400"/>
      <c r="H253" s="406"/>
      <c r="J253" s="362"/>
      <c r="K253" s="402"/>
      <c r="L253" s="362"/>
      <c r="M253" s="400"/>
      <c r="N253" s="400"/>
      <c r="O253" s="406"/>
      <c r="P253" s="400"/>
      <c r="Q253" s="406"/>
      <c r="S253" s="362"/>
      <c r="T253" s="402"/>
      <c r="U253" s="362"/>
      <c r="V253" s="400"/>
      <c r="W253" s="400"/>
      <c r="X253" s="406"/>
      <c r="Y253" s="400"/>
      <c r="Z253" s="406"/>
      <c r="AB253" s="353"/>
      <c r="AC253" s="356"/>
      <c r="AD253" s="353"/>
      <c r="AE253" s="355"/>
      <c r="AF253" s="355"/>
      <c r="AG253" s="358"/>
      <c r="AH253" s="355"/>
      <c r="AI253" s="358"/>
    </row>
    <row r="254" spans="1:35" ht="15">
      <c r="A254" s="396"/>
      <c r="B254" s="402"/>
      <c r="C254" s="362"/>
      <c r="D254" s="400"/>
      <c r="E254" s="400"/>
      <c r="F254" s="406"/>
      <c r="G254" s="362"/>
      <c r="H254" s="406"/>
      <c r="J254" s="396"/>
      <c r="K254" s="402"/>
      <c r="L254" s="362"/>
      <c r="M254" s="400"/>
      <c r="N254" s="400"/>
      <c r="O254" s="406"/>
      <c r="P254" s="362"/>
      <c r="Q254" s="406"/>
      <c r="S254" s="396"/>
      <c r="T254" s="402"/>
      <c r="U254" s="362"/>
      <c r="V254" s="400"/>
      <c r="W254" s="400"/>
      <c r="X254" s="406"/>
      <c r="Y254" s="362"/>
      <c r="Z254" s="406"/>
      <c r="AB254" s="351"/>
      <c r="AC254" s="356"/>
      <c r="AD254" s="353"/>
      <c r="AE254" s="355"/>
      <c r="AF254" s="355"/>
      <c r="AG254" s="358"/>
      <c r="AH254" s="353"/>
      <c r="AI254" s="358"/>
    </row>
    <row r="255" spans="1:35" ht="15">
      <c r="A255" s="407"/>
      <c r="B255" s="402"/>
      <c r="C255" s="362"/>
      <c r="D255" s="400"/>
      <c r="E255" s="362"/>
      <c r="F255" s="406"/>
      <c r="G255" s="362"/>
      <c r="H255" s="406"/>
      <c r="J255" s="407"/>
      <c r="K255" s="402"/>
      <c r="L255" s="362"/>
      <c r="M255" s="400"/>
      <c r="N255" s="362"/>
      <c r="O255" s="406"/>
      <c r="P255" s="362"/>
      <c r="Q255" s="406"/>
      <c r="S255" s="407"/>
      <c r="T255" s="402"/>
      <c r="U255" s="362"/>
      <c r="V255" s="400"/>
      <c r="W255" s="362"/>
      <c r="X255" s="406"/>
      <c r="Y255" s="362"/>
      <c r="Z255" s="406"/>
      <c r="AB255" s="359"/>
      <c r="AC255" s="356"/>
      <c r="AD255" s="353"/>
      <c r="AE255" s="355"/>
      <c r="AF255" s="353"/>
      <c r="AG255" s="358"/>
      <c r="AH255" s="353"/>
      <c r="AI255" s="358"/>
    </row>
    <row r="256" spans="1:35" ht="15">
      <c r="A256" s="362"/>
      <c r="B256" s="402"/>
      <c r="C256" s="362"/>
      <c r="D256" s="400"/>
      <c r="E256" s="362"/>
      <c r="F256" s="406"/>
      <c r="G256" s="362"/>
      <c r="H256" s="406"/>
      <c r="J256" s="362"/>
      <c r="K256" s="402"/>
      <c r="L256" s="362"/>
      <c r="M256" s="400"/>
      <c r="N256" s="362"/>
      <c r="O256" s="406"/>
      <c r="P256" s="362"/>
      <c r="Q256" s="406"/>
      <c r="S256" s="362"/>
      <c r="T256" s="402"/>
      <c r="U256" s="362"/>
      <c r="V256" s="400"/>
      <c r="W256" s="362"/>
      <c r="X256" s="406"/>
      <c r="Y256" s="362"/>
      <c r="Z256" s="406"/>
      <c r="AB256" s="353"/>
      <c r="AC256" s="356"/>
      <c r="AD256" s="353"/>
      <c r="AE256" s="355"/>
      <c r="AF256" s="353"/>
      <c r="AG256" s="358"/>
      <c r="AH256" s="353"/>
      <c r="AI256" s="358"/>
    </row>
    <row r="257" spans="1:35" ht="15">
      <c r="A257" s="337"/>
      <c r="B257" s="337"/>
      <c r="C257" s="360"/>
      <c r="D257" s="400"/>
      <c r="E257" s="362"/>
      <c r="F257" s="400"/>
      <c r="G257" s="408"/>
      <c r="H257" s="400"/>
      <c r="J257" s="337"/>
      <c r="K257" s="337"/>
      <c r="L257" s="360"/>
      <c r="M257" s="400"/>
      <c r="N257" s="362"/>
      <c r="O257" s="400"/>
      <c r="P257" s="408"/>
      <c r="Q257" s="400"/>
      <c r="S257" s="337"/>
      <c r="T257" s="337"/>
      <c r="U257" s="360"/>
      <c r="V257" s="400"/>
      <c r="W257" s="362"/>
      <c r="X257" s="400"/>
      <c r="Y257" s="408"/>
      <c r="Z257" s="400"/>
      <c r="AB257" s="337"/>
      <c r="AC257" s="337"/>
      <c r="AD257" s="360"/>
      <c r="AE257" s="361"/>
      <c r="AF257" s="362"/>
      <c r="AG257" s="361"/>
      <c r="AH257" s="363"/>
      <c r="AI257" s="361"/>
    </row>
    <row r="258" spans="1:35" ht="15">
      <c r="A258" s="337"/>
      <c r="B258" s="337"/>
      <c r="C258" s="337"/>
      <c r="D258" s="337"/>
      <c r="E258" s="337"/>
      <c r="F258" s="337"/>
      <c r="G258" s="337"/>
      <c r="H258" s="337"/>
      <c r="J258" s="337"/>
      <c r="K258" s="337"/>
      <c r="L258" s="337"/>
      <c r="M258" s="337"/>
      <c r="N258" s="337"/>
      <c r="O258" s="337"/>
      <c r="P258" s="337"/>
      <c r="Q258" s="337"/>
      <c r="S258" s="337"/>
      <c r="T258" s="337"/>
      <c r="U258" s="337"/>
      <c r="V258" s="337"/>
      <c r="W258" s="337"/>
      <c r="X258" s="337"/>
      <c r="Y258" s="337"/>
      <c r="Z258" s="337"/>
      <c r="AB258" s="337"/>
      <c r="AC258" s="337"/>
      <c r="AD258" s="337"/>
      <c r="AE258" s="337"/>
      <c r="AF258" s="337"/>
      <c r="AG258" s="337"/>
      <c r="AH258" s="337"/>
      <c r="AI258" s="337"/>
    </row>
    <row r="259" spans="1:35" ht="15">
      <c r="A259" s="337"/>
      <c r="B259" s="337"/>
      <c r="C259" s="364"/>
      <c r="D259" s="365"/>
      <c r="E259" s="337"/>
      <c r="F259" s="337"/>
      <c r="G259" s="337"/>
      <c r="H259" s="337"/>
      <c r="J259" s="337"/>
      <c r="K259" s="337"/>
      <c r="L259" s="364"/>
      <c r="M259" s="365"/>
      <c r="N259" s="337"/>
      <c r="O259" s="337"/>
      <c r="P259" s="337"/>
      <c r="Q259" s="337"/>
      <c r="S259" s="337"/>
      <c r="T259" s="337"/>
      <c r="U259" s="364"/>
      <c r="V259" s="365"/>
      <c r="W259" s="337"/>
      <c r="X259" s="337"/>
      <c r="Y259" s="337"/>
      <c r="Z259" s="337"/>
      <c r="AB259" s="337"/>
      <c r="AC259" s="337"/>
      <c r="AD259" s="364"/>
      <c r="AE259" s="365"/>
      <c r="AF259" s="337"/>
      <c r="AG259" s="337"/>
      <c r="AH259" s="337"/>
      <c r="AI259" s="337"/>
    </row>
    <row r="260" spans="1:35" ht="15">
      <c r="A260" s="337"/>
      <c r="B260" s="337"/>
      <c r="C260" s="364"/>
      <c r="D260" s="365"/>
      <c r="E260" s="337"/>
      <c r="F260" s="337"/>
      <c r="G260" s="337"/>
      <c r="H260" s="337"/>
      <c r="J260" s="337"/>
      <c r="K260" s="337"/>
      <c r="L260" s="364"/>
      <c r="M260" s="365"/>
      <c r="N260" s="337"/>
      <c r="O260" s="337"/>
      <c r="P260" s="337"/>
      <c r="Q260" s="337"/>
      <c r="S260" s="337"/>
      <c r="T260" s="337"/>
      <c r="U260" s="364"/>
      <c r="V260" s="365"/>
      <c r="W260" s="337"/>
      <c r="X260" s="337"/>
      <c r="Y260" s="337"/>
      <c r="Z260" s="337"/>
      <c r="AB260" s="337"/>
      <c r="AC260" s="337"/>
      <c r="AD260" s="364"/>
      <c r="AE260" s="365"/>
      <c r="AF260" s="337"/>
      <c r="AG260" s="337"/>
      <c r="AH260" s="337"/>
      <c r="AI260" s="337"/>
    </row>
    <row r="261" spans="1:35" ht="15">
      <c r="A261" s="366"/>
      <c r="B261" s="337"/>
      <c r="C261" s="337"/>
      <c r="D261" s="337"/>
      <c r="E261" s="337"/>
      <c r="F261" s="337"/>
      <c r="G261" s="337"/>
      <c r="H261" s="337"/>
      <c r="J261" s="366"/>
      <c r="K261" s="337"/>
      <c r="L261" s="337"/>
      <c r="M261" s="337"/>
      <c r="N261" s="337"/>
      <c r="O261" s="337"/>
      <c r="P261" s="337"/>
      <c r="Q261" s="337"/>
      <c r="S261" s="366"/>
      <c r="T261" s="337"/>
      <c r="U261" s="337"/>
      <c r="V261" s="337"/>
      <c r="W261" s="337"/>
      <c r="X261" s="337"/>
      <c r="Y261" s="337"/>
      <c r="Z261" s="337"/>
      <c r="AB261" s="366"/>
      <c r="AC261" s="337"/>
      <c r="AD261" s="337"/>
      <c r="AE261" s="337"/>
      <c r="AF261" s="337"/>
      <c r="AG261" s="337"/>
      <c r="AH261" s="337"/>
      <c r="AI261" s="337"/>
    </row>
    <row r="262" spans="1:35" ht="15">
      <c r="A262" s="337"/>
      <c r="B262" s="337"/>
      <c r="C262" s="337"/>
      <c r="D262" s="420"/>
      <c r="E262" s="420"/>
      <c r="F262" s="420"/>
      <c r="G262" s="420"/>
      <c r="H262" s="337"/>
      <c r="J262" s="337"/>
      <c r="K262" s="337"/>
      <c r="L262" s="337"/>
      <c r="M262" s="420"/>
      <c r="N262" s="420"/>
      <c r="O262" s="420"/>
      <c r="P262" s="420"/>
      <c r="Q262" s="337"/>
      <c r="S262" s="337"/>
      <c r="T262" s="337"/>
      <c r="U262" s="337"/>
      <c r="V262" s="420"/>
      <c r="W262" s="420"/>
      <c r="X262" s="420"/>
      <c r="Y262" s="420"/>
      <c r="Z262" s="337"/>
      <c r="AB262" s="337"/>
      <c r="AC262" s="337"/>
      <c r="AD262" s="337"/>
      <c r="AE262" s="429"/>
      <c r="AF262" s="429"/>
      <c r="AG262" s="425"/>
      <c r="AH262" s="426"/>
      <c r="AI262" s="337"/>
    </row>
    <row r="263" spans="1:35" ht="30.75" customHeight="1">
      <c r="A263" s="337"/>
      <c r="B263" s="337"/>
      <c r="C263" s="337"/>
      <c r="D263" s="420"/>
      <c r="E263" s="420"/>
      <c r="F263" s="420"/>
      <c r="G263" s="420"/>
      <c r="H263" s="337"/>
      <c r="J263" s="337"/>
      <c r="K263" s="337"/>
      <c r="L263" s="337"/>
      <c r="M263" s="420"/>
      <c r="N263" s="420"/>
      <c r="O263" s="420"/>
      <c r="P263" s="420"/>
      <c r="Q263" s="337"/>
      <c r="S263" s="337"/>
      <c r="T263" s="337"/>
      <c r="U263" s="337"/>
      <c r="V263" s="420"/>
      <c r="W263" s="420"/>
      <c r="X263" s="420"/>
      <c r="Y263" s="420"/>
      <c r="Z263" s="337"/>
      <c r="AB263" s="337"/>
      <c r="AC263" s="337"/>
      <c r="AD263" s="337"/>
      <c r="AE263" s="430"/>
      <c r="AF263" s="430"/>
      <c r="AG263" s="427"/>
      <c r="AH263" s="428"/>
      <c r="AI263" s="337"/>
    </row>
    <row r="264" spans="1:35" ht="15">
      <c r="A264" s="337"/>
      <c r="B264" s="337"/>
      <c r="C264" s="337"/>
      <c r="D264" s="362"/>
      <c r="E264" s="400"/>
      <c r="F264" s="418"/>
      <c r="G264" s="418"/>
      <c r="H264" s="337"/>
      <c r="J264" s="337"/>
      <c r="K264" s="337"/>
      <c r="L264" s="337"/>
      <c r="M264" s="362"/>
      <c r="N264" s="400"/>
      <c r="O264" s="418"/>
      <c r="P264" s="418"/>
      <c r="Q264" s="337"/>
      <c r="S264" s="337"/>
      <c r="T264" s="337"/>
      <c r="U264" s="337"/>
      <c r="V264" s="362"/>
      <c r="W264" s="400"/>
      <c r="X264" s="418"/>
      <c r="Y264" s="418"/>
      <c r="Z264" s="337"/>
      <c r="AB264" s="337"/>
      <c r="AC264" s="337"/>
      <c r="AD264" s="337"/>
      <c r="AE264" s="353"/>
      <c r="AF264" s="355"/>
      <c r="AG264" s="423"/>
      <c r="AH264" s="424"/>
      <c r="AI264" s="337"/>
    </row>
    <row r="265" spans="1:35" ht="15">
      <c r="A265" s="367"/>
      <c r="B265" s="368"/>
      <c r="C265" s="337"/>
      <c r="D265" s="362"/>
      <c r="E265" s="400"/>
      <c r="F265" s="418"/>
      <c r="G265" s="418"/>
      <c r="H265" s="337"/>
      <c r="J265" s="367"/>
      <c r="K265" s="368"/>
      <c r="L265" s="337"/>
      <c r="M265" s="362"/>
      <c r="N265" s="400"/>
      <c r="O265" s="418"/>
      <c r="P265" s="418"/>
      <c r="Q265" s="337"/>
      <c r="S265" s="367"/>
      <c r="T265" s="368"/>
      <c r="U265" s="337"/>
      <c r="V265" s="362"/>
      <c r="W265" s="400"/>
      <c r="X265" s="418"/>
      <c r="Y265" s="418"/>
      <c r="Z265" s="337"/>
      <c r="AB265" s="367"/>
      <c r="AC265" s="368"/>
      <c r="AD265" s="337"/>
      <c r="AE265" s="353"/>
      <c r="AF265" s="355"/>
      <c r="AG265" s="423"/>
      <c r="AH265" s="424"/>
      <c r="AI265" s="337"/>
    </row>
    <row r="266" spans="1:35" ht="15">
      <c r="A266" s="337"/>
      <c r="B266" s="337"/>
      <c r="C266" s="337"/>
      <c r="D266" s="362"/>
      <c r="E266" s="400"/>
      <c r="F266" s="418"/>
      <c r="G266" s="418"/>
      <c r="H266" s="337"/>
      <c r="J266" s="337"/>
      <c r="K266" s="337"/>
      <c r="L266" s="337"/>
      <c r="M266" s="362"/>
      <c r="N266" s="400"/>
      <c r="O266" s="418"/>
      <c r="P266" s="418"/>
      <c r="Q266" s="337"/>
      <c r="S266" s="337"/>
      <c r="T266" s="337"/>
      <c r="U266" s="337"/>
      <c r="V266" s="362"/>
      <c r="W266" s="400"/>
      <c r="X266" s="418"/>
      <c r="Y266" s="418"/>
      <c r="Z266" s="337"/>
      <c r="AB266" s="337"/>
      <c r="AC266" s="337"/>
      <c r="AD266" s="337"/>
      <c r="AE266" s="353"/>
      <c r="AF266" s="355"/>
      <c r="AG266" s="423"/>
      <c r="AH266" s="424"/>
      <c r="AI266" s="337"/>
    </row>
    <row r="267" spans="1:35" ht="15">
      <c r="A267" s="336"/>
      <c r="B267" s="337"/>
      <c r="C267" s="338"/>
      <c r="E267" s="337"/>
      <c r="G267" s="337"/>
      <c r="H267" s="337"/>
      <c r="J267" s="336"/>
      <c r="K267" s="337"/>
      <c r="L267" s="338"/>
      <c r="N267" s="337"/>
      <c r="P267" s="337"/>
      <c r="Q267" s="337"/>
      <c r="S267" s="336"/>
      <c r="T267" s="337"/>
      <c r="U267" s="338"/>
      <c r="W267" s="337"/>
      <c r="Y267" s="337"/>
      <c r="Z267" s="337"/>
    </row>
    <row r="268" spans="1:35" ht="15">
      <c r="A268" s="339"/>
      <c r="B268" s="419"/>
      <c r="C268" s="419"/>
      <c r="D268" s="419"/>
      <c r="E268" s="419"/>
      <c r="F268" s="419"/>
      <c r="G268" s="419"/>
      <c r="H268" s="337"/>
      <c r="J268" s="339"/>
      <c r="K268" s="419"/>
      <c r="L268" s="419"/>
      <c r="M268" s="419"/>
      <c r="N268" s="419"/>
      <c r="O268" s="419"/>
      <c r="P268" s="419"/>
      <c r="Q268" s="337"/>
      <c r="S268" s="339"/>
      <c r="T268" s="419"/>
      <c r="U268" s="419"/>
      <c r="V268" s="419"/>
      <c r="W268" s="419"/>
      <c r="X268" s="419"/>
      <c r="Y268" s="419"/>
      <c r="Z268" s="337"/>
      <c r="AB268" s="339"/>
      <c r="AC268" s="419"/>
      <c r="AD268" s="419"/>
      <c r="AE268" s="419"/>
      <c r="AF268" s="419"/>
      <c r="AG268" s="419"/>
      <c r="AH268" s="419"/>
      <c r="AI268" s="337"/>
    </row>
    <row r="269" spans="1:35" ht="15">
      <c r="A269" s="340"/>
      <c r="B269" s="341"/>
      <c r="C269" s="337"/>
      <c r="D269" s="337"/>
      <c r="E269" s="337"/>
      <c r="F269" s="337"/>
      <c r="G269" s="337"/>
      <c r="H269" s="337"/>
      <c r="J269" s="340"/>
      <c r="K269" s="341"/>
      <c r="L269" s="337"/>
      <c r="M269" s="337"/>
      <c r="N269" s="337"/>
      <c r="O269" s="337"/>
      <c r="P269" s="337"/>
      <c r="Q269" s="337"/>
      <c r="S269" s="340"/>
      <c r="T269" s="341"/>
      <c r="U269" s="337"/>
      <c r="V269" s="337"/>
      <c r="W269" s="337"/>
      <c r="X269" s="337"/>
      <c r="Y269" s="337"/>
      <c r="Z269" s="337"/>
      <c r="AB269" s="340"/>
      <c r="AC269" s="341"/>
      <c r="AD269" s="337"/>
      <c r="AE269" s="337"/>
      <c r="AF269" s="337"/>
      <c r="AG269" s="337"/>
      <c r="AH269" s="337"/>
      <c r="AI269" s="337"/>
    </row>
    <row r="270" spans="1:35" ht="15.4" thickBot="1">
      <c r="A270" s="337"/>
      <c r="B270" s="337"/>
      <c r="C270" s="337"/>
      <c r="D270" s="337"/>
      <c r="E270" s="337"/>
      <c r="F270" s="337"/>
      <c r="G270" s="337"/>
      <c r="H270" s="337"/>
      <c r="J270" s="337"/>
      <c r="K270" s="337"/>
      <c r="L270" s="337"/>
      <c r="M270" s="337"/>
      <c r="N270" s="337"/>
      <c r="O270" s="337"/>
      <c r="P270" s="337"/>
      <c r="Q270" s="337"/>
      <c r="S270" s="337"/>
      <c r="T270" s="337"/>
      <c r="U270" s="337"/>
      <c r="V270" s="337"/>
      <c r="W270" s="337"/>
      <c r="X270" s="337"/>
      <c r="Y270" s="337"/>
      <c r="Z270" s="337"/>
      <c r="AB270" s="337"/>
      <c r="AC270" s="337"/>
      <c r="AD270" s="337"/>
      <c r="AE270" s="337"/>
      <c r="AF270" s="337"/>
      <c r="AG270" s="337"/>
      <c r="AH270" s="337"/>
      <c r="AI270" s="337"/>
    </row>
    <row r="271" spans="1:35" ht="15.4" thickBot="1">
      <c r="A271" s="337"/>
      <c r="B271" s="394"/>
      <c r="C271" s="337"/>
      <c r="D271" s="337"/>
      <c r="E271" s="337"/>
      <c r="F271" s="362"/>
      <c r="G271" s="362"/>
      <c r="H271" s="337"/>
      <c r="J271" s="337"/>
      <c r="K271" s="392"/>
      <c r="L271" s="337"/>
      <c r="M271" s="337"/>
      <c r="N271" s="337"/>
      <c r="O271" s="362"/>
      <c r="P271" s="362"/>
      <c r="Q271" s="337"/>
      <c r="S271" s="337"/>
      <c r="T271" s="394"/>
      <c r="U271" s="337"/>
      <c r="V271" s="337"/>
      <c r="W271" s="337"/>
      <c r="X271" s="362"/>
      <c r="Y271" s="362"/>
      <c r="Z271" s="337"/>
      <c r="AB271" s="337"/>
      <c r="AC271" s="342"/>
      <c r="AD271" s="337"/>
      <c r="AE271" s="337"/>
      <c r="AF271" s="337"/>
      <c r="AG271" s="343"/>
      <c r="AH271" s="343"/>
      <c r="AI271" s="337"/>
    </row>
    <row r="272" spans="1:35" ht="15.4" thickBot="1">
      <c r="A272" s="337"/>
      <c r="B272" s="394"/>
      <c r="C272" s="337"/>
      <c r="D272" s="337"/>
      <c r="E272" s="362"/>
      <c r="F272" s="362"/>
      <c r="G272" s="395"/>
      <c r="H272" s="337"/>
      <c r="J272" s="337"/>
      <c r="K272" s="394"/>
      <c r="L272" s="337"/>
      <c r="M272" s="337"/>
      <c r="N272" s="362"/>
      <c r="O272" s="362"/>
      <c r="P272" s="395"/>
      <c r="Q272" s="337"/>
      <c r="S272" s="337"/>
      <c r="T272" s="394"/>
      <c r="U272" s="337"/>
      <c r="V272" s="337"/>
      <c r="W272" s="362"/>
      <c r="X272" s="362"/>
      <c r="Y272" s="395"/>
      <c r="Z272" s="337"/>
      <c r="AB272" s="337"/>
      <c r="AC272" s="344"/>
      <c r="AD272" s="345"/>
      <c r="AE272" s="346"/>
      <c r="AF272" s="343"/>
      <c r="AG272" s="343"/>
      <c r="AH272" s="347"/>
      <c r="AI272" s="337"/>
    </row>
    <row r="273" spans="1:35" ht="15.4" thickBot="1">
      <c r="A273" s="337"/>
      <c r="B273" s="394"/>
      <c r="C273" s="337"/>
      <c r="D273" s="337"/>
      <c r="E273" s="362"/>
      <c r="F273" s="362"/>
      <c r="G273" s="395"/>
      <c r="H273" s="337"/>
      <c r="J273" s="337"/>
      <c r="K273" s="394"/>
      <c r="L273" s="337"/>
      <c r="M273" s="337"/>
      <c r="N273" s="362"/>
      <c r="O273" s="362"/>
      <c r="P273" s="395"/>
      <c r="Q273" s="337"/>
      <c r="S273" s="337"/>
      <c r="T273" s="394"/>
      <c r="U273" s="337"/>
      <c r="V273" s="337"/>
      <c r="W273" s="362"/>
      <c r="X273" s="362"/>
      <c r="Y273" s="395"/>
      <c r="Z273" s="337"/>
      <c r="AB273" s="337"/>
      <c r="AC273" s="348"/>
      <c r="AD273" s="349"/>
      <c r="AE273" s="350"/>
      <c r="AF273" s="343"/>
      <c r="AG273" s="343"/>
      <c r="AH273" s="347"/>
      <c r="AI273" s="337"/>
    </row>
    <row r="274" spans="1:35" ht="15">
      <c r="A274" s="337"/>
      <c r="B274" s="337"/>
      <c r="C274" s="337"/>
      <c r="D274" s="337"/>
      <c r="E274" s="337"/>
      <c r="F274" s="337"/>
      <c r="G274" s="337"/>
      <c r="H274" s="337"/>
      <c r="J274" s="337"/>
      <c r="K274" s="337"/>
      <c r="L274" s="337"/>
      <c r="M274" s="337"/>
      <c r="N274" s="337"/>
      <c r="O274" s="337"/>
      <c r="P274" s="337"/>
      <c r="Q274" s="337"/>
      <c r="S274" s="337"/>
      <c r="T274" s="337"/>
      <c r="U274" s="337"/>
      <c r="V274" s="337"/>
      <c r="W274" s="337"/>
      <c r="X274" s="337"/>
      <c r="Y274" s="337"/>
      <c r="Z274" s="337"/>
      <c r="AB274" s="337"/>
      <c r="AC274" s="337"/>
      <c r="AD274" s="337"/>
      <c r="AE274" s="337"/>
      <c r="AF274" s="337"/>
      <c r="AG274" s="337"/>
      <c r="AH274" s="337"/>
      <c r="AI274" s="337"/>
    </row>
    <row r="275" spans="1:35" ht="15">
      <c r="A275" s="420"/>
      <c r="B275" s="420"/>
      <c r="C275" s="421"/>
      <c r="D275" s="420"/>
      <c r="E275" s="396"/>
      <c r="F275" s="397"/>
      <c r="G275" s="422"/>
      <c r="H275" s="422"/>
      <c r="J275" s="420"/>
      <c r="K275" s="420"/>
      <c r="L275" s="421"/>
      <c r="M275" s="420"/>
      <c r="N275" s="396"/>
      <c r="O275" s="397"/>
      <c r="P275" s="422"/>
      <c r="Q275" s="422"/>
      <c r="S275" s="420"/>
      <c r="T275" s="420"/>
      <c r="U275" s="421"/>
      <c r="V275" s="420"/>
      <c r="W275" s="396"/>
      <c r="X275" s="397"/>
      <c r="Y275" s="422"/>
      <c r="Z275" s="422"/>
      <c r="AB275" s="429"/>
      <c r="AC275" s="429"/>
      <c r="AD275" s="431"/>
      <c r="AE275" s="429"/>
      <c r="AF275" s="351"/>
      <c r="AG275" s="352"/>
      <c r="AH275" s="433"/>
      <c r="AI275" s="434"/>
    </row>
    <row r="276" spans="1:35" ht="15">
      <c r="A276" s="420"/>
      <c r="B276" s="420"/>
      <c r="C276" s="421"/>
      <c r="D276" s="420"/>
      <c r="E276" s="362"/>
      <c r="F276" s="362"/>
      <c r="G276" s="362"/>
      <c r="H276" s="362"/>
      <c r="J276" s="420"/>
      <c r="K276" s="420"/>
      <c r="L276" s="421"/>
      <c r="M276" s="420"/>
      <c r="N276" s="362"/>
      <c r="O276" s="362"/>
      <c r="P276" s="362"/>
      <c r="Q276" s="362"/>
      <c r="S276" s="420"/>
      <c r="T276" s="420"/>
      <c r="U276" s="421"/>
      <c r="V276" s="420"/>
      <c r="W276" s="362"/>
      <c r="X276" s="362"/>
      <c r="Y276" s="362"/>
      <c r="Z276" s="362"/>
      <c r="AB276" s="430"/>
      <c r="AC276" s="430"/>
      <c r="AD276" s="432"/>
      <c r="AE276" s="430"/>
      <c r="AF276" s="353"/>
      <c r="AG276" s="353"/>
      <c r="AH276" s="353"/>
      <c r="AI276" s="353"/>
    </row>
    <row r="277" spans="1:35" ht="15">
      <c r="A277" s="398"/>
      <c r="B277" s="398"/>
      <c r="C277" s="362"/>
      <c r="D277" s="400"/>
      <c r="E277" s="400"/>
      <c r="F277" s="400"/>
      <c r="G277" s="400"/>
      <c r="H277" s="400"/>
      <c r="J277" s="398"/>
      <c r="K277" s="398"/>
      <c r="L277" s="362"/>
      <c r="M277" s="400"/>
      <c r="N277" s="400"/>
      <c r="O277" s="400"/>
      <c r="P277" s="400"/>
      <c r="Q277" s="400"/>
      <c r="S277" s="398"/>
      <c r="T277" s="398"/>
      <c r="U277" s="362"/>
      <c r="V277" s="400"/>
      <c r="W277" s="400"/>
      <c r="X277" s="400"/>
      <c r="Y277" s="400"/>
      <c r="Z277" s="400"/>
      <c r="AB277" s="354"/>
      <c r="AC277" s="354"/>
      <c r="AD277" s="353"/>
      <c r="AE277" s="355"/>
      <c r="AF277" s="355"/>
      <c r="AG277" s="355"/>
      <c r="AH277" s="355"/>
      <c r="AI277" s="355"/>
    </row>
    <row r="278" spans="1:35" ht="15">
      <c r="A278" s="362"/>
      <c r="B278" s="402"/>
      <c r="C278" s="362"/>
      <c r="D278" s="405"/>
      <c r="E278" s="400"/>
      <c r="F278" s="400"/>
      <c r="G278" s="400"/>
      <c r="H278" s="400"/>
      <c r="J278" s="362"/>
      <c r="K278" s="402"/>
      <c r="L278" s="362"/>
      <c r="M278" s="405"/>
      <c r="N278" s="400"/>
      <c r="O278" s="400"/>
      <c r="P278" s="400"/>
      <c r="Q278" s="400"/>
      <c r="S278" s="362"/>
      <c r="T278" s="402"/>
      <c r="U278" s="362"/>
      <c r="V278" s="405"/>
      <c r="W278" s="400"/>
      <c r="X278" s="400"/>
      <c r="Y278" s="400"/>
      <c r="Z278" s="400"/>
      <c r="AB278" s="353"/>
      <c r="AC278" s="356"/>
      <c r="AD278" s="353"/>
      <c r="AE278" s="357"/>
      <c r="AF278" s="355"/>
      <c r="AG278" s="355"/>
      <c r="AH278" s="355"/>
      <c r="AI278" s="355"/>
    </row>
    <row r="279" spans="1:35" ht="15">
      <c r="A279" s="362"/>
      <c r="B279" s="402"/>
      <c r="C279" s="362"/>
      <c r="D279" s="405"/>
      <c r="E279" s="400"/>
      <c r="F279" s="400"/>
      <c r="G279" s="400"/>
      <c r="H279" s="400"/>
      <c r="J279" s="362"/>
      <c r="K279" s="402"/>
      <c r="L279" s="362"/>
      <c r="M279" s="405"/>
      <c r="N279" s="400"/>
      <c r="O279" s="400"/>
      <c r="P279" s="400"/>
      <c r="Q279" s="400"/>
      <c r="S279" s="362"/>
      <c r="T279" s="402"/>
      <c r="U279" s="362"/>
      <c r="V279" s="405"/>
      <c r="W279" s="400"/>
      <c r="X279" s="400"/>
      <c r="Y279" s="400"/>
      <c r="Z279" s="400"/>
      <c r="AB279" s="353"/>
      <c r="AC279" s="356"/>
      <c r="AD279" s="353"/>
      <c r="AE279" s="357"/>
      <c r="AF279" s="355"/>
      <c r="AG279" s="355"/>
      <c r="AH279" s="355"/>
      <c r="AI279" s="355"/>
    </row>
    <row r="280" spans="1:35" ht="15">
      <c r="A280" s="396"/>
      <c r="B280" s="402"/>
      <c r="C280" s="362"/>
      <c r="D280" s="405"/>
      <c r="E280" s="400"/>
      <c r="F280" s="406"/>
      <c r="G280" s="400"/>
      <c r="H280" s="406"/>
      <c r="J280" s="396"/>
      <c r="K280" s="402"/>
      <c r="L280" s="362"/>
      <c r="M280" s="405"/>
      <c r="N280" s="400"/>
      <c r="O280" s="406"/>
      <c r="P280" s="400"/>
      <c r="Q280" s="406"/>
      <c r="S280" s="396"/>
      <c r="T280" s="402"/>
      <c r="U280" s="362"/>
      <c r="V280" s="405"/>
      <c r="W280" s="400"/>
      <c r="X280" s="406"/>
      <c r="Y280" s="400"/>
      <c r="Z280" s="406"/>
      <c r="AB280" s="351"/>
      <c r="AC280" s="356"/>
      <c r="AD280" s="353"/>
      <c r="AE280" s="357"/>
      <c r="AF280" s="355"/>
      <c r="AG280" s="358"/>
      <c r="AH280" s="355"/>
      <c r="AI280" s="358"/>
    </row>
    <row r="281" spans="1:35" ht="15">
      <c r="A281" s="407"/>
      <c r="B281" s="402"/>
      <c r="C281" s="362"/>
      <c r="D281" s="400"/>
      <c r="E281" s="400"/>
      <c r="F281" s="406"/>
      <c r="G281" s="400"/>
      <c r="H281" s="406"/>
      <c r="J281" s="407"/>
      <c r="K281" s="402"/>
      <c r="L281" s="362"/>
      <c r="M281" s="400"/>
      <c r="N281" s="400"/>
      <c r="O281" s="406"/>
      <c r="P281" s="400"/>
      <c r="Q281" s="406"/>
      <c r="S281" s="407"/>
      <c r="T281" s="402"/>
      <c r="U281" s="362"/>
      <c r="V281" s="400"/>
      <c r="W281" s="400"/>
      <c r="X281" s="406"/>
      <c r="Y281" s="400"/>
      <c r="Z281" s="406"/>
      <c r="AB281" s="359"/>
      <c r="AC281" s="356"/>
      <c r="AD281" s="353"/>
      <c r="AE281" s="355"/>
      <c r="AF281" s="355"/>
      <c r="AG281" s="358"/>
      <c r="AH281" s="355"/>
      <c r="AI281" s="358"/>
    </row>
    <row r="282" spans="1:35" ht="15">
      <c r="A282" s="362"/>
      <c r="B282" s="402"/>
      <c r="C282" s="362"/>
      <c r="D282" s="400"/>
      <c r="E282" s="400"/>
      <c r="F282" s="406"/>
      <c r="G282" s="400"/>
      <c r="H282" s="406"/>
      <c r="J282" s="362"/>
      <c r="K282" s="402"/>
      <c r="L282" s="362"/>
      <c r="M282" s="400"/>
      <c r="N282" s="400"/>
      <c r="O282" s="406"/>
      <c r="P282" s="400"/>
      <c r="Q282" s="406"/>
      <c r="S282" s="362"/>
      <c r="T282" s="402"/>
      <c r="U282" s="362"/>
      <c r="V282" s="400"/>
      <c r="W282" s="400"/>
      <c r="X282" s="406"/>
      <c r="Y282" s="400"/>
      <c r="Z282" s="406"/>
      <c r="AB282" s="353"/>
      <c r="AC282" s="356"/>
      <c r="AD282" s="353"/>
      <c r="AE282" s="355"/>
      <c r="AF282" s="355"/>
      <c r="AG282" s="358"/>
      <c r="AH282" s="355"/>
      <c r="AI282" s="358"/>
    </row>
    <row r="283" spans="1:35" ht="15">
      <c r="A283" s="396"/>
      <c r="B283" s="402"/>
      <c r="C283" s="362"/>
      <c r="D283" s="400"/>
      <c r="E283" s="400"/>
      <c r="F283" s="406"/>
      <c r="G283" s="362"/>
      <c r="H283" s="406"/>
      <c r="J283" s="396"/>
      <c r="K283" s="402"/>
      <c r="L283" s="362"/>
      <c r="M283" s="400"/>
      <c r="N283" s="400"/>
      <c r="O283" s="406"/>
      <c r="P283" s="362"/>
      <c r="Q283" s="406"/>
      <c r="S283" s="396"/>
      <c r="T283" s="402"/>
      <c r="U283" s="362"/>
      <c r="V283" s="400"/>
      <c r="W283" s="400"/>
      <c r="X283" s="406"/>
      <c r="Y283" s="362"/>
      <c r="Z283" s="406"/>
      <c r="AB283" s="351"/>
      <c r="AC283" s="356"/>
      <c r="AD283" s="353"/>
      <c r="AE283" s="355"/>
      <c r="AF283" s="355"/>
      <c r="AG283" s="358"/>
      <c r="AH283" s="353"/>
      <c r="AI283" s="358"/>
    </row>
    <row r="284" spans="1:35" ht="15">
      <c r="A284" s="407"/>
      <c r="B284" s="402"/>
      <c r="C284" s="362"/>
      <c r="D284" s="400"/>
      <c r="E284" s="362"/>
      <c r="F284" s="406"/>
      <c r="G284" s="362"/>
      <c r="H284" s="406"/>
      <c r="J284" s="407"/>
      <c r="K284" s="402"/>
      <c r="L284" s="362"/>
      <c r="M284" s="400"/>
      <c r="N284" s="362"/>
      <c r="O284" s="406"/>
      <c r="P284" s="362"/>
      <c r="Q284" s="406"/>
      <c r="S284" s="407"/>
      <c r="T284" s="402"/>
      <c r="U284" s="362"/>
      <c r="V284" s="400"/>
      <c r="W284" s="362"/>
      <c r="X284" s="406"/>
      <c r="Y284" s="362"/>
      <c r="Z284" s="406"/>
      <c r="AB284" s="359"/>
      <c r="AC284" s="356"/>
      <c r="AD284" s="353"/>
      <c r="AE284" s="355"/>
      <c r="AF284" s="353"/>
      <c r="AG284" s="358"/>
      <c r="AH284" s="353"/>
      <c r="AI284" s="358"/>
    </row>
    <row r="285" spans="1:35" ht="15">
      <c r="A285" s="362"/>
      <c r="B285" s="402"/>
      <c r="C285" s="362"/>
      <c r="D285" s="400"/>
      <c r="E285" s="362"/>
      <c r="F285" s="406"/>
      <c r="G285" s="362"/>
      <c r="H285" s="406"/>
      <c r="J285" s="362"/>
      <c r="K285" s="402"/>
      <c r="L285" s="362"/>
      <c r="M285" s="400"/>
      <c r="N285" s="362"/>
      <c r="O285" s="406"/>
      <c r="P285" s="362"/>
      <c r="Q285" s="406"/>
      <c r="S285" s="362"/>
      <c r="T285" s="402"/>
      <c r="U285" s="362"/>
      <c r="V285" s="400"/>
      <c r="W285" s="362"/>
      <c r="X285" s="406"/>
      <c r="Y285" s="362"/>
      <c r="Z285" s="406"/>
      <c r="AB285" s="353"/>
      <c r="AC285" s="356"/>
      <c r="AD285" s="353"/>
      <c r="AE285" s="355"/>
      <c r="AF285" s="353"/>
      <c r="AG285" s="358"/>
      <c r="AH285" s="353"/>
      <c r="AI285" s="358"/>
    </row>
    <row r="286" spans="1:35" ht="15">
      <c r="A286" s="337"/>
      <c r="B286" s="337"/>
      <c r="C286" s="360"/>
      <c r="D286" s="400"/>
      <c r="E286" s="362"/>
      <c r="F286" s="400"/>
      <c r="G286" s="408"/>
      <c r="H286" s="400"/>
      <c r="J286" s="337"/>
      <c r="K286" s="337"/>
      <c r="L286" s="360"/>
      <c r="M286" s="400"/>
      <c r="N286" s="362"/>
      <c r="O286" s="400"/>
      <c r="P286" s="408"/>
      <c r="Q286" s="400"/>
      <c r="S286" s="337"/>
      <c r="T286" s="337"/>
      <c r="U286" s="360"/>
      <c r="V286" s="400"/>
      <c r="W286" s="362"/>
      <c r="X286" s="400"/>
      <c r="Y286" s="408"/>
      <c r="Z286" s="400"/>
      <c r="AB286" s="337"/>
      <c r="AC286" s="337"/>
      <c r="AD286" s="360"/>
      <c r="AE286" s="361"/>
      <c r="AF286" s="362"/>
      <c r="AG286" s="361"/>
      <c r="AH286" s="363"/>
      <c r="AI286" s="361"/>
    </row>
    <row r="287" spans="1:35" ht="15">
      <c r="A287" s="337"/>
      <c r="B287" s="337"/>
      <c r="C287" s="337"/>
      <c r="D287" s="337"/>
      <c r="E287" s="337"/>
      <c r="F287" s="337"/>
      <c r="G287" s="337"/>
      <c r="H287" s="337"/>
      <c r="J287" s="337"/>
      <c r="K287" s="337"/>
      <c r="L287" s="337"/>
      <c r="M287" s="337"/>
      <c r="N287" s="337"/>
      <c r="O287" s="337"/>
      <c r="P287" s="337"/>
      <c r="Q287" s="337"/>
      <c r="S287" s="337"/>
      <c r="T287" s="337"/>
      <c r="U287" s="337"/>
      <c r="V287" s="337"/>
      <c r="W287" s="337"/>
      <c r="X287" s="337"/>
      <c r="Y287" s="337"/>
      <c r="Z287" s="337"/>
      <c r="AB287" s="337"/>
      <c r="AC287" s="337"/>
      <c r="AD287" s="337"/>
      <c r="AE287" s="337"/>
      <c r="AF287" s="337"/>
      <c r="AG287" s="337"/>
      <c r="AH287" s="337"/>
      <c r="AI287" s="337"/>
    </row>
    <row r="288" spans="1:35" ht="15">
      <c r="A288" s="337"/>
      <c r="B288" s="337"/>
      <c r="C288" s="364"/>
      <c r="D288" s="365"/>
      <c r="E288" s="337"/>
      <c r="F288" s="337"/>
      <c r="G288" s="337"/>
      <c r="H288" s="337"/>
      <c r="J288" s="337"/>
      <c r="K288" s="337"/>
      <c r="L288" s="364"/>
      <c r="M288" s="365"/>
      <c r="N288" s="337"/>
      <c r="O288" s="337"/>
      <c r="P288" s="337"/>
      <c r="Q288" s="337"/>
      <c r="S288" s="337"/>
      <c r="T288" s="337"/>
      <c r="U288" s="364"/>
      <c r="V288" s="365"/>
      <c r="W288" s="337"/>
      <c r="X288" s="337"/>
      <c r="Y288" s="337"/>
      <c r="Z288" s="337"/>
      <c r="AB288" s="337"/>
      <c r="AC288" s="337"/>
      <c r="AD288" s="364"/>
      <c r="AE288" s="365"/>
      <c r="AF288" s="337"/>
      <c r="AG288" s="337"/>
      <c r="AH288" s="337"/>
      <c r="AI288" s="337"/>
    </row>
    <row r="289" spans="1:35" ht="15">
      <c r="A289" s="337"/>
      <c r="B289" s="337"/>
      <c r="C289" s="364"/>
      <c r="D289" s="365"/>
      <c r="E289" s="337"/>
      <c r="F289" s="337"/>
      <c r="G289" s="337"/>
      <c r="H289" s="337"/>
      <c r="J289" s="337"/>
      <c r="K289" s="337"/>
      <c r="L289" s="364"/>
      <c r="M289" s="365"/>
      <c r="N289" s="337"/>
      <c r="O289" s="337"/>
      <c r="P289" s="337"/>
      <c r="Q289" s="337"/>
      <c r="S289" s="337"/>
      <c r="T289" s="337"/>
      <c r="U289" s="364"/>
      <c r="V289" s="365"/>
      <c r="W289" s="337"/>
      <c r="X289" s="337"/>
      <c r="Y289" s="337"/>
      <c r="Z289" s="337"/>
      <c r="AB289" s="337"/>
      <c r="AC289" s="337"/>
      <c r="AD289" s="364"/>
      <c r="AE289" s="365"/>
      <c r="AF289" s="337"/>
      <c r="AG289" s="337"/>
      <c r="AH289" s="337"/>
      <c r="AI289" s="337"/>
    </row>
    <row r="290" spans="1:35" ht="15">
      <c r="A290" s="366"/>
      <c r="B290" s="337"/>
      <c r="C290" s="337"/>
      <c r="D290" s="337"/>
      <c r="E290" s="337"/>
      <c r="F290" s="337"/>
      <c r="G290" s="337"/>
      <c r="H290" s="337"/>
      <c r="J290" s="366"/>
      <c r="K290" s="337"/>
      <c r="L290" s="337"/>
      <c r="M290" s="337"/>
      <c r="N290" s="337"/>
      <c r="O290" s="337"/>
      <c r="P290" s="337"/>
      <c r="Q290" s="337"/>
      <c r="S290" s="366"/>
      <c r="T290" s="337"/>
      <c r="U290" s="337"/>
      <c r="V290" s="337"/>
      <c r="W290" s="337"/>
      <c r="X290" s="337"/>
      <c r="Y290" s="337"/>
      <c r="Z290" s="337"/>
      <c r="AB290" s="366"/>
      <c r="AC290" s="337"/>
      <c r="AD290" s="337"/>
      <c r="AE290" s="337"/>
      <c r="AF290" s="337"/>
      <c r="AG290" s="337"/>
      <c r="AH290" s="337"/>
      <c r="AI290" s="337"/>
    </row>
    <row r="291" spans="1:35" ht="15">
      <c r="A291" s="337"/>
      <c r="B291" s="337"/>
      <c r="C291" s="337"/>
      <c r="D291" s="420"/>
      <c r="E291" s="420"/>
      <c r="F291" s="420"/>
      <c r="G291" s="420"/>
      <c r="H291" s="337"/>
      <c r="J291" s="337"/>
      <c r="K291" s="337"/>
      <c r="L291" s="337"/>
      <c r="M291" s="420"/>
      <c r="N291" s="420"/>
      <c r="O291" s="420"/>
      <c r="P291" s="420"/>
      <c r="Q291" s="337"/>
      <c r="S291" s="337"/>
      <c r="T291" s="337"/>
      <c r="U291" s="337"/>
      <c r="V291" s="420"/>
      <c r="W291" s="420"/>
      <c r="X291" s="420"/>
      <c r="Y291" s="420"/>
      <c r="Z291" s="337"/>
      <c r="AB291" s="337"/>
      <c r="AC291" s="337"/>
      <c r="AD291" s="337"/>
      <c r="AE291" s="429"/>
      <c r="AF291" s="429"/>
      <c r="AG291" s="425"/>
      <c r="AH291" s="426"/>
      <c r="AI291" s="337"/>
    </row>
    <row r="292" spans="1:35" ht="30" customHeight="1">
      <c r="A292" s="337"/>
      <c r="B292" s="337"/>
      <c r="C292" s="337"/>
      <c r="D292" s="420"/>
      <c r="E292" s="420"/>
      <c r="F292" s="420"/>
      <c r="G292" s="420"/>
      <c r="H292" s="337"/>
      <c r="J292" s="337"/>
      <c r="K292" s="337"/>
      <c r="L292" s="337"/>
      <c r="M292" s="420"/>
      <c r="N292" s="420"/>
      <c r="O292" s="420"/>
      <c r="P292" s="420"/>
      <c r="Q292" s="337"/>
      <c r="S292" s="337"/>
      <c r="T292" s="337"/>
      <c r="U292" s="337"/>
      <c r="V292" s="420"/>
      <c r="W292" s="420"/>
      <c r="X292" s="420"/>
      <c r="Y292" s="420"/>
      <c r="Z292" s="337"/>
      <c r="AB292" s="337"/>
      <c r="AC292" s="337"/>
      <c r="AD292" s="337"/>
      <c r="AE292" s="430"/>
      <c r="AF292" s="430"/>
      <c r="AG292" s="427"/>
      <c r="AH292" s="428"/>
      <c r="AI292" s="337"/>
    </row>
    <row r="293" spans="1:35" ht="15">
      <c r="A293" s="337"/>
      <c r="B293" s="337"/>
      <c r="C293" s="337"/>
      <c r="D293" s="362"/>
      <c r="E293" s="400"/>
      <c r="F293" s="418"/>
      <c r="G293" s="418"/>
      <c r="H293" s="337"/>
      <c r="J293" s="337"/>
      <c r="K293" s="337"/>
      <c r="L293" s="337"/>
      <c r="M293" s="362"/>
      <c r="N293" s="400"/>
      <c r="O293" s="418"/>
      <c r="P293" s="418"/>
      <c r="Q293" s="337"/>
      <c r="S293" s="337"/>
      <c r="T293" s="337"/>
      <c r="U293" s="337"/>
      <c r="V293" s="362"/>
      <c r="W293" s="400"/>
      <c r="X293" s="418"/>
      <c r="Y293" s="418"/>
      <c r="Z293" s="337"/>
      <c r="AB293" s="337"/>
      <c r="AC293" s="337"/>
      <c r="AD293" s="337"/>
      <c r="AE293" s="353"/>
      <c r="AF293" s="355"/>
      <c r="AG293" s="423"/>
      <c r="AH293" s="424"/>
      <c r="AI293" s="337"/>
    </row>
    <row r="294" spans="1:35" ht="15">
      <c r="A294" s="367"/>
      <c r="B294" s="368"/>
      <c r="C294" s="337"/>
      <c r="D294" s="362"/>
      <c r="E294" s="400"/>
      <c r="F294" s="418"/>
      <c r="G294" s="418"/>
      <c r="H294" s="337"/>
      <c r="J294" s="367"/>
      <c r="K294" s="368"/>
      <c r="L294" s="337"/>
      <c r="M294" s="362"/>
      <c r="N294" s="400"/>
      <c r="O294" s="418"/>
      <c r="P294" s="418"/>
      <c r="Q294" s="337"/>
      <c r="S294" s="367"/>
      <c r="T294" s="368"/>
      <c r="U294" s="337"/>
      <c r="V294" s="362"/>
      <c r="W294" s="400"/>
      <c r="X294" s="418"/>
      <c r="Y294" s="418"/>
      <c r="Z294" s="337"/>
      <c r="AB294" s="367"/>
      <c r="AC294" s="368"/>
      <c r="AD294" s="337"/>
      <c r="AE294" s="353"/>
      <c r="AF294" s="355"/>
      <c r="AG294" s="423"/>
      <c r="AH294" s="424"/>
      <c r="AI294" s="337"/>
    </row>
    <row r="295" spans="1:35" ht="15">
      <c r="A295" s="337"/>
      <c r="B295" s="337"/>
      <c r="C295" s="337"/>
      <c r="D295" s="362"/>
      <c r="E295" s="400"/>
      <c r="F295" s="418"/>
      <c r="G295" s="418"/>
      <c r="H295" s="337"/>
      <c r="J295" s="337"/>
      <c r="K295" s="337"/>
      <c r="L295" s="337"/>
      <c r="M295" s="362"/>
      <c r="N295" s="400"/>
      <c r="O295" s="418"/>
      <c r="P295" s="418"/>
      <c r="Q295" s="337"/>
      <c r="S295" s="337"/>
      <c r="T295" s="337"/>
      <c r="U295" s="337"/>
      <c r="V295" s="362"/>
      <c r="W295" s="400"/>
      <c r="X295" s="418"/>
      <c r="Y295" s="418"/>
      <c r="Z295" s="337"/>
      <c r="AB295" s="337"/>
      <c r="AC295" s="337"/>
      <c r="AD295" s="337"/>
      <c r="AE295" s="353"/>
      <c r="AF295" s="355"/>
      <c r="AG295" s="423"/>
      <c r="AH295" s="424"/>
      <c r="AI295" s="337"/>
    </row>
    <row r="297" spans="1:35" ht="15">
      <c r="A297" s="336"/>
      <c r="B297" s="337"/>
      <c r="C297" s="338"/>
      <c r="E297" s="337"/>
      <c r="G297" s="337"/>
      <c r="H297" s="337"/>
      <c r="J297" s="336"/>
      <c r="K297" s="337"/>
      <c r="L297" s="338"/>
      <c r="N297" s="337"/>
      <c r="P297" s="337"/>
      <c r="Q297" s="337"/>
    </row>
    <row r="298" spans="1:35" ht="15">
      <c r="A298" s="339"/>
      <c r="B298" s="419"/>
      <c r="C298" s="419"/>
      <c r="D298" s="419"/>
      <c r="E298" s="419"/>
      <c r="F298" s="419"/>
      <c r="G298" s="419"/>
      <c r="H298" s="337"/>
      <c r="J298" s="339"/>
      <c r="K298" s="419"/>
      <c r="L298" s="419"/>
      <c r="M298" s="419"/>
      <c r="N298" s="419"/>
      <c r="O298" s="419"/>
      <c r="P298" s="419"/>
      <c r="Q298" s="337"/>
    </row>
    <row r="299" spans="1:35" ht="15">
      <c r="A299" s="340"/>
      <c r="B299" s="341"/>
      <c r="C299" s="337"/>
      <c r="D299" s="337"/>
      <c r="E299" s="337"/>
      <c r="F299" s="337"/>
      <c r="G299" s="337"/>
      <c r="H299" s="337"/>
      <c r="J299" s="340"/>
      <c r="K299" s="341"/>
      <c r="L299" s="337"/>
      <c r="M299" s="337"/>
      <c r="N299" s="337"/>
      <c r="O299" s="337"/>
      <c r="P299" s="337"/>
      <c r="Q299" s="337"/>
    </row>
    <row r="300" spans="1:35" ht="15">
      <c r="A300" s="337"/>
      <c r="B300" s="337"/>
      <c r="C300" s="337"/>
      <c r="D300" s="337"/>
      <c r="E300" s="337"/>
      <c r="F300" s="337"/>
      <c r="G300" s="337"/>
      <c r="H300" s="337"/>
      <c r="J300" s="337"/>
      <c r="K300" s="337"/>
      <c r="L300" s="337"/>
      <c r="M300" s="337"/>
      <c r="N300" s="337"/>
      <c r="O300" s="337"/>
      <c r="P300" s="337"/>
      <c r="Q300" s="337"/>
    </row>
    <row r="301" spans="1:35" ht="15">
      <c r="A301" s="337"/>
      <c r="B301" s="392"/>
      <c r="C301" s="393"/>
      <c r="D301" s="337"/>
      <c r="E301" s="337"/>
      <c r="F301" s="362"/>
      <c r="G301" s="362"/>
      <c r="H301" s="337"/>
      <c r="J301" s="337"/>
      <c r="K301" s="394"/>
      <c r="L301" s="337"/>
      <c r="M301" s="337"/>
      <c r="N301" s="337"/>
      <c r="O301" s="362"/>
      <c r="P301" s="362"/>
      <c r="Q301" s="337"/>
    </row>
    <row r="302" spans="1:35" ht="15">
      <c r="A302" s="337"/>
      <c r="B302" s="392"/>
      <c r="C302" s="393"/>
      <c r="D302" s="337"/>
      <c r="E302" s="362"/>
      <c r="F302" s="362"/>
      <c r="G302" s="395"/>
      <c r="H302" s="337"/>
      <c r="J302" s="337"/>
      <c r="K302" s="392"/>
      <c r="L302" s="337"/>
      <c r="M302" s="337"/>
      <c r="N302" s="362"/>
      <c r="O302" s="362"/>
      <c r="P302" s="395"/>
      <c r="Q302" s="337"/>
    </row>
    <row r="303" spans="1:35" ht="15">
      <c r="A303" s="337"/>
      <c r="B303" s="392"/>
      <c r="C303" s="393"/>
      <c r="D303" s="337"/>
      <c r="E303" s="362"/>
      <c r="F303" s="362"/>
      <c r="G303" s="395"/>
      <c r="H303" s="337"/>
      <c r="J303" s="337"/>
      <c r="K303" s="394"/>
      <c r="L303" s="337"/>
      <c r="M303" s="337"/>
      <c r="N303" s="362"/>
      <c r="O303" s="362"/>
      <c r="P303" s="395"/>
      <c r="Q303" s="337"/>
    </row>
    <row r="304" spans="1:35" ht="15">
      <c r="A304" s="337"/>
      <c r="B304" s="337"/>
      <c r="C304" s="337"/>
      <c r="D304" s="337"/>
      <c r="E304" s="337"/>
      <c r="F304" s="337"/>
      <c r="G304" s="337"/>
      <c r="H304" s="337"/>
      <c r="J304" s="337"/>
      <c r="K304" s="337"/>
      <c r="L304" s="337"/>
      <c r="M304" s="337"/>
      <c r="N304" s="337"/>
      <c r="O304" s="337"/>
      <c r="P304" s="337"/>
      <c r="Q304" s="337"/>
    </row>
    <row r="305" spans="1:17" ht="15">
      <c r="A305" s="420"/>
      <c r="B305" s="420"/>
      <c r="C305" s="421"/>
      <c r="D305" s="420"/>
      <c r="E305" s="396"/>
      <c r="F305" s="397"/>
      <c r="G305" s="422"/>
      <c r="H305" s="422"/>
      <c r="J305" s="420"/>
      <c r="K305" s="420"/>
      <c r="L305" s="421"/>
      <c r="M305" s="420"/>
      <c r="N305" s="396"/>
      <c r="O305" s="397"/>
      <c r="P305" s="422"/>
      <c r="Q305" s="422"/>
    </row>
    <row r="306" spans="1:17" ht="15">
      <c r="A306" s="420"/>
      <c r="B306" s="420"/>
      <c r="C306" s="421"/>
      <c r="D306" s="420"/>
      <c r="E306" s="362"/>
      <c r="F306" s="362"/>
      <c r="G306" s="362"/>
      <c r="H306" s="362"/>
      <c r="J306" s="420"/>
      <c r="K306" s="420"/>
      <c r="L306" s="421"/>
      <c r="M306" s="420"/>
      <c r="N306" s="362"/>
      <c r="O306" s="362"/>
      <c r="P306" s="362"/>
      <c r="Q306" s="362"/>
    </row>
    <row r="307" spans="1:17" ht="15">
      <c r="A307" s="398"/>
      <c r="B307" s="398"/>
      <c r="C307" s="362"/>
      <c r="D307" s="399"/>
      <c r="E307" s="400"/>
      <c r="F307" s="400"/>
      <c r="G307" s="400"/>
      <c r="H307" s="400"/>
      <c r="J307" s="398"/>
      <c r="K307" s="398"/>
      <c r="L307" s="362"/>
      <c r="M307" s="401"/>
      <c r="N307" s="400"/>
      <c r="O307" s="400"/>
      <c r="P307" s="400"/>
      <c r="Q307" s="400"/>
    </row>
    <row r="308" spans="1:17" ht="15">
      <c r="A308" s="362"/>
      <c r="B308" s="402"/>
      <c r="C308" s="362"/>
      <c r="D308" s="403"/>
      <c r="E308" s="400"/>
      <c r="F308" s="400"/>
      <c r="G308" s="400"/>
      <c r="H308" s="400"/>
      <c r="J308" s="362"/>
      <c r="K308" s="402"/>
      <c r="L308" s="362"/>
      <c r="M308" s="404"/>
      <c r="N308" s="400"/>
      <c r="O308" s="400"/>
      <c r="P308" s="400"/>
      <c r="Q308" s="400"/>
    </row>
    <row r="309" spans="1:17" ht="15">
      <c r="A309" s="362"/>
      <c r="B309" s="402"/>
      <c r="C309" s="362"/>
      <c r="D309" s="403"/>
      <c r="E309" s="400"/>
      <c r="F309" s="400"/>
      <c r="G309" s="400"/>
      <c r="H309" s="400"/>
      <c r="J309" s="362"/>
      <c r="K309" s="402"/>
      <c r="L309" s="362"/>
      <c r="M309" s="405"/>
      <c r="N309" s="400"/>
      <c r="O309" s="400"/>
      <c r="P309" s="400"/>
      <c r="Q309" s="400"/>
    </row>
    <row r="310" spans="1:17" ht="15">
      <c r="A310" s="396"/>
      <c r="B310" s="402"/>
      <c r="C310" s="362"/>
      <c r="D310" s="405"/>
      <c r="E310" s="400"/>
      <c r="F310" s="406"/>
      <c r="G310" s="400"/>
      <c r="H310" s="406"/>
      <c r="J310" s="396"/>
      <c r="K310" s="402"/>
      <c r="L310" s="362"/>
      <c r="M310" s="405"/>
      <c r="N310" s="400"/>
      <c r="O310" s="406"/>
      <c r="P310" s="400"/>
      <c r="Q310" s="406"/>
    </row>
    <row r="311" spans="1:17" ht="15">
      <c r="A311" s="407"/>
      <c r="B311" s="402"/>
      <c r="C311" s="362"/>
      <c r="D311" s="400"/>
      <c r="E311" s="400"/>
      <c r="F311" s="406"/>
      <c r="G311" s="400"/>
      <c r="H311" s="406"/>
      <c r="J311" s="407"/>
      <c r="K311" s="402"/>
      <c r="L311" s="362"/>
      <c r="M311" s="400"/>
      <c r="N311" s="400"/>
      <c r="O311" s="406"/>
      <c r="P311" s="400"/>
      <c r="Q311" s="406"/>
    </row>
    <row r="312" spans="1:17" ht="15">
      <c r="A312" s="362"/>
      <c r="B312" s="402"/>
      <c r="C312" s="362"/>
      <c r="D312" s="400"/>
      <c r="E312" s="400"/>
      <c r="F312" s="406"/>
      <c r="G312" s="400"/>
      <c r="H312" s="406"/>
      <c r="J312" s="362"/>
      <c r="K312" s="402"/>
      <c r="L312" s="362"/>
      <c r="M312" s="400"/>
      <c r="N312" s="400"/>
      <c r="O312" s="406"/>
      <c r="P312" s="400"/>
      <c r="Q312" s="406"/>
    </row>
    <row r="313" spans="1:17" ht="15">
      <c r="A313" s="396"/>
      <c r="B313" s="402"/>
      <c r="C313" s="362"/>
      <c r="D313" s="400"/>
      <c r="E313" s="400"/>
      <c r="F313" s="406"/>
      <c r="G313" s="362"/>
      <c r="H313" s="406"/>
      <c r="J313" s="396"/>
      <c r="K313" s="402"/>
      <c r="L313" s="362"/>
      <c r="M313" s="400"/>
      <c r="N313" s="400"/>
      <c r="O313" s="406"/>
      <c r="P313" s="362"/>
      <c r="Q313" s="406"/>
    </row>
    <row r="314" spans="1:17" ht="15">
      <c r="A314" s="407"/>
      <c r="B314" s="402"/>
      <c r="C314" s="362"/>
      <c r="D314" s="400"/>
      <c r="E314" s="362"/>
      <c r="F314" s="406"/>
      <c r="G314" s="362"/>
      <c r="H314" s="406"/>
      <c r="J314" s="407"/>
      <c r="K314" s="402"/>
      <c r="L314" s="362"/>
      <c r="M314" s="400"/>
      <c r="N314" s="362"/>
      <c r="O314" s="406"/>
      <c r="P314" s="362"/>
      <c r="Q314" s="406"/>
    </row>
    <row r="315" spans="1:17" ht="15">
      <c r="A315" s="362"/>
      <c r="B315" s="402"/>
      <c r="C315" s="362"/>
      <c r="D315" s="400"/>
      <c r="E315" s="362"/>
      <c r="F315" s="406"/>
      <c r="G315" s="362"/>
      <c r="H315" s="406"/>
      <c r="J315" s="362"/>
      <c r="K315" s="402"/>
      <c r="L315" s="362"/>
      <c r="M315" s="400"/>
      <c r="N315" s="362"/>
      <c r="O315" s="406"/>
      <c r="P315" s="362"/>
      <c r="Q315" s="406"/>
    </row>
    <row r="316" spans="1:17" ht="15">
      <c r="A316" s="337"/>
      <c r="B316" s="337"/>
      <c r="C316" s="360"/>
      <c r="D316" s="400"/>
      <c r="E316" s="362"/>
      <c r="F316" s="400"/>
      <c r="G316" s="408"/>
      <c r="H316" s="400"/>
      <c r="J316" s="337"/>
      <c r="K316" s="337"/>
      <c r="L316" s="360"/>
      <c r="M316" s="400"/>
      <c r="N316" s="362"/>
      <c r="O316" s="400"/>
      <c r="P316" s="408"/>
      <c r="Q316" s="400"/>
    </row>
    <row r="317" spans="1:17" ht="15">
      <c r="A317" s="337"/>
      <c r="B317" s="337"/>
      <c r="C317" s="337"/>
      <c r="D317" s="337"/>
      <c r="E317" s="337"/>
      <c r="F317" s="337"/>
      <c r="G317" s="337"/>
      <c r="H317" s="337"/>
      <c r="J317" s="337"/>
      <c r="K317" s="337"/>
      <c r="L317" s="337"/>
      <c r="M317" s="337"/>
      <c r="N317" s="337"/>
      <c r="O317" s="337"/>
      <c r="P317" s="337"/>
      <c r="Q317" s="337"/>
    </row>
    <row r="318" spans="1:17" ht="15">
      <c r="A318" s="337"/>
      <c r="B318" s="337"/>
      <c r="C318" s="364"/>
      <c r="D318" s="365"/>
      <c r="E318" s="337"/>
      <c r="F318" s="337"/>
      <c r="G318" s="337"/>
      <c r="H318" s="337"/>
      <c r="J318" s="337"/>
      <c r="K318" s="337"/>
      <c r="L318" s="364"/>
      <c r="M318" s="365"/>
      <c r="N318" s="337"/>
      <c r="O318" s="337"/>
      <c r="P318" s="337"/>
      <c r="Q318" s="337"/>
    </row>
    <row r="319" spans="1:17" ht="15">
      <c r="A319" s="337"/>
      <c r="B319" s="337"/>
      <c r="C319" s="364"/>
      <c r="D319" s="365"/>
      <c r="E319" s="337"/>
      <c r="F319" s="337"/>
      <c r="G319" s="337"/>
      <c r="H319" s="337"/>
      <c r="J319" s="337"/>
      <c r="K319" s="337"/>
      <c r="L319" s="364"/>
      <c r="M319" s="365"/>
      <c r="N319" s="337"/>
      <c r="O319" s="337"/>
      <c r="P319" s="337"/>
      <c r="Q319" s="337"/>
    </row>
    <row r="320" spans="1:17" ht="15">
      <c r="A320" s="366"/>
      <c r="B320" s="337"/>
      <c r="C320" s="337"/>
      <c r="D320" s="337"/>
      <c r="E320" s="337"/>
      <c r="F320" s="337"/>
      <c r="G320" s="337"/>
      <c r="H320" s="337"/>
      <c r="J320" s="366"/>
      <c r="K320" s="337"/>
      <c r="L320" s="337"/>
      <c r="M320" s="337"/>
      <c r="N320" s="337"/>
      <c r="O320" s="337"/>
      <c r="P320" s="337"/>
      <c r="Q320" s="337"/>
    </row>
    <row r="321" spans="1:17" ht="15">
      <c r="A321" s="337"/>
      <c r="B321" s="337"/>
      <c r="C321" s="337"/>
      <c r="D321" s="420"/>
      <c r="E321" s="420"/>
      <c r="F321" s="420"/>
      <c r="G321" s="420"/>
      <c r="H321" s="337"/>
      <c r="J321" s="337"/>
      <c r="K321" s="337"/>
      <c r="L321" s="337"/>
      <c r="M321" s="420"/>
      <c r="N321" s="420"/>
      <c r="O321" s="420"/>
      <c r="P321" s="420"/>
      <c r="Q321" s="337"/>
    </row>
    <row r="322" spans="1:17" ht="15">
      <c r="A322" s="337"/>
      <c r="B322" s="337"/>
      <c r="C322" s="337"/>
      <c r="D322" s="420"/>
      <c r="E322" s="420"/>
      <c r="F322" s="420"/>
      <c r="G322" s="420"/>
      <c r="H322" s="337"/>
      <c r="J322" s="337"/>
      <c r="K322" s="337"/>
      <c r="L322" s="337"/>
      <c r="M322" s="420"/>
      <c r="N322" s="420"/>
      <c r="O322" s="420"/>
      <c r="P322" s="420"/>
      <c r="Q322" s="337"/>
    </row>
    <row r="323" spans="1:17" ht="15">
      <c r="A323" s="337"/>
      <c r="B323" s="337"/>
      <c r="C323" s="337"/>
      <c r="D323" s="362"/>
      <c r="E323" s="401"/>
      <c r="F323" s="437"/>
      <c r="G323" s="437"/>
      <c r="H323" s="393"/>
      <c r="I323" s="409"/>
      <c r="J323" s="393"/>
      <c r="K323" s="393"/>
      <c r="L323" s="393"/>
      <c r="M323" s="410"/>
      <c r="N323" s="401"/>
      <c r="O323" s="437"/>
      <c r="P323" s="437"/>
      <c r="Q323" s="337"/>
    </row>
    <row r="324" spans="1:17" ht="15">
      <c r="A324" s="367"/>
      <c r="B324" s="368"/>
      <c r="C324" s="337"/>
      <c r="D324" s="362"/>
      <c r="E324" s="401"/>
      <c r="F324" s="437"/>
      <c r="G324" s="437"/>
      <c r="H324" s="393"/>
      <c r="I324" s="409"/>
      <c r="J324" s="411"/>
      <c r="K324" s="412"/>
      <c r="L324" s="393"/>
      <c r="M324" s="410"/>
      <c r="N324" s="401"/>
      <c r="O324" s="437"/>
      <c r="P324" s="437"/>
      <c r="Q324" s="337"/>
    </row>
    <row r="325" spans="1:17" ht="15">
      <c r="A325" s="337"/>
      <c r="B325" s="337"/>
      <c r="C325" s="337"/>
      <c r="D325" s="362"/>
      <c r="E325" s="401"/>
      <c r="F325" s="437"/>
      <c r="G325" s="437"/>
      <c r="H325" s="393"/>
      <c r="I325" s="409"/>
      <c r="J325" s="393"/>
      <c r="K325" s="393"/>
      <c r="L325" s="393"/>
      <c r="M325" s="410"/>
      <c r="N325" s="401"/>
      <c r="O325" s="437"/>
      <c r="P325" s="437"/>
      <c r="Q325" s="337"/>
    </row>
  </sheetData>
  <mergeCells count="424">
    <mergeCell ref="S32:X32"/>
    <mergeCell ref="R39:R40"/>
    <mergeCell ref="X39:Y39"/>
    <mergeCell ref="Z39:Z40"/>
    <mergeCell ref="U55:U56"/>
    <mergeCell ref="W55:X56"/>
    <mergeCell ref="W57:X57"/>
    <mergeCell ref="W58:X58"/>
    <mergeCell ref="S39:S40"/>
    <mergeCell ref="T39:T40"/>
    <mergeCell ref="U39:U40"/>
    <mergeCell ref="F325:G325"/>
    <mergeCell ref="O325:P325"/>
    <mergeCell ref="D321:D322"/>
    <mergeCell ref="E321:E322"/>
    <mergeCell ref="F321:G322"/>
    <mergeCell ref="M321:M322"/>
    <mergeCell ref="N321:N322"/>
    <mergeCell ref="O321:P322"/>
    <mergeCell ref="F323:G323"/>
    <mergeCell ref="O323:P323"/>
    <mergeCell ref="F324:G324"/>
    <mergeCell ref="O324:P324"/>
    <mergeCell ref="B298:G298"/>
    <mergeCell ref="K298:P298"/>
    <mergeCell ref="P305:Q305"/>
    <mergeCell ref="T275:T276"/>
    <mergeCell ref="U275:U276"/>
    <mergeCell ref="Q39:Q40"/>
    <mergeCell ref="A305:A306"/>
    <mergeCell ref="B305:B306"/>
    <mergeCell ref="C305:C306"/>
    <mergeCell ref="D305:D306"/>
    <mergeCell ref="G305:H305"/>
    <mergeCell ref="J305:J306"/>
    <mergeCell ref="K305:K306"/>
    <mergeCell ref="L305:L306"/>
    <mergeCell ref="M305:M306"/>
    <mergeCell ref="D291:D292"/>
    <mergeCell ref="E291:E292"/>
    <mergeCell ref="F291:G292"/>
    <mergeCell ref="F293:G293"/>
    <mergeCell ref="F294:G294"/>
    <mergeCell ref="M246:M247"/>
    <mergeCell ref="P246:Q246"/>
    <mergeCell ref="M262:M263"/>
    <mergeCell ref="N262:N263"/>
    <mergeCell ref="AG264:AH264"/>
    <mergeCell ref="AG265:AH265"/>
    <mergeCell ref="AG266:AH266"/>
    <mergeCell ref="AC210:AH210"/>
    <mergeCell ref="AB217:AB218"/>
    <mergeCell ref="AC217:AC218"/>
    <mergeCell ref="AD217:AD218"/>
    <mergeCell ref="AE217:AE218"/>
    <mergeCell ref="AH217:AI217"/>
    <mergeCell ref="AE233:AE234"/>
    <mergeCell ref="AF233:AF234"/>
    <mergeCell ref="AG233:AH234"/>
    <mergeCell ref="AG235:AH235"/>
    <mergeCell ref="AG236:AH236"/>
    <mergeCell ref="AG237:AH237"/>
    <mergeCell ref="AC239:AH239"/>
    <mergeCell ref="AB246:AB247"/>
    <mergeCell ref="AC246:AC247"/>
    <mergeCell ref="AD246:AD247"/>
    <mergeCell ref="AE246:AE247"/>
    <mergeCell ref="AH246:AI246"/>
    <mergeCell ref="AE262:AE263"/>
    <mergeCell ref="AF262:AF263"/>
    <mergeCell ref="AG262:AH263"/>
    <mergeCell ref="AG293:AH293"/>
    <mergeCell ref="AG294:AH294"/>
    <mergeCell ref="AG295:AH295"/>
    <mergeCell ref="AC268:AH268"/>
    <mergeCell ref="AB275:AB276"/>
    <mergeCell ref="AC275:AC276"/>
    <mergeCell ref="AD275:AD276"/>
    <mergeCell ref="AE275:AE276"/>
    <mergeCell ref="AH275:AI275"/>
    <mergeCell ref="AE291:AE292"/>
    <mergeCell ref="AF291:AF292"/>
    <mergeCell ref="AG291:AH292"/>
    <mergeCell ref="X295:Y295"/>
    <mergeCell ref="V275:V276"/>
    <mergeCell ref="Y275:Z275"/>
    <mergeCell ref="F295:G295"/>
    <mergeCell ref="X264:Y264"/>
    <mergeCell ref="X265:Y265"/>
    <mergeCell ref="X266:Y266"/>
    <mergeCell ref="B268:G268"/>
    <mergeCell ref="K268:P268"/>
    <mergeCell ref="J275:J276"/>
    <mergeCell ref="K275:K276"/>
    <mergeCell ref="L275:L276"/>
    <mergeCell ref="M275:M276"/>
    <mergeCell ref="P275:Q275"/>
    <mergeCell ref="M291:M292"/>
    <mergeCell ref="N291:N292"/>
    <mergeCell ref="O291:P292"/>
    <mergeCell ref="O293:P293"/>
    <mergeCell ref="O294:P294"/>
    <mergeCell ref="O295:P295"/>
    <mergeCell ref="T268:Y268"/>
    <mergeCell ref="S275:S276"/>
    <mergeCell ref="V291:V292"/>
    <mergeCell ref="W291:W292"/>
    <mergeCell ref="X291:Y292"/>
    <mergeCell ref="X293:Y293"/>
    <mergeCell ref="X294:Y294"/>
    <mergeCell ref="A275:A276"/>
    <mergeCell ref="B275:B276"/>
    <mergeCell ref="C275:C276"/>
    <mergeCell ref="D275:D276"/>
    <mergeCell ref="G275:H275"/>
    <mergeCell ref="T239:Y239"/>
    <mergeCell ref="S246:S247"/>
    <mergeCell ref="T246:T247"/>
    <mergeCell ref="U246:U247"/>
    <mergeCell ref="V246:V247"/>
    <mergeCell ref="Y246:Z246"/>
    <mergeCell ref="V262:V263"/>
    <mergeCell ref="W262:W263"/>
    <mergeCell ref="X262:Y263"/>
    <mergeCell ref="F264:G264"/>
    <mergeCell ref="F265:G265"/>
    <mergeCell ref="F266:G266"/>
    <mergeCell ref="K239:P239"/>
    <mergeCell ref="J246:J247"/>
    <mergeCell ref="K246:K247"/>
    <mergeCell ref="L246:L247"/>
    <mergeCell ref="O262:P263"/>
    <mergeCell ref="O264:P264"/>
    <mergeCell ref="O265:P265"/>
    <mergeCell ref="O266:P266"/>
    <mergeCell ref="B239:G239"/>
    <mergeCell ref="A246:A247"/>
    <mergeCell ref="B246:B247"/>
    <mergeCell ref="C246:C247"/>
    <mergeCell ref="D246:D247"/>
    <mergeCell ref="G246:H246"/>
    <mergeCell ref="D262:D263"/>
    <mergeCell ref="E262:E263"/>
    <mergeCell ref="F262:G263"/>
    <mergeCell ref="F235:G235"/>
    <mergeCell ref="O235:P235"/>
    <mergeCell ref="X235:Y235"/>
    <mergeCell ref="F236:G236"/>
    <mergeCell ref="O236:P236"/>
    <mergeCell ref="X236:Y236"/>
    <mergeCell ref="F237:G237"/>
    <mergeCell ref="O237:P237"/>
    <mergeCell ref="X237:Y237"/>
    <mergeCell ref="D233:D234"/>
    <mergeCell ref="E233:E234"/>
    <mergeCell ref="F233:G234"/>
    <mergeCell ref="M233:M234"/>
    <mergeCell ref="N233:N234"/>
    <mergeCell ref="O233:P234"/>
    <mergeCell ref="V233:V234"/>
    <mergeCell ref="W233:W234"/>
    <mergeCell ref="X233:Y234"/>
    <mergeCell ref="B210:G210"/>
    <mergeCell ref="K210:P210"/>
    <mergeCell ref="T210:Y210"/>
    <mergeCell ref="A217:A218"/>
    <mergeCell ref="B217:B218"/>
    <mergeCell ref="C217:C218"/>
    <mergeCell ref="D217:D218"/>
    <mergeCell ref="G217:H217"/>
    <mergeCell ref="J217:J218"/>
    <mergeCell ref="K217:K218"/>
    <mergeCell ref="L217:L218"/>
    <mergeCell ref="M217:M218"/>
    <mergeCell ref="P217:Q217"/>
    <mergeCell ref="S217:S218"/>
    <mergeCell ref="T217:T218"/>
    <mergeCell ref="U217:U218"/>
    <mergeCell ref="V217:V218"/>
    <mergeCell ref="Y217:Z217"/>
    <mergeCell ref="F117:G117"/>
    <mergeCell ref="O117:P117"/>
    <mergeCell ref="X117:Y117"/>
    <mergeCell ref="F118:G118"/>
    <mergeCell ref="O118:P118"/>
    <mergeCell ref="X118:Y118"/>
    <mergeCell ref="F119:G119"/>
    <mergeCell ref="O119:P119"/>
    <mergeCell ref="X119:Y119"/>
    <mergeCell ref="P99:Q99"/>
    <mergeCell ref="S99:S100"/>
    <mergeCell ref="T99:T100"/>
    <mergeCell ref="U99:U100"/>
    <mergeCell ref="V99:V100"/>
    <mergeCell ref="Y99:Z99"/>
    <mergeCell ref="D115:D116"/>
    <mergeCell ref="E115:E116"/>
    <mergeCell ref="F115:G116"/>
    <mergeCell ref="M115:M116"/>
    <mergeCell ref="N115:N116"/>
    <mergeCell ref="O115:P116"/>
    <mergeCell ref="V115:V116"/>
    <mergeCell ref="W115:W116"/>
    <mergeCell ref="X115:Y116"/>
    <mergeCell ref="A99:A100"/>
    <mergeCell ref="B99:B100"/>
    <mergeCell ref="C99:C100"/>
    <mergeCell ref="D99:D100"/>
    <mergeCell ref="G99:H99"/>
    <mergeCell ref="J99:J100"/>
    <mergeCell ref="K99:K100"/>
    <mergeCell ref="L99:L100"/>
    <mergeCell ref="M99:M100"/>
    <mergeCell ref="T2:Y2"/>
    <mergeCell ref="X25:Y26"/>
    <mergeCell ref="T9:T10"/>
    <mergeCell ref="U9:U10"/>
    <mergeCell ref="B92:G92"/>
    <mergeCell ref="K92:P92"/>
    <mergeCell ref="T92:Y92"/>
    <mergeCell ref="J9:J10"/>
    <mergeCell ref="K9:K10"/>
    <mergeCell ref="X27:Y27"/>
    <mergeCell ref="X28:Y28"/>
    <mergeCell ref="X29:Y29"/>
    <mergeCell ref="B2:G2"/>
    <mergeCell ref="N25:N26"/>
    <mergeCell ref="P9:Q9"/>
    <mergeCell ref="S9:S10"/>
    <mergeCell ref="K2:P2"/>
    <mergeCell ref="V9:V10"/>
    <mergeCell ref="Y9:Z9"/>
    <mergeCell ref="O25:P26"/>
    <mergeCell ref="V25:V26"/>
    <mergeCell ref="W25:W26"/>
    <mergeCell ref="O27:P27"/>
    <mergeCell ref="O28:P28"/>
    <mergeCell ref="A39:A40"/>
    <mergeCell ref="B39:B40"/>
    <mergeCell ref="C39:C40"/>
    <mergeCell ref="D39:D40"/>
    <mergeCell ref="G39:H39"/>
    <mergeCell ref="F29:G29"/>
    <mergeCell ref="A9:A10"/>
    <mergeCell ref="B9:B10"/>
    <mergeCell ref="C9:C10"/>
    <mergeCell ref="D9:D10"/>
    <mergeCell ref="G9:H9"/>
    <mergeCell ref="D25:D26"/>
    <mergeCell ref="E25:E26"/>
    <mergeCell ref="F25:G26"/>
    <mergeCell ref="M25:M26"/>
    <mergeCell ref="L9:L10"/>
    <mergeCell ref="M9:M10"/>
    <mergeCell ref="F27:G27"/>
    <mergeCell ref="F28:G28"/>
    <mergeCell ref="O29:P29"/>
    <mergeCell ref="B32:G32"/>
    <mergeCell ref="J32:O32"/>
    <mergeCell ref="I39:I40"/>
    <mergeCell ref="J39:J40"/>
    <mergeCell ref="K39:K40"/>
    <mergeCell ref="L39:L40"/>
    <mergeCell ref="O39:P39"/>
    <mergeCell ref="B62:G62"/>
    <mergeCell ref="K62:P62"/>
    <mergeCell ref="T62:Y62"/>
    <mergeCell ref="M55:M56"/>
    <mergeCell ref="V55:V56"/>
    <mergeCell ref="F59:G59"/>
    <mergeCell ref="D55:D56"/>
    <mergeCell ref="E55:E56"/>
    <mergeCell ref="F55:G56"/>
    <mergeCell ref="F57:G57"/>
    <mergeCell ref="F58:G58"/>
    <mergeCell ref="L55:L56"/>
    <mergeCell ref="N55:O56"/>
    <mergeCell ref="N57:O57"/>
    <mergeCell ref="N58:O58"/>
    <mergeCell ref="N59:O59"/>
    <mergeCell ref="W59:X59"/>
    <mergeCell ref="Y69:Z69"/>
    <mergeCell ref="J69:J70"/>
    <mergeCell ref="K69:K70"/>
    <mergeCell ref="L69:L70"/>
    <mergeCell ref="M69:M70"/>
    <mergeCell ref="P69:Q69"/>
    <mergeCell ref="A69:A70"/>
    <mergeCell ref="B69:B70"/>
    <mergeCell ref="C69:C70"/>
    <mergeCell ref="D69:D70"/>
    <mergeCell ref="G69:H69"/>
    <mergeCell ref="I69:I70"/>
    <mergeCell ref="D85:D86"/>
    <mergeCell ref="E85:E86"/>
    <mergeCell ref="F85:G86"/>
    <mergeCell ref="M85:M86"/>
    <mergeCell ref="N85:N86"/>
    <mergeCell ref="S69:S70"/>
    <mergeCell ref="T69:T70"/>
    <mergeCell ref="U69:U70"/>
    <mergeCell ref="V69:V70"/>
    <mergeCell ref="R69:R70"/>
    <mergeCell ref="F88:G88"/>
    <mergeCell ref="O88:P88"/>
    <mergeCell ref="X88:Y88"/>
    <mergeCell ref="F89:G89"/>
    <mergeCell ref="O89:P89"/>
    <mergeCell ref="X89:Y89"/>
    <mergeCell ref="O85:P86"/>
    <mergeCell ref="V85:V86"/>
    <mergeCell ref="W85:W86"/>
    <mergeCell ref="X85:Y86"/>
    <mergeCell ref="F87:G87"/>
    <mergeCell ref="O87:P87"/>
    <mergeCell ref="X87:Y87"/>
    <mergeCell ref="B122:G122"/>
    <mergeCell ref="K122:P122"/>
    <mergeCell ref="T122:Y122"/>
    <mergeCell ref="A129:A130"/>
    <mergeCell ref="B129:B130"/>
    <mergeCell ref="C129:C130"/>
    <mergeCell ref="D129:D130"/>
    <mergeCell ref="G129:H129"/>
    <mergeCell ref="J129:J130"/>
    <mergeCell ref="K129:K130"/>
    <mergeCell ref="L129:L130"/>
    <mergeCell ref="M129:M130"/>
    <mergeCell ref="P129:Q129"/>
    <mergeCell ref="S129:S130"/>
    <mergeCell ref="T129:T130"/>
    <mergeCell ref="U129:U130"/>
    <mergeCell ref="V129:V130"/>
    <mergeCell ref="Y129:Z129"/>
    <mergeCell ref="D145:D146"/>
    <mergeCell ref="E145:E146"/>
    <mergeCell ref="F145:G146"/>
    <mergeCell ref="M145:M146"/>
    <mergeCell ref="N145:N146"/>
    <mergeCell ref="O145:P146"/>
    <mergeCell ref="V145:V146"/>
    <mergeCell ref="W145:W146"/>
    <mergeCell ref="X145:Y146"/>
    <mergeCell ref="F147:G147"/>
    <mergeCell ref="O147:P147"/>
    <mergeCell ref="X147:Y147"/>
    <mergeCell ref="F148:G148"/>
    <mergeCell ref="O148:P148"/>
    <mergeCell ref="X148:Y148"/>
    <mergeCell ref="F149:G149"/>
    <mergeCell ref="O149:P149"/>
    <mergeCell ref="X149:Y149"/>
    <mergeCell ref="B152:G152"/>
    <mergeCell ref="K152:P152"/>
    <mergeCell ref="T152:Y152"/>
    <mergeCell ref="A159:A160"/>
    <mergeCell ref="B159:B160"/>
    <mergeCell ref="C159:C160"/>
    <mergeCell ref="D159:D160"/>
    <mergeCell ref="G159:H159"/>
    <mergeCell ref="J159:J160"/>
    <mergeCell ref="K159:K160"/>
    <mergeCell ref="L159:L160"/>
    <mergeCell ref="M159:M160"/>
    <mergeCell ref="P159:Q159"/>
    <mergeCell ref="S159:S160"/>
    <mergeCell ref="T159:T160"/>
    <mergeCell ref="U159:U160"/>
    <mergeCell ref="V159:V160"/>
    <mergeCell ref="Y159:Z159"/>
    <mergeCell ref="D175:D176"/>
    <mergeCell ref="E175:E176"/>
    <mergeCell ref="F175:G176"/>
    <mergeCell ref="M175:M176"/>
    <mergeCell ref="N175:N176"/>
    <mergeCell ref="O175:P176"/>
    <mergeCell ref="V175:V176"/>
    <mergeCell ref="W175:W176"/>
    <mergeCell ref="X175:Y176"/>
    <mergeCell ref="F177:G177"/>
    <mergeCell ref="O177:P177"/>
    <mergeCell ref="X177:Y177"/>
    <mergeCell ref="F178:G178"/>
    <mergeCell ref="O178:P178"/>
    <mergeCell ref="X178:Y178"/>
    <mergeCell ref="F179:G179"/>
    <mergeCell ref="O179:P179"/>
    <mergeCell ref="X179:Y179"/>
    <mergeCell ref="F206:G206"/>
    <mergeCell ref="F207:G207"/>
    <mergeCell ref="F208:G208"/>
    <mergeCell ref="B181:G181"/>
    <mergeCell ref="A188:A189"/>
    <mergeCell ref="B188:B189"/>
    <mergeCell ref="C188:C189"/>
    <mergeCell ref="D188:D189"/>
    <mergeCell ref="G188:H188"/>
    <mergeCell ref="D204:D205"/>
    <mergeCell ref="E204:E205"/>
    <mergeCell ref="F204:G205"/>
    <mergeCell ref="O206:P206"/>
    <mergeCell ref="O207:P207"/>
    <mergeCell ref="O208:P208"/>
    <mergeCell ref="K181:P181"/>
    <mergeCell ref="J188:J189"/>
    <mergeCell ref="K188:K189"/>
    <mergeCell ref="L188:L189"/>
    <mergeCell ref="M188:M189"/>
    <mergeCell ref="P188:Q188"/>
    <mergeCell ref="M204:M205"/>
    <mergeCell ref="N204:N205"/>
    <mergeCell ref="O204:P205"/>
    <mergeCell ref="X206:Y206"/>
    <mergeCell ref="X207:Y207"/>
    <mergeCell ref="X208:Y208"/>
    <mergeCell ref="T181:Y181"/>
    <mergeCell ref="S188:S189"/>
    <mergeCell ref="T188:T189"/>
    <mergeCell ref="U188:U189"/>
    <mergeCell ref="V188:V189"/>
    <mergeCell ref="Y188:Z188"/>
    <mergeCell ref="V204:V205"/>
    <mergeCell ref="W204:W205"/>
    <mergeCell ref="X204:Y205"/>
  </mergeCells>
  <pageMargins left="0.7" right="0.7" top="0.75" bottom="0.75" header="0.3" footer="0.3"/>
  <pageSetup scale="67" orientation="portrait" r:id="rId1"/>
  <rowBreaks count="10" manualBreakCount="10">
    <brk id="30" max="25" man="1"/>
    <brk id="60" max="25" man="1"/>
    <brk id="90" max="25" man="1"/>
    <brk id="120" max="25" man="1"/>
    <brk id="150" max="25" man="1"/>
    <brk id="179" max="25" man="1"/>
    <brk id="208" max="25" man="1"/>
    <brk id="237" max="25" man="1"/>
    <brk id="266" max="25" man="1"/>
    <brk id="295" max="25" man="1"/>
  </rowBreaks>
  <colBreaks count="2" manualBreakCount="2">
    <brk id="8" max="89" man="1"/>
    <brk id="17" max="8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77D0-3573-46CB-8454-8060FA35185D}">
  <sheetPr syncVertical="1" syncRef="A1" transitionEvaluation="1" transitionEntry="1">
    <tabColor rgb="FF00B050"/>
    <pageSetUpPr fitToPage="1"/>
  </sheetPr>
  <dimension ref="A1:BR109"/>
  <sheetViews>
    <sheetView showGridLines="0" view="pageBreakPreview" zoomScale="80" zoomScaleNormal="80" zoomScaleSheetLayoutView="80" workbookViewId="0">
      <selection activeCell="H13" sqref="H13"/>
    </sheetView>
  </sheetViews>
  <sheetFormatPr defaultColWidth="12.59765625" defaultRowHeight="15.4"/>
  <cols>
    <col min="1" max="1" width="15.1328125" style="2" customWidth="1"/>
    <col min="2" max="2" width="16.86328125" style="2" customWidth="1"/>
    <col min="3" max="3" width="11.265625" style="2" customWidth="1"/>
    <col min="4" max="4" width="12.59765625" style="2"/>
    <col min="5" max="6" width="8.73046875" style="2" customWidth="1"/>
    <col min="7" max="8" width="11.265625" style="2" customWidth="1"/>
    <col min="9" max="9" width="10" style="2" customWidth="1"/>
    <col min="10" max="10" width="11.265625" style="2" customWidth="1"/>
    <col min="11" max="11" width="12.265625" style="2" customWidth="1"/>
    <col min="12" max="13" width="11.265625" style="2" customWidth="1"/>
    <col min="14" max="14" width="20.86328125" style="2" bestFit="1" customWidth="1"/>
    <col min="15" max="15" width="24.59765625" style="2" customWidth="1"/>
    <col min="16" max="18" width="11.265625" style="2" customWidth="1"/>
    <col min="19" max="19" width="18.265625" style="2" bestFit="1" customWidth="1"/>
    <col min="20" max="16384" width="12.59765625" style="2"/>
  </cols>
  <sheetData>
    <row r="1" spans="1:70">
      <c r="E1" s="3" t="s">
        <v>7</v>
      </c>
      <c r="H1" s="4" t="s">
        <v>558</v>
      </c>
    </row>
    <row r="2" spans="1:70">
      <c r="U2" s="332" t="s">
        <v>527</v>
      </c>
    </row>
    <row r="4" spans="1:70">
      <c r="A4" s="3" t="s">
        <v>53</v>
      </c>
      <c r="B4" s="3"/>
      <c r="D4" s="333" t="s">
        <v>559</v>
      </c>
      <c r="E4" s="6"/>
      <c r="F4" s="6"/>
      <c r="G4" s="6"/>
      <c r="H4" s="6"/>
      <c r="K4" s="3" t="s">
        <v>54</v>
      </c>
      <c r="N4" s="7">
        <v>8.3299999999999999E-2</v>
      </c>
      <c r="O4" s="3" t="s">
        <v>55</v>
      </c>
      <c r="Y4" s="3" t="s">
        <v>56</v>
      </c>
    </row>
    <row r="5" spans="1:70">
      <c r="D5" s="7"/>
      <c r="M5" s="3" t="s">
        <v>57</v>
      </c>
      <c r="N5" s="7">
        <v>1.2999999999999999E-2</v>
      </c>
      <c r="Y5" s="3" t="s">
        <v>58</v>
      </c>
    </row>
    <row r="6" spans="1:70">
      <c r="A6" s="3" t="s">
        <v>59</v>
      </c>
      <c r="B6" s="3"/>
      <c r="D6" s="333"/>
      <c r="E6" s="6"/>
      <c r="H6" s="2" t="s">
        <v>548</v>
      </c>
      <c r="L6" s="3" t="s">
        <v>61</v>
      </c>
      <c r="N6" s="7">
        <v>1.33</v>
      </c>
      <c r="O6" s="3" t="s">
        <v>55</v>
      </c>
    </row>
    <row r="7" spans="1:70">
      <c r="Y7" s="3" t="s">
        <v>62</v>
      </c>
      <c r="AA7" s="3" t="s">
        <v>63</v>
      </c>
    </row>
    <row r="8" spans="1:70" ht="17.649999999999999">
      <c r="A8" s="8" t="s">
        <v>4</v>
      </c>
      <c r="B8" s="9" t="s">
        <v>528</v>
      </c>
      <c r="C8" s="9" t="s">
        <v>4</v>
      </c>
      <c r="D8" s="9" t="s">
        <v>21</v>
      </c>
      <c r="E8" s="10"/>
      <c r="F8" s="10"/>
      <c r="G8" s="9" t="s">
        <v>64</v>
      </c>
      <c r="H8" s="9" t="s">
        <v>2</v>
      </c>
      <c r="I8" s="9" t="s">
        <v>65</v>
      </c>
      <c r="J8" s="9" t="s">
        <v>546</v>
      </c>
      <c r="K8" s="9" t="s">
        <v>547</v>
      </c>
      <c r="L8" s="9" t="s">
        <v>67</v>
      </c>
      <c r="M8" s="9" t="s">
        <v>68</v>
      </c>
      <c r="N8" s="9" t="s">
        <v>530</v>
      </c>
      <c r="O8" s="9" t="s">
        <v>531</v>
      </c>
      <c r="P8" s="9" t="s">
        <v>69</v>
      </c>
      <c r="Q8" s="9" t="s">
        <v>70</v>
      </c>
      <c r="R8" s="9" t="s">
        <v>64</v>
      </c>
      <c r="S8" s="9" t="s">
        <v>64</v>
      </c>
      <c r="V8" s="3" t="s">
        <v>71</v>
      </c>
      <c r="W8" s="3" t="s">
        <v>72</v>
      </c>
      <c r="X8" s="3" t="s">
        <v>73</v>
      </c>
      <c r="Y8" s="3" t="s">
        <v>74</v>
      </c>
      <c r="AA8" s="3" t="s">
        <v>75</v>
      </c>
      <c r="AB8" s="3" t="s">
        <v>76</v>
      </c>
    </row>
    <row r="9" spans="1:70" ht="15.75" thickBot="1">
      <c r="A9" s="11" t="s">
        <v>77</v>
      </c>
      <c r="B9" s="12" t="s">
        <v>532</v>
      </c>
      <c r="C9" s="12" t="s">
        <v>1</v>
      </c>
      <c r="D9" s="13" t="s">
        <v>78</v>
      </c>
      <c r="E9" s="12" t="s">
        <v>79</v>
      </c>
      <c r="F9" s="12" t="s">
        <v>80</v>
      </c>
      <c r="G9" s="12" t="s">
        <v>80</v>
      </c>
      <c r="H9" s="12" t="s">
        <v>80</v>
      </c>
      <c r="I9" s="12" t="s">
        <v>81</v>
      </c>
      <c r="J9" s="12" t="s">
        <v>82</v>
      </c>
      <c r="K9" s="12" t="s">
        <v>83</v>
      </c>
      <c r="L9" s="12" t="s">
        <v>84</v>
      </c>
      <c r="M9" s="12" t="s">
        <v>84</v>
      </c>
      <c r="N9" s="12" t="s">
        <v>533</v>
      </c>
      <c r="O9" s="12" t="s">
        <v>85</v>
      </c>
      <c r="P9" s="12" t="s">
        <v>85</v>
      </c>
      <c r="Q9" s="12" t="s">
        <v>86</v>
      </c>
      <c r="R9" s="12" t="s">
        <v>80</v>
      </c>
      <c r="S9" s="12" t="s">
        <v>8</v>
      </c>
      <c r="V9" s="3" t="s">
        <v>87</v>
      </c>
      <c r="X9" s="3" t="s">
        <v>87</v>
      </c>
      <c r="Y9" s="3" t="s">
        <v>88</v>
      </c>
      <c r="Z9" s="3" t="s">
        <v>88</v>
      </c>
      <c r="AA9" s="3" t="s">
        <v>89</v>
      </c>
      <c r="AB9" s="3" t="s">
        <v>90</v>
      </c>
    </row>
    <row r="10" spans="1:70" ht="16.149999999999999" thickTop="1" thickBot="1">
      <c r="A10" s="415" t="s">
        <v>534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416"/>
      <c r="S10" s="417"/>
    </row>
    <row r="11" spans="1:70" ht="15.75" thickTop="1">
      <c r="A11" s="369" t="str">
        <f>'Rationals-MCDOT'!B5</f>
        <v>EX-I-1</v>
      </c>
      <c r="B11" s="370"/>
      <c r="C11" s="371">
        <v>11.1</v>
      </c>
      <c r="D11" s="372">
        <f>'Rationals-MCDOT'!D20/43560</f>
        <v>5.4965105601469229E-2</v>
      </c>
      <c r="E11" s="373">
        <f>'Rationals-MCDOT'!D22</f>
        <v>0.84907512905758742</v>
      </c>
      <c r="F11" s="374">
        <f t="shared" ref="F11:F38" si="0">IF(AND(D11=0,E11=0)," ",+D11*E11)</f>
        <v>4.6669504132231407E-2</v>
      </c>
      <c r="G11" s="374">
        <f>R13+R19</f>
        <v>0.2916889542272727</v>
      </c>
      <c r="H11" s="374">
        <f t="shared" ref="H11:H38" si="1">IF(AND(D11=0,E11=0)," ",+F11+G11)</f>
        <v>0.33835845835950412</v>
      </c>
      <c r="I11" s="371">
        <f>'Rationals-MCDOT'!B28</f>
        <v>5</v>
      </c>
      <c r="J11" s="370">
        <f>'Rationals-MCDOT'!E28</f>
        <v>6.68</v>
      </c>
      <c r="K11" s="375">
        <f>IF(AND(D11=0,E11=0)," ",+H11*J11)</f>
        <v>2.2602345018414876</v>
      </c>
      <c r="L11" s="370">
        <v>5.5E-2</v>
      </c>
      <c r="M11" s="370" t="s">
        <v>97</v>
      </c>
      <c r="N11" s="370" t="s">
        <v>535</v>
      </c>
      <c r="O11" s="372">
        <v>8</v>
      </c>
      <c r="P11" s="375">
        <v>3.2</v>
      </c>
      <c r="Q11" s="375">
        <v>100</v>
      </c>
      <c r="R11" s="374">
        <f>IF(AND(D11=0,E11=0)," ",+H11*(1-(Q11/100)))</f>
        <v>0</v>
      </c>
      <c r="S11" s="369"/>
      <c r="T11" s="22" t="s">
        <v>7</v>
      </c>
      <c r="U11" s="2">
        <f t="shared" ref="U11:U38" si="2">L11+0.25*(1-(1-$N$6/P11)^2.67)</f>
        <v>0.24543287272650377</v>
      </c>
      <c r="V11" s="2">
        <f t="shared" ref="V11:V38" si="3">($N$4+L11*$N$6)/$N$6</f>
        <v>0.11763157894736842</v>
      </c>
      <c r="W11" s="2">
        <f t="shared" ref="W11:W38" si="4">($N$4/($N$4+$N$6*L11))*(0.56/$N$5*V11^1.667*M11^0.5*$N$6^2.667)/K11</f>
        <v>0</v>
      </c>
      <c r="X11" s="2">
        <f t="shared" ref="X11:X38" si="5">L11+($N$4/$N$6)*W11</f>
        <v>5.5E-2</v>
      </c>
      <c r="Y11" s="2">
        <f t="shared" ref="Y11:Y38" si="6">IF(C11&gt;=15,0.54*K11^0.42*M11^0.3*(1/($N$5*X11))^0.6,Z11)</f>
        <v>0</v>
      </c>
      <c r="Z11" s="2">
        <f t="shared" ref="Z11:Z38" si="7">0.58*K11^0.42*M11^0.3*(1/($N$5*X11))^0.6</f>
        <v>0</v>
      </c>
      <c r="AA11" s="2">
        <f t="shared" ref="AA11:AA38" si="8">IF($N$4=0,0.6*K11^0.42*M11^0.3*(1/($N$5*X11))^0.6,Y11)</f>
        <v>0</v>
      </c>
      <c r="AB11" s="2">
        <f t="shared" ref="AB11:AB38" si="9">IF(C11&gt;AA11,1,1-(1-C11/AA11)^1.8)</f>
        <v>1</v>
      </c>
      <c r="AE11" s="2" t="e">
        <f t="shared" ref="AE11:AE38" si="10">IF(EXACT($A$11,$S11),$R11,0)</f>
        <v>#VALUE!</v>
      </c>
      <c r="AF11" s="2">
        <f t="shared" ref="AF11:AF38" si="11">IF(ISERR(AE11),0,AE11)</f>
        <v>0</v>
      </c>
      <c r="AG11" s="2" t="e">
        <f>IF(EXACT($A$13,$S11),$R11,0)</f>
        <v>#VALUE!</v>
      </c>
      <c r="AH11" s="2">
        <f t="shared" ref="AH11:AH38" si="12">IF(ISERR(AG11),0,AG11)</f>
        <v>0</v>
      </c>
      <c r="AI11" s="2" t="e">
        <f>IF(EXACT($A$15,$S11),$R11,0)</f>
        <v>#VALUE!</v>
      </c>
      <c r="AJ11" s="2">
        <f t="shared" ref="AJ11:AJ38" si="13">IF(ISERR(AI11),0,AI11)</f>
        <v>0</v>
      </c>
      <c r="AK11" s="2" t="e">
        <f>IF(EXACT(#REF!,$S11),$R11,0)</f>
        <v>#REF!</v>
      </c>
      <c r="AL11" s="2">
        <f t="shared" ref="AL11:AL38" si="14">IF(ISERR(AK11),0,AK11)</f>
        <v>0</v>
      </c>
      <c r="AM11" s="2" t="e">
        <f>IF(EXACT($A$17,$S11),$R11,0)</f>
        <v>#VALUE!</v>
      </c>
      <c r="AN11" s="2">
        <f t="shared" ref="AN11:AN38" si="15">IF(ISERR(AM11),0,AM11)</f>
        <v>0</v>
      </c>
      <c r="AO11" s="2" t="e">
        <f>IF(EXACT($A$18,$S11),$R11,0)</f>
        <v>#VALUE!</v>
      </c>
      <c r="AP11" s="2">
        <f t="shared" ref="AP11:AP38" si="16">IF(ISERR(AO11),0,AO11)</f>
        <v>0</v>
      </c>
      <c r="AQ11" s="2" t="e">
        <f>IF(EXACT($A$20,$S11),$R11,0)</f>
        <v>#VALUE!</v>
      </c>
      <c r="AR11" s="2">
        <f t="shared" ref="AR11:AR38" si="17">IF(ISERR(AQ11),0,AQ11)</f>
        <v>0</v>
      </c>
      <c r="AS11" s="2" t="e">
        <f>IF(EXACT($A$21,$S11),$R11,0)</f>
        <v>#VALUE!</v>
      </c>
      <c r="AT11" s="2">
        <f t="shared" ref="AT11:AT38" si="18">IF(ISERR(AS11),0,AS11)</f>
        <v>0</v>
      </c>
      <c r="AU11" s="2" t="e">
        <f>IF(EXACT($A$22,$S11),$R11,0)</f>
        <v>#VALUE!</v>
      </c>
      <c r="AV11" s="2">
        <f t="shared" ref="AV11:AV38" si="19">IF(ISERR(AU11),0,AU11)</f>
        <v>0</v>
      </c>
      <c r="AW11" s="2" t="e">
        <f>IF(EXACT($A$23,$S11),$R11,0)</f>
        <v>#VALUE!</v>
      </c>
      <c r="AX11" s="2">
        <f t="shared" ref="AX11:AX38" si="20">IF(ISERR(AW11),0,AW11)</f>
        <v>0</v>
      </c>
      <c r="AY11" s="2" t="e">
        <f>IF(EXACT($A$24,$S11),$R11,0)</f>
        <v>#VALUE!</v>
      </c>
      <c r="AZ11" s="2">
        <f t="shared" ref="AZ11:AZ38" si="21">IF(ISERR(AY11),0,AY11)</f>
        <v>0</v>
      </c>
      <c r="BA11" s="2" t="e">
        <f>IF(EXACT($A$25,$S11),$R11,0)</f>
        <v>#VALUE!</v>
      </c>
      <c r="BB11" s="2">
        <f t="shared" ref="BB11:BB38" si="22">IF(ISERR(BA11),0,BA11)</f>
        <v>0</v>
      </c>
      <c r="BC11" s="2" t="e">
        <f>IF(EXACT($A$26,$S11),$R11,0)</f>
        <v>#VALUE!</v>
      </c>
      <c r="BD11" s="2">
        <f t="shared" ref="BD11:BD38" si="23">IF(ISERR(BC11),0,BC11)</f>
        <v>0</v>
      </c>
      <c r="BE11" s="2" t="e">
        <f>IF(EXACT($A$27,$S11),$R11,0)</f>
        <v>#VALUE!</v>
      </c>
      <c r="BF11" s="2">
        <f t="shared" ref="BF11:BF38" si="24">IF(ISERR(BE11),0,BE11)</f>
        <v>0</v>
      </c>
      <c r="BG11" s="2" t="e">
        <f>IF(EXACT($A$33,$S11),$R11,0)</f>
        <v>#VALUE!</v>
      </c>
      <c r="BH11" s="2">
        <f t="shared" ref="BH11:BH38" si="25">IF(ISERR(BG11),0,BG11)</f>
        <v>0</v>
      </c>
      <c r="BI11" s="2" t="e">
        <f>IF(EXACT($A$34,$S11),$R11,0)</f>
        <v>#VALUE!</v>
      </c>
      <c r="BJ11" s="2">
        <f t="shared" ref="BJ11:BJ38" si="26">IF(ISERR(BI11),0,BI11)</f>
        <v>0</v>
      </c>
      <c r="BK11" s="2" t="e">
        <f>IF(EXACT($A$35,$S11),$R11,0)</f>
        <v>#VALUE!</v>
      </c>
      <c r="BL11" s="2">
        <f t="shared" ref="BL11:BL38" si="27">IF(ISERR(BK11),0,BK11)</f>
        <v>0</v>
      </c>
      <c r="BM11" s="2" t="e">
        <f>IF(EXACT($A$36,$S11),$R11,0)</f>
        <v>#VALUE!</v>
      </c>
      <c r="BN11" s="2">
        <f t="shared" ref="BN11:BN38" si="28">IF(ISERR(BM11),0,BM11)</f>
        <v>0</v>
      </c>
      <c r="BO11" s="2" t="e">
        <f>IF(EXACT($A$37,$S11),$R11,0)</f>
        <v>#VALUE!</v>
      </c>
      <c r="BP11" s="2">
        <f t="shared" ref="BP11:BP38" si="29">IF(ISERR(BO11),0,BO11)</f>
        <v>0</v>
      </c>
      <c r="BQ11" s="2" t="e">
        <f>IF(EXACT($A$38,$S11),$R11,0)</f>
        <v>#VALUE!</v>
      </c>
      <c r="BR11" s="2">
        <f t="shared" ref="BR11:BR38" si="30">IF(ISERR(BQ11),0,BQ11)</f>
        <v>0</v>
      </c>
    </row>
    <row r="12" spans="1:70">
      <c r="A12" s="369" t="str">
        <f>'Rationals-MCDOT'!K5</f>
        <v>EX-I-2</v>
      </c>
      <c r="B12" s="370"/>
      <c r="C12" s="371">
        <v>15</v>
      </c>
      <c r="D12" s="372">
        <f>'Rationals-MCDOT'!M20/43560</f>
        <v>2.0137199265381085</v>
      </c>
      <c r="E12" s="373">
        <f>'Rationals-MCDOT'!M22</f>
        <v>0.58212056548716995</v>
      </c>
      <c r="F12" s="374">
        <f t="shared" si="0"/>
        <v>1.172227782369146</v>
      </c>
      <c r="G12" s="374">
        <v>0</v>
      </c>
      <c r="H12" s="374">
        <f t="shared" si="1"/>
        <v>1.172227782369146</v>
      </c>
      <c r="I12" s="371">
        <f>'Rationals-MCDOT'!K28</f>
        <v>10</v>
      </c>
      <c r="J12" s="370">
        <f>'Rationals-MCDOT'!N28</f>
        <v>5.34</v>
      </c>
      <c r="K12" s="375">
        <f t="shared" ref="K12:K38" si="31">IF(AND(D12=0,E12=0)," ",+H12*J12)</f>
        <v>6.2596963578512401</v>
      </c>
      <c r="L12" s="370">
        <v>0.04</v>
      </c>
      <c r="M12" s="370" t="s">
        <v>97</v>
      </c>
      <c r="N12" s="370" t="s">
        <v>535</v>
      </c>
      <c r="O12" s="372">
        <v>8</v>
      </c>
      <c r="P12" s="375">
        <v>8.6</v>
      </c>
      <c r="Q12" s="375">
        <v>100</v>
      </c>
      <c r="R12" s="374">
        <f>IF(AND(D12=0,E12=0)," ",+H12*(1-(Q12/100)))</f>
        <v>0</v>
      </c>
      <c r="S12" s="369"/>
      <c r="T12" s="22"/>
      <c r="U12" s="2">
        <f t="shared" si="2"/>
        <v>0.13036577033809746</v>
      </c>
      <c r="V12" s="2">
        <f t="shared" si="3"/>
        <v>0.10263157894736842</v>
      </c>
      <c r="W12" s="2">
        <f t="shared" si="4"/>
        <v>0</v>
      </c>
      <c r="X12" s="2">
        <f t="shared" si="5"/>
        <v>0.04</v>
      </c>
      <c r="Y12" s="2">
        <f t="shared" si="6"/>
        <v>0</v>
      </c>
      <c r="Z12" s="2">
        <f t="shared" si="7"/>
        <v>0</v>
      </c>
      <c r="AA12" s="2">
        <f t="shared" si="8"/>
        <v>0</v>
      </c>
      <c r="AB12" s="2">
        <f t="shared" si="9"/>
        <v>1</v>
      </c>
    </row>
    <row r="13" spans="1:70">
      <c r="A13" s="369" t="str">
        <f>'Rationals-MCDOT'!T5</f>
        <v>I-1</v>
      </c>
      <c r="B13" s="370"/>
      <c r="C13" s="371">
        <v>5</v>
      </c>
      <c r="D13" s="372">
        <f>'Rationals-MCDOT'!V20/43560</f>
        <v>0.1859176675849403</v>
      </c>
      <c r="E13" s="373">
        <f>'Rationals-MCDOT'!V22</f>
        <v>0.76855344798002456</v>
      </c>
      <c r="F13" s="374">
        <f t="shared" si="0"/>
        <v>0.14288766446280993</v>
      </c>
      <c r="G13" s="374">
        <v>0</v>
      </c>
      <c r="H13" s="374">
        <f>IF(AND(D13=0,E13=0)," ",+F13+G13)</f>
        <v>0.14288766446280993</v>
      </c>
      <c r="I13" s="371">
        <f>'Rationals-MCDOT'!T28</f>
        <v>7</v>
      </c>
      <c r="J13" s="370">
        <f>'Rationals-MCDOT'!W28</f>
        <v>6.15</v>
      </c>
      <c r="K13" s="375">
        <f t="shared" si="31"/>
        <v>0.87875913644628112</v>
      </c>
      <c r="L13" s="372">
        <v>4.3999999999999997E-2</v>
      </c>
      <c r="M13" s="370">
        <v>0.01</v>
      </c>
      <c r="N13" s="370" t="s">
        <v>535</v>
      </c>
      <c r="O13" s="372">
        <v>8</v>
      </c>
      <c r="P13" s="375">
        <v>4.0999999999999996</v>
      </c>
      <c r="Q13" s="375">
        <v>99.25</v>
      </c>
      <c r="R13" s="374">
        <f t="shared" ref="R13:R19" si="32">IF(AND(D13=0,E13=0)," ",+H13*(1-(Q13/100)))</f>
        <v>1.0716574834710674E-3</v>
      </c>
      <c r="S13" s="369" t="s">
        <v>359</v>
      </c>
      <c r="T13" s="22" t="s">
        <v>7</v>
      </c>
      <c r="U13" s="2">
        <f t="shared" si="2"/>
        <v>0.20625384506443195</v>
      </c>
      <c r="V13" s="2">
        <f t="shared" si="3"/>
        <v>0.10663157894736841</v>
      </c>
      <c r="W13" s="2">
        <f t="shared" si="4"/>
        <v>0.14759796289541802</v>
      </c>
      <c r="X13" s="2">
        <f t="shared" si="5"/>
        <v>5.3244293465555127E-2</v>
      </c>
      <c r="Y13" s="2">
        <f t="shared" si="6"/>
        <v>10.857341036559216</v>
      </c>
      <c r="Z13" s="2">
        <f t="shared" si="7"/>
        <v>10.857341036559216</v>
      </c>
      <c r="AA13" s="2">
        <f t="shared" si="8"/>
        <v>10.857341036559216</v>
      </c>
      <c r="AB13" s="2">
        <f t="shared" si="9"/>
        <v>0.67072507712410556</v>
      </c>
      <c r="AE13" s="2">
        <f t="shared" si="10"/>
        <v>1.0716574834710674E-3</v>
      </c>
      <c r="AF13" s="2">
        <f t="shared" si="11"/>
        <v>1.0716574834710674E-3</v>
      </c>
      <c r="AG13" s="2">
        <f>IF(EXACT($A$13,$S13),$R13,0)</f>
        <v>0</v>
      </c>
      <c r="AH13" s="2">
        <f t="shared" si="12"/>
        <v>0</v>
      </c>
      <c r="AI13" s="2">
        <f>IF(EXACT($A$15,$S13),$R13,0)</f>
        <v>0</v>
      </c>
      <c r="AJ13" s="2">
        <f t="shared" si="13"/>
        <v>0</v>
      </c>
      <c r="AK13" s="2" t="e">
        <f>IF(EXACT(#REF!,$S13),$R13,0)</f>
        <v>#REF!</v>
      </c>
      <c r="AL13" s="2">
        <f t="shared" si="14"/>
        <v>0</v>
      </c>
      <c r="AM13" s="2">
        <f>IF(EXACT($A$17,$S13),$R13,0)</f>
        <v>0</v>
      </c>
      <c r="AN13" s="2">
        <f t="shared" si="15"/>
        <v>0</v>
      </c>
      <c r="AO13" s="2">
        <f>IF(EXACT($A$18,$S13),$R13,0)</f>
        <v>0</v>
      </c>
      <c r="AP13" s="2">
        <f t="shared" si="16"/>
        <v>0</v>
      </c>
      <c r="AQ13" s="2" t="e">
        <f>IF(EXACT($A$20,$S13),$R13,0)</f>
        <v>#VALUE!</v>
      </c>
      <c r="AR13" s="2">
        <f t="shared" si="17"/>
        <v>0</v>
      </c>
      <c r="AS13" s="2" t="e">
        <f>IF(EXACT($A$21,$S13),$R13,0)</f>
        <v>#VALUE!</v>
      </c>
      <c r="AT13" s="2">
        <f t="shared" si="18"/>
        <v>0</v>
      </c>
      <c r="AU13" s="2" t="e">
        <f>IF(EXACT($A$22,$S13),$R13,0)</f>
        <v>#VALUE!</v>
      </c>
      <c r="AV13" s="2">
        <f t="shared" si="19"/>
        <v>0</v>
      </c>
      <c r="AW13" s="2" t="e">
        <f>IF(EXACT($A$23,$S13),$R13,0)</f>
        <v>#VALUE!</v>
      </c>
      <c r="AX13" s="2">
        <f t="shared" si="20"/>
        <v>0</v>
      </c>
      <c r="AY13" s="2" t="e">
        <f>IF(EXACT($A$24,$S13),$R13,0)</f>
        <v>#VALUE!</v>
      </c>
      <c r="AZ13" s="2">
        <f t="shared" si="21"/>
        <v>0</v>
      </c>
      <c r="BA13" s="2" t="e">
        <f>IF(EXACT($A$25,$S13),$R13,0)</f>
        <v>#VALUE!</v>
      </c>
      <c r="BB13" s="2">
        <f t="shared" si="22"/>
        <v>0</v>
      </c>
      <c r="BC13" s="2" t="e">
        <f>IF(EXACT($A$26,$S13),$R13,0)</f>
        <v>#VALUE!</v>
      </c>
      <c r="BD13" s="2">
        <f t="shared" si="23"/>
        <v>0</v>
      </c>
      <c r="BE13" s="2" t="e">
        <f>IF(EXACT($A$27,$S13),$R13,0)</f>
        <v>#VALUE!</v>
      </c>
      <c r="BF13" s="2">
        <f t="shared" si="24"/>
        <v>0</v>
      </c>
      <c r="BG13" s="2" t="e">
        <f>IF(EXACT($A$33,$S13),$R13,0)</f>
        <v>#VALUE!</v>
      </c>
      <c r="BH13" s="2">
        <f t="shared" si="25"/>
        <v>0</v>
      </c>
      <c r="BI13" s="2" t="e">
        <f>IF(EXACT($A$34,$S13),$R13,0)</f>
        <v>#VALUE!</v>
      </c>
      <c r="BJ13" s="2">
        <f t="shared" si="26"/>
        <v>0</v>
      </c>
      <c r="BK13" s="2" t="e">
        <f>IF(EXACT($A$35,$S13),$R13,0)</f>
        <v>#VALUE!</v>
      </c>
      <c r="BL13" s="2">
        <f t="shared" si="27"/>
        <v>0</v>
      </c>
      <c r="BM13" s="2" t="e">
        <f>IF(EXACT($A$36,$S13),$R13,0)</f>
        <v>#VALUE!</v>
      </c>
      <c r="BN13" s="2">
        <f t="shared" si="28"/>
        <v>0</v>
      </c>
      <c r="BO13" s="2" t="e">
        <f>IF(EXACT($A$37,$S13),$R13,0)</f>
        <v>#VALUE!</v>
      </c>
      <c r="BP13" s="2">
        <f t="shared" si="29"/>
        <v>0</v>
      </c>
      <c r="BQ13" s="2" t="e">
        <f>IF(EXACT($A$38,$S13),$R13,0)</f>
        <v>#VALUE!</v>
      </c>
      <c r="BR13" s="2">
        <f t="shared" si="30"/>
        <v>0</v>
      </c>
    </row>
    <row r="14" spans="1:70">
      <c r="A14" s="369" t="str">
        <f>'Rationals-MCDOT'!B35</f>
        <v>I-2</v>
      </c>
      <c r="B14" s="370"/>
      <c r="C14" s="371">
        <v>15</v>
      </c>
      <c r="D14" s="372">
        <f>'Rationals-MCDOT'!D50/43560</f>
        <v>0.21433746556473826</v>
      </c>
      <c r="E14" s="373">
        <f>'Rationals-MCDOT'!D52</f>
        <v>0.84040974493763221</v>
      </c>
      <c r="F14" s="374">
        <f t="shared" si="0"/>
        <v>0.18013129476584022</v>
      </c>
      <c r="G14" s="374">
        <v>0</v>
      </c>
      <c r="H14" s="374">
        <f>IF(AND(D14=0,E14=0)," ",+F14+G14)</f>
        <v>0.18013129476584022</v>
      </c>
      <c r="I14" s="371">
        <f>'Rationals-MCDOT'!B58</f>
        <v>5</v>
      </c>
      <c r="J14" s="370">
        <f>'Rationals-MCDOT'!E58</f>
        <v>6.68</v>
      </c>
      <c r="K14" s="375">
        <f t="shared" si="31"/>
        <v>1.2032770490358127</v>
      </c>
      <c r="L14" s="370">
        <v>2.1899999999999999E-2</v>
      </c>
      <c r="M14" s="370">
        <v>2.12E-2</v>
      </c>
      <c r="N14" s="370" t="s">
        <v>535</v>
      </c>
      <c r="O14" s="372">
        <v>8</v>
      </c>
      <c r="P14" s="375">
        <v>4.9000000000000004</v>
      </c>
      <c r="Q14" s="375">
        <v>100</v>
      </c>
      <c r="R14" s="374">
        <f t="shared" si="32"/>
        <v>0</v>
      </c>
      <c r="S14" s="376"/>
      <c r="T14" s="22"/>
      <c r="U14" s="2">
        <f t="shared" si="2"/>
        <v>0.16456518501764988</v>
      </c>
      <c r="V14" s="2">
        <f t="shared" si="3"/>
        <v>8.4531578947368416E-2</v>
      </c>
      <c r="W14" s="2">
        <f t="shared" si="4"/>
        <v>0.13442322772313237</v>
      </c>
      <c r="X14" s="2">
        <f t="shared" si="5"/>
        <v>3.0319138999501446E-2</v>
      </c>
      <c r="Y14" s="2">
        <f t="shared" si="6"/>
        <v>20.260583752937528</v>
      </c>
      <c r="Z14" s="2">
        <f t="shared" si="7"/>
        <v>21.761367734636597</v>
      </c>
      <c r="AA14" s="2">
        <f t="shared" si="8"/>
        <v>20.260583752937528</v>
      </c>
      <c r="AB14" s="2">
        <f t="shared" si="9"/>
        <v>0.91171486748525077</v>
      </c>
    </row>
    <row r="15" spans="1:70">
      <c r="A15" s="369" t="str">
        <f>'Rationals-MCDOT'!J35</f>
        <v>I-3</v>
      </c>
      <c r="B15" s="370"/>
      <c r="C15" s="371">
        <v>10</v>
      </c>
      <c r="D15" s="372">
        <f>'Rationals-MCDOT'!L50/43560</f>
        <v>0.33150298438934805</v>
      </c>
      <c r="E15" s="373">
        <f>'Rationals-MCDOT'!L52</f>
        <v>0.55880968984651957</v>
      </c>
      <c r="F15" s="374">
        <f t="shared" si="0"/>
        <v>0.18524707988980721</v>
      </c>
      <c r="G15" s="374">
        <v>0</v>
      </c>
      <c r="H15" s="374">
        <f t="shared" ref="H15:H19" si="33">IF(AND(D15=0,E15=0)," ",+F15+G15)</f>
        <v>0.18524707988980721</v>
      </c>
      <c r="I15" s="371">
        <f>'Rationals-MCDOT'!J58</f>
        <v>10</v>
      </c>
      <c r="J15" s="370">
        <f>'Rationals-MCDOT'!M58</f>
        <v>5.34</v>
      </c>
      <c r="K15" s="375">
        <f t="shared" si="31"/>
        <v>0.98921940661157048</v>
      </c>
      <c r="L15" s="370">
        <v>1.9E-2</v>
      </c>
      <c r="M15" s="370">
        <v>0.08</v>
      </c>
      <c r="N15" s="370" t="s">
        <v>535</v>
      </c>
      <c r="O15" s="372">
        <v>8</v>
      </c>
      <c r="P15" s="375">
        <v>5.9</v>
      </c>
      <c r="Q15" s="375">
        <v>100</v>
      </c>
      <c r="R15" s="374">
        <f t="shared" si="32"/>
        <v>0</v>
      </c>
      <c r="S15" s="369"/>
      <c r="T15" s="22" t="s">
        <v>7</v>
      </c>
      <c r="U15" s="2">
        <f t="shared" si="2"/>
        <v>0.14260165376701042</v>
      </c>
      <c r="V15" s="2">
        <f t="shared" si="3"/>
        <v>8.1631578947368416E-2</v>
      </c>
      <c r="W15" s="2">
        <f t="shared" si="4"/>
        <v>0.31032169917665164</v>
      </c>
      <c r="X15" s="2">
        <f t="shared" si="5"/>
        <v>3.8435938001063971E-2</v>
      </c>
      <c r="Y15" s="2">
        <f t="shared" si="6"/>
        <v>25.892226140340671</v>
      </c>
      <c r="Z15" s="2">
        <f t="shared" si="7"/>
        <v>25.892226140340671</v>
      </c>
      <c r="AA15" s="2">
        <f t="shared" si="8"/>
        <v>25.892226140340671</v>
      </c>
      <c r="AB15" s="2">
        <f t="shared" si="9"/>
        <v>0.5846371787054514</v>
      </c>
      <c r="AE15" s="2" t="e">
        <f t="shared" si="10"/>
        <v>#VALUE!</v>
      </c>
      <c r="AF15" s="2">
        <f t="shared" si="11"/>
        <v>0</v>
      </c>
      <c r="AG15" s="2" t="e">
        <f t="shared" ref="AG15:AG38" si="34">IF(EXACT($A$13,$S15),$R15,0)</f>
        <v>#VALUE!</v>
      </c>
      <c r="AH15" s="2">
        <f t="shared" si="12"/>
        <v>0</v>
      </c>
      <c r="AI15" s="2" t="e">
        <f t="shared" ref="AI15:AI38" si="35">IF(EXACT($A$15,$S15),$R15,0)</f>
        <v>#VALUE!</v>
      </c>
      <c r="AJ15" s="2">
        <f t="shared" si="13"/>
        <v>0</v>
      </c>
      <c r="AK15" s="2" t="e">
        <f>IF(EXACT(#REF!,$S15),$R15,0)</f>
        <v>#REF!</v>
      </c>
      <c r="AL15" s="2">
        <f t="shared" si="14"/>
        <v>0</v>
      </c>
      <c r="AM15" s="2" t="e">
        <f>IF(EXACT($A$17,$S15),$R15,0)</f>
        <v>#VALUE!</v>
      </c>
      <c r="AN15" s="2">
        <f t="shared" si="15"/>
        <v>0</v>
      </c>
      <c r="AO15" s="2" t="e">
        <f>IF(EXACT($A$18,$S15),$R15,0)</f>
        <v>#VALUE!</v>
      </c>
      <c r="AP15" s="2">
        <f t="shared" si="16"/>
        <v>0</v>
      </c>
      <c r="AQ15" s="2" t="e">
        <f>IF(EXACT($A$20,$S15),$R15,0)</f>
        <v>#VALUE!</v>
      </c>
      <c r="AR15" s="2">
        <f t="shared" si="17"/>
        <v>0</v>
      </c>
      <c r="AS15" s="2" t="e">
        <f>IF(EXACT($A$21,$S15),$R15,0)</f>
        <v>#VALUE!</v>
      </c>
      <c r="AT15" s="2">
        <f t="shared" si="18"/>
        <v>0</v>
      </c>
      <c r="AU15" s="2" t="e">
        <f>IF(EXACT($A$22,$S15),$R15,0)</f>
        <v>#VALUE!</v>
      </c>
      <c r="AV15" s="2">
        <f t="shared" si="19"/>
        <v>0</v>
      </c>
      <c r="AW15" s="2" t="e">
        <f>IF(EXACT($A$23,$S15),$R15,0)</f>
        <v>#VALUE!</v>
      </c>
      <c r="AX15" s="2">
        <f t="shared" si="20"/>
        <v>0</v>
      </c>
      <c r="AY15" s="2" t="e">
        <f>IF(EXACT($A$24,$S15),$R15,0)</f>
        <v>#VALUE!</v>
      </c>
      <c r="AZ15" s="2">
        <f t="shared" si="21"/>
        <v>0</v>
      </c>
      <c r="BA15" s="2" t="e">
        <f>IF(EXACT($A$25,$S15),$R15,0)</f>
        <v>#VALUE!</v>
      </c>
      <c r="BB15" s="2">
        <f t="shared" si="22"/>
        <v>0</v>
      </c>
      <c r="BC15" s="2" t="e">
        <f>IF(EXACT($A$26,$S15),$R15,0)</f>
        <v>#VALUE!</v>
      </c>
      <c r="BD15" s="2">
        <f t="shared" si="23"/>
        <v>0</v>
      </c>
      <c r="BE15" s="2" t="e">
        <f>IF(EXACT($A$27,$S15),$R15,0)</f>
        <v>#VALUE!</v>
      </c>
      <c r="BF15" s="2">
        <f t="shared" si="24"/>
        <v>0</v>
      </c>
      <c r="BG15" s="2" t="e">
        <f>IF(EXACT($A$33,$S15),$R15,0)</f>
        <v>#VALUE!</v>
      </c>
      <c r="BH15" s="2">
        <f t="shared" si="25"/>
        <v>0</v>
      </c>
      <c r="BI15" s="2" t="e">
        <f>IF(EXACT($A$34,$S15),$R15,0)</f>
        <v>#VALUE!</v>
      </c>
      <c r="BJ15" s="2">
        <f t="shared" si="26"/>
        <v>0</v>
      </c>
      <c r="BK15" s="2" t="e">
        <f>IF(EXACT($A$35,$S15),$R15,0)</f>
        <v>#VALUE!</v>
      </c>
      <c r="BL15" s="2">
        <f t="shared" si="27"/>
        <v>0</v>
      </c>
      <c r="BM15" s="2" t="e">
        <f>IF(EXACT($A$36,$S15),$R15,0)</f>
        <v>#VALUE!</v>
      </c>
      <c r="BN15" s="2">
        <f t="shared" si="28"/>
        <v>0</v>
      </c>
      <c r="BO15" s="2" t="e">
        <f>IF(EXACT($A$37,$S15),$R15,0)</f>
        <v>#VALUE!</v>
      </c>
      <c r="BP15" s="2">
        <f t="shared" si="29"/>
        <v>0</v>
      </c>
      <c r="BQ15" s="2" t="e">
        <f>IF(EXACT($A$38,$S15),$R15,0)</f>
        <v>#VALUE!</v>
      </c>
      <c r="BR15" s="2">
        <f t="shared" si="30"/>
        <v>0</v>
      </c>
    </row>
    <row r="16" spans="1:70">
      <c r="A16" s="369" t="str">
        <f>'Rationals-MCDOT'!S35</f>
        <v>I-4</v>
      </c>
      <c r="B16" s="370"/>
      <c r="C16" s="371">
        <v>5</v>
      </c>
      <c r="D16" s="372">
        <f>'Rationals-MCDOT'!U50/43560</f>
        <v>7.7119834710743809E-2</v>
      </c>
      <c r="E16" s="373">
        <f>'Rationals-MCDOT'!U52</f>
        <v>0.86977549161442436</v>
      </c>
      <c r="F16" s="374">
        <f t="shared" si="0"/>
        <v>6.7076942148760338E-2</v>
      </c>
      <c r="G16" s="374">
        <v>0</v>
      </c>
      <c r="H16" s="374">
        <f t="shared" si="33"/>
        <v>6.7076942148760338E-2</v>
      </c>
      <c r="I16" s="371">
        <f>'Rationals-MCDOT'!S58</f>
        <v>5</v>
      </c>
      <c r="J16" s="370">
        <f>'Rationals-MCDOT'!V58</f>
        <v>6.68</v>
      </c>
      <c r="K16" s="375">
        <f t="shared" si="31"/>
        <v>0.44807397355371903</v>
      </c>
      <c r="L16" s="370">
        <v>2.7E-2</v>
      </c>
      <c r="M16" s="370" t="s">
        <v>97</v>
      </c>
      <c r="N16" s="370" t="s">
        <v>535</v>
      </c>
      <c r="O16" s="372">
        <v>8</v>
      </c>
      <c r="P16" s="375">
        <v>3.3</v>
      </c>
      <c r="Q16" s="375">
        <v>100</v>
      </c>
      <c r="R16" s="374">
        <f t="shared" si="32"/>
        <v>0</v>
      </c>
      <c r="S16" s="370"/>
      <c r="T16" s="22"/>
      <c r="U16" s="2">
        <f t="shared" si="2"/>
        <v>0.21394310045368609</v>
      </c>
      <c r="V16" s="2">
        <f t="shared" si="3"/>
        <v>8.9631578947368423E-2</v>
      </c>
      <c r="W16" s="2">
        <f t="shared" si="4"/>
        <v>0</v>
      </c>
      <c r="X16" s="2">
        <f t="shared" si="5"/>
        <v>2.7E-2</v>
      </c>
      <c r="Y16" s="2">
        <f t="shared" si="6"/>
        <v>0</v>
      </c>
      <c r="Z16" s="2">
        <f t="shared" si="7"/>
        <v>0</v>
      </c>
      <c r="AA16" s="2">
        <f t="shared" si="8"/>
        <v>0</v>
      </c>
      <c r="AB16" s="2">
        <f t="shared" si="9"/>
        <v>1</v>
      </c>
    </row>
    <row r="17" spans="1:70">
      <c r="A17" s="369" t="str">
        <f>'Rationals-MCDOT'!B65</f>
        <v>I-5</v>
      </c>
      <c r="B17" s="370"/>
      <c r="C17" s="371">
        <v>5</v>
      </c>
      <c r="D17" s="372">
        <f>'Rationals-MCDOT'!D80/43560</f>
        <v>0.66559113865932051</v>
      </c>
      <c r="E17" s="377">
        <f>'Rationals-MCDOT'!D82</f>
        <v>0.6541852472049432</v>
      </c>
      <c r="F17" s="374">
        <f t="shared" si="0"/>
        <v>0.4354199035812672</v>
      </c>
      <c r="G17" s="374">
        <f>R15</f>
        <v>0</v>
      </c>
      <c r="H17" s="374">
        <f t="shared" si="33"/>
        <v>0.4354199035812672</v>
      </c>
      <c r="I17" s="371">
        <f>'Rationals-MCDOT'!B88</f>
        <v>7</v>
      </c>
      <c r="J17" s="370">
        <f>'Rationals-MCDOT'!E88</f>
        <v>6.15</v>
      </c>
      <c r="K17" s="375">
        <f t="shared" si="31"/>
        <v>2.6778324070247934</v>
      </c>
      <c r="L17" s="370">
        <v>5.3999999999999999E-2</v>
      </c>
      <c r="M17" s="370" t="s">
        <v>97</v>
      </c>
      <c r="N17" s="370" t="s">
        <v>535</v>
      </c>
      <c r="O17" s="372">
        <v>8</v>
      </c>
      <c r="P17" s="375">
        <v>6.5</v>
      </c>
      <c r="Q17" s="375">
        <v>100</v>
      </c>
      <c r="R17" s="374">
        <f t="shared" si="32"/>
        <v>0</v>
      </c>
      <c r="S17" s="369"/>
      <c r="T17" s="22" t="s">
        <v>7</v>
      </c>
      <c r="U17" s="2">
        <f t="shared" si="2"/>
        <v>0.16833085235941708</v>
      </c>
      <c r="V17" s="2">
        <f t="shared" si="3"/>
        <v>0.11663157894736842</v>
      </c>
      <c r="W17" s="2">
        <f t="shared" si="4"/>
        <v>0</v>
      </c>
      <c r="X17" s="2">
        <f t="shared" si="5"/>
        <v>5.3999999999999999E-2</v>
      </c>
      <c r="Y17" s="2">
        <f t="shared" si="6"/>
        <v>0</v>
      </c>
      <c r="Z17" s="2">
        <f t="shared" si="7"/>
        <v>0</v>
      </c>
      <c r="AA17" s="2">
        <f t="shared" si="8"/>
        <v>0</v>
      </c>
      <c r="AB17" s="2">
        <f t="shared" si="9"/>
        <v>1</v>
      </c>
      <c r="AE17" s="2" t="e">
        <f t="shared" si="10"/>
        <v>#VALUE!</v>
      </c>
      <c r="AF17" s="2">
        <f t="shared" si="11"/>
        <v>0</v>
      </c>
      <c r="AG17" s="2" t="e">
        <f t="shared" si="34"/>
        <v>#VALUE!</v>
      </c>
      <c r="AH17" s="2">
        <f t="shared" si="12"/>
        <v>0</v>
      </c>
      <c r="AI17" s="2" t="e">
        <f t="shared" si="35"/>
        <v>#VALUE!</v>
      </c>
      <c r="AJ17" s="2">
        <f t="shared" si="13"/>
        <v>0</v>
      </c>
      <c r="AK17" s="2" t="e">
        <f>IF(EXACT(#REF!,$S17),$R17,0)</f>
        <v>#REF!</v>
      </c>
      <c r="AL17" s="2">
        <f t="shared" si="14"/>
        <v>0</v>
      </c>
      <c r="AM17" s="2" t="e">
        <f>IF(EXACT($A$17,$S17),$R17,0)</f>
        <v>#VALUE!</v>
      </c>
      <c r="AN17" s="2">
        <f t="shared" si="15"/>
        <v>0</v>
      </c>
      <c r="AO17" s="2" t="e">
        <f>IF(EXACT($A$18,$S17),$R17,0)</f>
        <v>#VALUE!</v>
      </c>
      <c r="AP17" s="2">
        <f t="shared" si="16"/>
        <v>0</v>
      </c>
      <c r="AQ17" s="2" t="e">
        <f>IF(EXACT($A$20,$S17),$R17,0)</f>
        <v>#VALUE!</v>
      </c>
      <c r="AR17" s="2">
        <f t="shared" si="17"/>
        <v>0</v>
      </c>
      <c r="AS17" s="2" t="e">
        <f>IF(EXACT($A$21,$S17),$R17,0)</f>
        <v>#VALUE!</v>
      </c>
      <c r="AT17" s="2">
        <f t="shared" si="18"/>
        <v>0</v>
      </c>
      <c r="AU17" s="2" t="e">
        <f>IF(EXACT($A$22,$S17),$R17,0)</f>
        <v>#VALUE!</v>
      </c>
      <c r="AV17" s="2">
        <f t="shared" si="19"/>
        <v>0</v>
      </c>
      <c r="AW17" s="2" t="e">
        <f>IF(EXACT($A$23,$S17),$R17,0)</f>
        <v>#VALUE!</v>
      </c>
      <c r="AX17" s="2">
        <f t="shared" si="20"/>
        <v>0</v>
      </c>
      <c r="AY17" s="2" t="e">
        <f>IF(EXACT($A$24,$S17),$R17,0)</f>
        <v>#VALUE!</v>
      </c>
      <c r="AZ17" s="2">
        <f t="shared" si="21"/>
        <v>0</v>
      </c>
      <c r="BA17" s="2" t="e">
        <f>IF(EXACT($A$25,$S17),$R17,0)</f>
        <v>#VALUE!</v>
      </c>
      <c r="BB17" s="2">
        <f t="shared" si="22"/>
        <v>0</v>
      </c>
      <c r="BC17" s="2" t="e">
        <f>IF(EXACT($A$26,$S17),$R17,0)</f>
        <v>#VALUE!</v>
      </c>
      <c r="BD17" s="2">
        <f t="shared" si="23"/>
        <v>0</v>
      </c>
      <c r="BE17" s="2" t="e">
        <f>IF(EXACT($A$27,$S17),$R17,0)</f>
        <v>#VALUE!</v>
      </c>
      <c r="BF17" s="2">
        <f t="shared" si="24"/>
        <v>0</v>
      </c>
      <c r="BG17" s="2" t="e">
        <f>IF(EXACT($A$33,$S17),$R17,0)</f>
        <v>#VALUE!</v>
      </c>
      <c r="BH17" s="2">
        <f t="shared" si="25"/>
        <v>0</v>
      </c>
      <c r="BI17" s="2" t="e">
        <f>IF(EXACT($A$34,$S17),$R17,0)</f>
        <v>#VALUE!</v>
      </c>
      <c r="BJ17" s="2">
        <f t="shared" si="26"/>
        <v>0</v>
      </c>
      <c r="BK17" s="2" t="e">
        <f>IF(EXACT($A$35,$S17),$R17,0)</f>
        <v>#VALUE!</v>
      </c>
      <c r="BL17" s="2">
        <f t="shared" si="27"/>
        <v>0</v>
      </c>
      <c r="BM17" s="2" t="e">
        <f>IF(EXACT($A$36,$S17),$R17,0)</f>
        <v>#VALUE!</v>
      </c>
      <c r="BN17" s="2">
        <f t="shared" si="28"/>
        <v>0</v>
      </c>
      <c r="BO17" s="2" t="e">
        <f>IF(EXACT($A$37,$S17),$R17,0)</f>
        <v>#VALUE!</v>
      </c>
      <c r="BP17" s="2">
        <f t="shared" si="29"/>
        <v>0</v>
      </c>
      <c r="BQ17" s="2" t="e">
        <f>IF(EXACT($A$38,$S17),$R17,0)</f>
        <v>#VALUE!</v>
      </c>
      <c r="BR17" s="2">
        <f t="shared" si="30"/>
        <v>0</v>
      </c>
    </row>
    <row r="18" spans="1:70">
      <c r="A18" s="369" t="str">
        <f>'Rationals-MCDOT'!K65</f>
        <v>I-6</v>
      </c>
      <c r="B18" s="370"/>
      <c r="C18" s="371">
        <v>5</v>
      </c>
      <c r="D18" s="372">
        <f>'Rationals-MCDOT'!M80/43560</f>
        <v>0.25763567493112949</v>
      </c>
      <c r="E18" s="377">
        <f>'Rationals-MCDOT'!M82</f>
        <v>0.60817317896639012</v>
      </c>
      <c r="F18" s="374">
        <f t="shared" si="0"/>
        <v>0.15668710743801653</v>
      </c>
      <c r="G18" s="374">
        <f>R16</f>
        <v>0</v>
      </c>
      <c r="H18" s="374">
        <f t="shared" si="33"/>
        <v>0.15668710743801653</v>
      </c>
      <c r="I18" s="371">
        <f>'Rationals-MCDOT'!K88</f>
        <v>10</v>
      </c>
      <c r="J18" s="370">
        <f>'Rationals-MCDOT'!N88</f>
        <v>5.34</v>
      </c>
      <c r="K18" s="375">
        <f t="shared" si="31"/>
        <v>0.83670915371900823</v>
      </c>
      <c r="L18" s="370">
        <v>2.5999999999999999E-2</v>
      </c>
      <c r="M18" s="370">
        <v>7.0000000000000001E-3</v>
      </c>
      <c r="N18" s="370" t="s">
        <v>535</v>
      </c>
      <c r="O18" s="372">
        <v>8</v>
      </c>
      <c r="P18" s="375">
        <v>5.2</v>
      </c>
      <c r="Q18" s="375">
        <v>93.59</v>
      </c>
      <c r="R18" s="374">
        <f t="shared" si="32"/>
        <v>1.0043643586776849E-2</v>
      </c>
      <c r="S18" s="370" t="s">
        <v>136</v>
      </c>
      <c r="T18" s="22" t="s">
        <v>7</v>
      </c>
      <c r="U18" s="2">
        <f t="shared" si="2"/>
        <v>0.16239449991624613</v>
      </c>
      <c r="V18" s="2">
        <f t="shared" si="3"/>
        <v>8.8631578947368408E-2</v>
      </c>
      <c r="W18" s="2">
        <f t="shared" si="4"/>
        <v>0.1146479732467878</v>
      </c>
      <c r="X18" s="2">
        <f t="shared" si="5"/>
        <v>3.3180583587561971E-2</v>
      </c>
      <c r="Y18" s="2">
        <f t="shared" si="6"/>
        <v>12.692357043367986</v>
      </c>
      <c r="Z18" s="2">
        <f t="shared" si="7"/>
        <v>12.692357043367986</v>
      </c>
      <c r="AA18" s="2">
        <f t="shared" si="8"/>
        <v>12.692357043367986</v>
      </c>
      <c r="AB18" s="2">
        <f t="shared" si="9"/>
        <v>0.59399547291846955</v>
      </c>
      <c r="AE18" s="2">
        <f t="shared" si="10"/>
        <v>0</v>
      </c>
      <c r="AF18" s="2">
        <f t="shared" si="11"/>
        <v>0</v>
      </c>
      <c r="AG18" s="2">
        <f t="shared" si="34"/>
        <v>0</v>
      </c>
      <c r="AH18" s="2">
        <f t="shared" si="12"/>
        <v>0</v>
      </c>
      <c r="AI18" s="2">
        <f t="shared" si="35"/>
        <v>0</v>
      </c>
      <c r="AJ18" s="2">
        <f t="shared" si="13"/>
        <v>0</v>
      </c>
      <c r="AK18" s="2" t="e">
        <f>IF(EXACT(#REF!,$S18),$R18,0)</f>
        <v>#REF!</v>
      </c>
      <c r="AL18" s="2">
        <f t="shared" si="14"/>
        <v>0</v>
      </c>
      <c r="AM18" s="2">
        <f>IF(EXACT($A$17,$S18),$R18,0)</f>
        <v>1.0043643586776849E-2</v>
      </c>
      <c r="AN18" s="2">
        <f t="shared" si="15"/>
        <v>1.0043643586776849E-2</v>
      </c>
      <c r="AO18" s="2">
        <f>IF(EXACT($A$18,$S18),$R18,0)</f>
        <v>0</v>
      </c>
      <c r="AP18" s="2">
        <f t="shared" si="16"/>
        <v>0</v>
      </c>
      <c r="AQ18" s="2" t="e">
        <f>IF(EXACT($A$20,$S18),$R18,0)</f>
        <v>#VALUE!</v>
      </c>
      <c r="AR18" s="2">
        <f t="shared" si="17"/>
        <v>0</v>
      </c>
      <c r="AS18" s="2" t="e">
        <f>IF(EXACT($A$21,$S18),$R18,0)</f>
        <v>#VALUE!</v>
      </c>
      <c r="AT18" s="2">
        <f t="shared" si="18"/>
        <v>0</v>
      </c>
      <c r="AU18" s="2" t="e">
        <f>IF(EXACT($A$22,$S18),$R18,0)</f>
        <v>#VALUE!</v>
      </c>
      <c r="AV18" s="2">
        <f t="shared" si="19"/>
        <v>0</v>
      </c>
      <c r="AW18" s="2" t="e">
        <f>IF(EXACT($A$23,$S18),$R18,0)</f>
        <v>#VALUE!</v>
      </c>
      <c r="AX18" s="2">
        <f t="shared" si="20"/>
        <v>0</v>
      </c>
      <c r="AY18" s="2" t="e">
        <f>IF(EXACT($A$24,$S18),$R18,0)</f>
        <v>#VALUE!</v>
      </c>
      <c r="AZ18" s="2">
        <f t="shared" si="21"/>
        <v>0</v>
      </c>
      <c r="BA18" s="2" t="e">
        <f>IF(EXACT($A$25,$S18),$R18,0)</f>
        <v>#VALUE!</v>
      </c>
      <c r="BB18" s="2">
        <f t="shared" si="22"/>
        <v>0</v>
      </c>
      <c r="BC18" s="2" t="e">
        <f>IF(EXACT($A$26,$S18),$R18,0)</f>
        <v>#VALUE!</v>
      </c>
      <c r="BD18" s="2">
        <f t="shared" si="23"/>
        <v>0</v>
      </c>
      <c r="BE18" s="2" t="e">
        <f>IF(EXACT($A$27,$S18),$R18,0)</f>
        <v>#VALUE!</v>
      </c>
      <c r="BF18" s="2">
        <f t="shared" si="24"/>
        <v>0</v>
      </c>
      <c r="BG18" s="2" t="e">
        <f>IF(EXACT($A$33,$S18),$R18,0)</f>
        <v>#VALUE!</v>
      </c>
      <c r="BH18" s="2">
        <f t="shared" si="25"/>
        <v>0</v>
      </c>
      <c r="BI18" s="2" t="e">
        <f>IF(EXACT($A$34,$S18),$R18,0)</f>
        <v>#VALUE!</v>
      </c>
      <c r="BJ18" s="2">
        <f t="shared" si="26"/>
        <v>0</v>
      </c>
      <c r="BK18" s="2" t="e">
        <f>IF(EXACT($A$35,$S18),$R18,0)</f>
        <v>#VALUE!</v>
      </c>
      <c r="BL18" s="2">
        <f t="shared" si="27"/>
        <v>0</v>
      </c>
      <c r="BM18" s="2" t="e">
        <f>IF(EXACT($A$36,$S18),$R18,0)</f>
        <v>#VALUE!</v>
      </c>
      <c r="BN18" s="2">
        <f t="shared" si="28"/>
        <v>0</v>
      </c>
      <c r="BO18" s="2" t="e">
        <f>IF(EXACT($A$37,$S18),$R18,0)</f>
        <v>#VALUE!</v>
      </c>
      <c r="BP18" s="2">
        <f t="shared" si="29"/>
        <v>0</v>
      </c>
      <c r="BQ18" s="2" t="e">
        <f>IF(EXACT($A$38,$S18),$R18,0)</f>
        <v>#VALUE!</v>
      </c>
      <c r="BR18" s="2">
        <f t="shared" si="30"/>
        <v>0</v>
      </c>
    </row>
    <row r="19" spans="1:70">
      <c r="A19" s="369" t="str">
        <f>'Rationals-MCDOT'!T65</f>
        <v>I-7</v>
      </c>
      <c r="B19" s="370"/>
      <c r="C19" s="371">
        <v>15</v>
      </c>
      <c r="D19" s="372">
        <f>'Rationals-MCDOT'!V80/43560</f>
        <v>2.4603620293847563</v>
      </c>
      <c r="E19" s="377">
        <f>'Rationals-MCDOT'!V83</f>
        <v>0.57788517240803383</v>
      </c>
      <c r="F19" s="374">
        <f t="shared" si="0"/>
        <v>1.4218067355371899</v>
      </c>
      <c r="G19" s="374">
        <v>0</v>
      </c>
      <c r="H19" s="374">
        <f t="shared" si="33"/>
        <v>1.4218067355371899</v>
      </c>
      <c r="I19" s="371">
        <f>'Rationals-MCDOT'!T88</f>
        <v>10</v>
      </c>
      <c r="J19" s="370">
        <f>'Rationals-MCDOT'!W88</f>
        <v>5.34</v>
      </c>
      <c r="K19" s="375">
        <f t="shared" si="31"/>
        <v>7.5924479677685941</v>
      </c>
      <c r="L19" s="370">
        <v>2.9100000000000001E-2</v>
      </c>
      <c r="M19" s="370">
        <v>1.6199999999999999E-2</v>
      </c>
      <c r="N19" s="370" t="s">
        <v>535</v>
      </c>
      <c r="O19" s="372">
        <v>8</v>
      </c>
      <c r="P19" s="375">
        <v>10</v>
      </c>
      <c r="Q19" s="375">
        <v>79.56</v>
      </c>
      <c r="R19" s="374">
        <f t="shared" si="32"/>
        <v>0.29061729674380166</v>
      </c>
      <c r="S19" s="370" t="s">
        <v>359</v>
      </c>
      <c r="T19" s="22"/>
      <c r="U19" s="2">
        <f t="shared" si="2"/>
        <v>0.10831449865987135</v>
      </c>
      <c r="V19" s="2">
        <f t="shared" si="3"/>
        <v>9.1731578947368414E-2</v>
      </c>
      <c r="W19" s="2">
        <f t="shared" si="4"/>
        <v>1.9666457148028667E-2</v>
      </c>
      <c r="X19" s="2">
        <f t="shared" si="5"/>
        <v>3.0331741263481798E-2</v>
      </c>
      <c r="Y19" s="2">
        <f t="shared" si="6"/>
        <v>40.504587474843639</v>
      </c>
      <c r="Z19" s="2">
        <f t="shared" si="7"/>
        <v>43.504927287795013</v>
      </c>
      <c r="AA19" s="2">
        <f t="shared" si="8"/>
        <v>40.504587474843639</v>
      </c>
      <c r="AB19" s="2">
        <f t="shared" si="9"/>
        <v>0.56508402309977224</v>
      </c>
    </row>
    <row r="20" spans="1:70">
      <c r="A20" s="369"/>
      <c r="B20" s="370"/>
      <c r="C20" s="371"/>
      <c r="D20" s="372"/>
      <c r="E20" s="377"/>
      <c r="F20" s="374"/>
      <c r="G20" s="374"/>
      <c r="H20" s="374"/>
      <c r="I20" s="371"/>
      <c r="J20" s="370"/>
      <c r="K20" s="375"/>
      <c r="L20" s="370"/>
      <c r="M20" s="370"/>
      <c r="N20" s="370"/>
      <c r="O20" s="372"/>
      <c r="P20" s="375"/>
      <c r="Q20" s="375"/>
      <c r="R20" s="374"/>
      <c r="S20" s="370"/>
      <c r="T20" s="22" t="s">
        <v>7</v>
      </c>
      <c r="U20" s="2" t="e">
        <f t="shared" si="2"/>
        <v>#DIV/0!</v>
      </c>
      <c r="V20" s="2">
        <f t="shared" si="3"/>
        <v>6.2631578947368413E-2</v>
      </c>
      <c r="W20" s="2" t="e">
        <f t="shared" si="4"/>
        <v>#DIV/0!</v>
      </c>
      <c r="X20" s="2" t="e">
        <f t="shared" si="5"/>
        <v>#DIV/0!</v>
      </c>
      <c r="Y20" s="2" t="e">
        <f t="shared" si="6"/>
        <v>#DIV/0!</v>
      </c>
      <c r="Z20" s="2" t="e">
        <f t="shared" si="7"/>
        <v>#DIV/0!</v>
      </c>
      <c r="AA20" s="2" t="e">
        <f t="shared" si="8"/>
        <v>#DIV/0!</v>
      </c>
      <c r="AB20" s="2" t="e">
        <f t="shared" si="9"/>
        <v>#DIV/0!</v>
      </c>
      <c r="AE20" s="2" t="e">
        <f t="shared" si="10"/>
        <v>#VALUE!</v>
      </c>
      <c r="AF20" s="2">
        <f t="shared" si="11"/>
        <v>0</v>
      </c>
      <c r="AG20" s="2" t="e">
        <f t="shared" si="34"/>
        <v>#VALUE!</v>
      </c>
      <c r="AH20" s="2">
        <f t="shared" si="12"/>
        <v>0</v>
      </c>
      <c r="AI20" s="2" t="e">
        <f t="shared" si="35"/>
        <v>#VALUE!</v>
      </c>
      <c r="AJ20" s="2">
        <f t="shared" si="13"/>
        <v>0</v>
      </c>
      <c r="AK20" s="2" t="e">
        <f>IF(EXACT(#REF!,$S20),$R20,0)</f>
        <v>#REF!</v>
      </c>
      <c r="AL20" s="2">
        <f t="shared" si="14"/>
        <v>0</v>
      </c>
      <c r="AM20" s="2" t="e">
        <f t="shared" ref="AM20:AM38" si="36">IF(EXACT($A$17,$S20),$R20,0)</f>
        <v>#VALUE!</v>
      </c>
      <c r="AN20" s="2">
        <f t="shared" si="15"/>
        <v>0</v>
      </c>
      <c r="AO20" s="2" t="e">
        <f t="shared" ref="AO20:AO38" si="37">IF(EXACT($A$18,$S20),$R20,0)</f>
        <v>#VALUE!</v>
      </c>
      <c r="AP20" s="2">
        <f t="shared" si="16"/>
        <v>0</v>
      </c>
      <c r="AQ20" s="2" t="e">
        <f t="shared" ref="AQ20:AQ38" si="38">IF(EXACT($A$20,$S20),$R20,0)</f>
        <v>#VALUE!</v>
      </c>
      <c r="AR20" s="2">
        <f t="shared" si="17"/>
        <v>0</v>
      </c>
      <c r="AS20" s="2" t="e">
        <f t="shared" ref="AS20:AS38" si="39">IF(EXACT($A$21,$S20),$R20,0)</f>
        <v>#VALUE!</v>
      </c>
      <c r="AT20" s="2">
        <f t="shared" si="18"/>
        <v>0</v>
      </c>
      <c r="AU20" s="2" t="e">
        <f t="shared" ref="AU20:AU38" si="40">IF(EXACT($A$22,$S20),$R20,0)</f>
        <v>#VALUE!</v>
      </c>
      <c r="AV20" s="2">
        <f t="shared" si="19"/>
        <v>0</v>
      </c>
      <c r="AW20" s="2" t="e">
        <f t="shared" ref="AW20:AW38" si="41">IF(EXACT($A$23,$S20),$R20,0)</f>
        <v>#VALUE!</v>
      </c>
      <c r="AX20" s="2">
        <f t="shared" si="20"/>
        <v>0</v>
      </c>
      <c r="AY20" s="2" t="e">
        <f t="shared" ref="AY20:AY38" si="42">IF(EXACT($A$24,$S20),$R20,0)</f>
        <v>#VALUE!</v>
      </c>
      <c r="AZ20" s="2">
        <f t="shared" si="21"/>
        <v>0</v>
      </c>
      <c r="BA20" s="2" t="e">
        <f t="shared" ref="BA20:BA38" si="43">IF(EXACT($A$25,$S20),$R20,0)</f>
        <v>#VALUE!</v>
      </c>
      <c r="BB20" s="2">
        <f t="shared" si="22"/>
        <v>0</v>
      </c>
      <c r="BC20" s="2" t="e">
        <f t="shared" ref="BC20:BC38" si="44">IF(EXACT($A$26,$S20),$R20,0)</f>
        <v>#VALUE!</v>
      </c>
      <c r="BD20" s="2">
        <f t="shared" si="23"/>
        <v>0</v>
      </c>
      <c r="BE20" s="2" t="e">
        <f t="shared" ref="BE20:BE38" si="45">IF(EXACT($A$27,$S20),$R20,0)</f>
        <v>#VALUE!</v>
      </c>
      <c r="BF20" s="2">
        <f t="shared" si="24"/>
        <v>0</v>
      </c>
      <c r="BG20" s="2" t="e">
        <f t="shared" ref="BG20:BG38" si="46">IF(EXACT($A$33,$S20),$R20,0)</f>
        <v>#VALUE!</v>
      </c>
      <c r="BH20" s="2">
        <f t="shared" si="25"/>
        <v>0</v>
      </c>
      <c r="BI20" s="2" t="e">
        <f t="shared" ref="BI20:BI38" si="47">IF(EXACT($A$34,$S20),$R20,0)</f>
        <v>#VALUE!</v>
      </c>
      <c r="BJ20" s="2">
        <f t="shared" si="26"/>
        <v>0</v>
      </c>
      <c r="BK20" s="2" t="e">
        <f t="shared" ref="BK20:BK38" si="48">IF(EXACT($A$35,$S20),$R20,0)</f>
        <v>#VALUE!</v>
      </c>
      <c r="BL20" s="2">
        <f t="shared" si="27"/>
        <v>0</v>
      </c>
      <c r="BM20" s="2" t="e">
        <f t="shared" ref="BM20:BM38" si="49">IF(EXACT($A$36,$S20),$R20,0)</f>
        <v>#VALUE!</v>
      </c>
      <c r="BN20" s="2">
        <f t="shared" si="28"/>
        <v>0</v>
      </c>
      <c r="BO20" s="2" t="e">
        <f t="shared" ref="BO20:BO38" si="50">IF(EXACT($A$37,$S20),$R20,0)</f>
        <v>#VALUE!</v>
      </c>
      <c r="BP20" s="2">
        <f t="shared" si="29"/>
        <v>0</v>
      </c>
      <c r="BQ20" s="2" t="e">
        <f t="shared" ref="BQ20:BQ38" si="51">IF(EXACT($A$38,$S20),$R20,0)</f>
        <v>#VALUE!</v>
      </c>
      <c r="BR20" s="2">
        <f t="shared" si="30"/>
        <v>0</v>
      </c>
    </row>
    <row r="21" spans="1:70">
      <c r="A21" s="369"/>
      <c r="B21" s="370"/>
      <c r="C21" s="371"/>
      <c r="D21" s="372"/>
      <c r="E21" s="377"/>
      <c r="F21" s="374"/>
      <c r="G21" s="374"/>
      <c r="H21" s="374"/>
      <c r="I21" s="371"/>
      <c r="J21" s="370"/>
      <c r="K21" s="375"/>
      <c r="L21" s="372"/>
      <c r="M21" s="370"/>
      <c r="N21" s="370"/>
      <c r="O21" s="372"/>
      <c r="P21" s="375"/>
      <c r="Q21" s="375"/>
      <c r="R21" s="374"/>
      <c r="S21" s="370"/>
      <c r="T21" s="22" t="s">
        <v>7</v>
      </c>
      <c r="U21" s="2" t="e">
        <f t="shared" si="2"/>
        <v>#DIV/0!</v>
      </c>
      <c r="V21" s="2">
        <f t="shared" si="3"/>
        <v>6.2631578947368413E-2</v>
      </c>
      <c r="W21" s="2" t="e">
        <f t="shared" si="4"/>
        <v>#DIV/0!</v>
      </c>
      <c r="X21" s="2" t="e">
        <f t="shared" si="5"/>
        <v>#DIV/0!</v>
      </c>
      <c r="Y21" s="2" t="e">
        <f t="shared" si="6"/>
        <v>#DIV/0!</v>
      </c>
      <c r="Z21" s="2" t="e">
        <f t="shared" si="7"/>
        <v>#DIV/0!</v>
      </c>
      <c r="AA21" s="2" t="e">
        <f t="shared" si="8"/>
        <v>#DIV/0!</v>
      </c>
      <c r="AB21" s="2" t="e">
        <f t="shared" si="9"/>
        <v>#DIV/0!</v>
      </c>
      <c r="AE21" s="2" t="e">
        <f t="shared" si="10"/>
        <v>#VALUE!</v>
      </c>
      <c r="AF21" s="2">
        <f t="shared" si="11"/>
        <v>0</v>
      </c>
      <c r="AG21" s="2" t="e">
        <f t="shared" si="34"/>
        <v>#VALUE!</v>
      </c>
      <c r="AH21" s="2">
        <f t="shared" si="12"/>
        <v>0</v>
      </c>
      <c r="AI21" s="2" t="e">
        <f t="shared" si="35"/>
        <v>#VALUE!</v>
      </c>
      <c r="AJ21" s="2">
        <f t="shared" si="13"/>
        <v>0</v>
      </c>
      <c r="AK21" s="2" t="e">
        <f>IF(EXACT(#REF!,$S21),$R21,0)</f>
        <v>#REF!</v>
      </c>
      <c r="AL21" s="2">
        <f t="shared" si="14"/>
        <v>0</v>
      </c>
      <c r="AM21" s="2" t="e">
        <f t="shared" si="36"/>
        <v>#VALUE!</v>
      </c>
      <c r="AN21" s="2">
        <f t="shared" si="15"/>
        <v>0</v>
      </c>
      <c r="AO21" s="2" t="e">
        <f t="shared" si="37"/>
        <v>#VALUE!</v>
      </c>
      <c r="AP21" s="2">
        <f t="shared" si="16"/>
        <v>0</v>
      </c>
      <c r="AQ21" s="2" t="e">
        <f t="shared" si="38"/>
        <v>#VALUE!</v>
      </c>
      <c r="AR21" s="2">
        <f t="shared" si="17"/>
        <v>0</v>
      </c>
      <c r="AS21" s="2" t="e">
        <f t="shared" si="39"/>
        <v>#VALUE!</v>
      </c>
      <c r="AT21" s="2">
        <f t="shared" si="18"/>
        <v>0</v>
      </c>
      <c r="AU21" s="2" t="e">
        <f t="shared" si="40"/>
        <v>#VALUE!</v>
      </c>
      <c r="AV21" s="2">
        <f t="shared" si="19"/>
        <v>0</v>
      </c>
      <c r="AW21" s="2" t="e">
        <f t="shared" si="41"/>
        <v>#VALUE!</v>
      </c>
      <c r="AX21" s="2">
        <f t="shared" si="20"/>
        <v>0</v>
      </c>
      <c r="AY21" s="2" t="e">
        <f t="shared" si="42"/>
        <v>#VALUE!</v>
      </c>
      <c r="AZ21" s="2">
        <f t="shared" si="21"/>
        <v>0</v>
      </c>
      <c r="BA21" s="2" t="e">
        <f t="shared" si="43"/>
        <v>#VALUE!</v>
      </c>
      <c r="BB21" s="2">
        <f t="shared" si="22"/>
        <v>0</v>
      </c>
      <c r="BC21" s="2" t="e">
        <f t="shared" si="44"/>
        <v>#VALUE!</v>
      </c>
      <c r="BD21" s="2">
        <f t="shared" si="23"/>
        <v>0</v>
      </c>
      <c r="BE21" s="2" t="e">
        <f t="shared" si="45"/>
        <v>#VALUE!</v>
      </c>
      <c r="BF21" s="2">
        <f t="shared" si="24"/>
        <v>0</v>
      </c>
      <c r="BG21" s="2" t="e">
        <f t="shared" si="46"/>
        <v>#VALUE!</v>
      </c>
      <c r="BH21" s="2">
        <f t="shared" si="25"/>
        <v>0</v>
      </c>
      <c r="BI21" s="2" t="e">
        <f t="shared" si="47"/>
        <v>#VALUE!</v>
      </c>
      <c r="BJ21" s="2">
        <f t="shared" si="26"/>
        <v>0</v>
      </c>
      <c r="BK21" s="2" t="e">
        <f t="shared" si="48"/>
        <v>#VALUE!</v>
      </c>
      <c r="BL21" s="2">
        <f t="shared" si="27"/>
        <v>0</v>
      </c>
      <c r="BM21" s="2" t="e">
        <f t="shared" si="49"/>
        <v>#VALUE!</v>
      </c>
      <c r="BN21" s="2">
        <f t="shared" si="28"/>
        <v>0</v>
      </c>
      <c r="BO21" s="2" t="e">
        <f t="shared" si="50"/>
        <v>#VALUE!</v>
      </c>
      <c r="BP21" s="2">
        <f t="shared" si="29"/>
        <v>0</v>
      </c>
      <c r="BQ21" s="2" t="e">
        <f t="shared" si="51"/>
        <v>#VALUE!</v>
      </c>
      <c r="BR21" s="2">
        <f t="shared" si="30"/>
        <v>0</v>
      </c>
    </row>
    <row r="22" spans="1:70">
      <c r="A22" s="369"/>
      <c r="B22" s="370"/>
      <c r="C22" s="371"/>
      <c r="D22" s="372"/>
      <c r="E22" s="377"/>
      <c r="F22" s="374"/>
      <c r="G22" s="374"/>
      <c r="H22" s="374"/>
      <c r="I22" s="371"/>
      <c r="J22" s="370"/>
      <c r="K22" s="375"/>
      <c r="L22" s="370"/>
      <c r="M22" s="370"/>
      <c r="N22" s="370"/>
      <c r="O22" s="372"/>
      <c r="P22" s="375"/>
      <c r="Q22" s="375"/>
      <c r="R22" s="374"/>
      <c r="S22" s="370"/>
      <c r="T22" s="22" t="s">
        <v>7</v>
      </c>
      <c r="U22" s="2" t="e">
        <f t="shared" si="2"/>
        <v>#DIV/0!</v>
      </c>
      <c r="V22" s="2">
        <f t="shared" si="3"/>
        <v>6.2631578947368413E-2</v>
      </c>
      <c r="W22" s="2" t="e">
        <f t="shared" si="4"/>
        <v>#DIV/0!</v>
      </c>
      <c r="X22" s="2" t="e">
        <f t="shared" si="5"/>
        <v>#DIV/0!</v>
      </c>
      <c r="Y22" s="2" t="e">
        <f t="shared" si="6"/>
        <v>#DIV/0!</v>
      </c>
      <c r="Z22" s="2" t="e">
        <f t="shared" si="7"/>
        <v>#DIV/0!</v>
      </c>
      <c r="AA22" s="2" t="e">
        <f t="shared" si="8"/>
        <v>#DIV/0!</v>
      </c>
      <c r="AB22" s="2" t="e">
        <f t="shared" si="9"/>
        <v>#DIV/0!</v>
      </c>
      <c r="AE22" s="2" t="e">
        <f t="shared" si="10"/>
        <v>#VALUE!</v>
      </c>
      <c r="AF22" s="2">
        <f t="shared" si="11"/>
        <v>0</v>
      </c>
      <c r="AG22" s="2" t="e">
        <f t="shared" si="34"/>
        <v>#VALUE!</v>
      </c>
      <c r="AH22" s="2">
        <f t="shared" si="12"/>
        <v>0</v>
      </c>
      <c r="AI22" s="2" t="e">
        <f t="shared" si="35"/>
        <v>#VALUE!</v>
      </c>
      <c r="AJ22" s="2">
        <f t="shared" si="13"/>
        <v>0</v>
      </c>
      <c r="AK22" s="2" t="e">
        <f>IF(EXACT(#REF!,$S22),$R22,0)</f>
        <v>#REF!</v>
      </c>
      <c r="AL22" s="2">
        <f t="shared" si="14"/>
        <v>0</v>
      </c>
      <c r="AM22" s="2" t="e">
        <f t="shared" si="36"/>
        <v>#VALUE!</v>
      </c>
      <c r="AN22" s="2">
        <f t="shared" si="15"/>
        <v>0</v>
      </c>
      <c r="AO22" s="2" t="e">
        <f t="shared" si="37"/>
        <v>#VALUE!</v>
      </c>
      <c r="AP22" s="2">
        <f t="shared" si="16"/>
        <v>0</v>
      </c>
      <c r="AQ22" s="2" t="e">
        <f t="shared" si="38"/>
        <v>#VALUE!</v>
      </c>
      <c r="AR22" s="2">
        <f t="shared" si="17"/>
        <v>0</v>
      </c>
      <c r="AS22" s="2" t="e">
        <f t="shared" si="39"/>
        <v>#VALUE!</v>
      </c>
      <c r="AT22" s="2">
        <f t="shared" si="18"/>
        <v>0</v>
      </c>
      <c r="AU22" s="2" t="e">
        <f t="shared" si="40"/>
        <v>#VALUE!</v>
      </c>
      <c r="AV22" s="2">
        <f t="shared" si="19"/>
        <v>0</v>
      </c>
      <c r="AW22" s="2" t="e">
        <f t="shared" si="41"/>
        <v>#VALUE!</v>
      </c>
      <c r="AX22" s="2">
        <f t="shared" si="20"/>
        <v>0</v>
      </c>
      <c r="AY22" s="2" t="e">
        <f t="shared" si="42"/>
        <v>#VALUE!</v>
      </c>
      <c r="AZ22" s="2">
        <f t="shared" si="21"/>
        <v>0</v>
      </c>
      <c r="BA22" s="2" t="e">
        <f t="shared" si="43"/>
        <v>#VALUE!</v>
      </c>
      <c r="BB22" s="2">
        <f t="shared" si="22"/>
        <v>0</v>
      </c>
      <c r="BC22" s="2" t="e">
        <f t="shared" si="44"/>
        <v>#VALUE!</v>
      </c>
      <c r="BD22" s="2">
        <f t="shared" si="23"/>
        <v>0</v>
      </c>
      <c r="BE22" s="2" t="e">
        <f t="shared" si="45"/>
        <v>#VALUE!</v>
      </c>
      <c r="BF22" s="2">
        <f t="shared" si="24"/>
        <v>0</v>
      </c>
      <c r="BG22" s="2" t="e">
        <f t="shared" si="46"/>
        <v>#VALUE!</v>
      </c>
      <c r="BH22" s="2">
        <f t="shared" si="25"/>
        <v>0</v>
      </c>
      <c r="BI22" s="2" t="e">
        <f t="shared" si="47"/>
        <v>#VALUE!</v>
      </c>
      <c r="BJ22" s="2">
        <f t="shared" si="26"/>
        <v>0</v>
      </c>
      <c r="BK22" s="2" t="e">
        <f t="shared" si="48"/>
        <v>#VALUE!</v>
      </c>
      <c r="BL22" s="2">
        <f t="shared" si="27"/>
        <v>0</v>
      </c>
      <c r="BM22" s="2" t="e">
        <f t="shared" si="49"/>
        <v>#VALUE!</v>
      </c>
      <c r="BN22" s="2">
        <f t="shared" si="28"/>
        <v>0</v>
      </c>
      <c r="BO22" s="2" t="e">
        <f t="shared" si="50"/>
        <v>#VALUE!</v>
      </c>
      <c r="BP22" s="2">
        <f t="shared" si="29"/>
        <v>0</v>
      </c>
      <c r="BQ22" s="2" t="e">
        <f t="shared" si="51"/>
        <v>#VALUE!</v>
      </c>
      <c r="BR22" s="2">
        <f t="shared" si="30"/>
        <v>0</v>
      </c>
    </row>
    <row r="23" spans="1:70">
      <c r="A23" s="369"/>
      <c r="B23" s="370"/>
      <c r="C23" s="371"/>
      <c r="D23" s="372"/>
      <c r="E23" s="377"/>
      <c r="F23" s="374"/>
      <c r="G23" s="374"/>
      <c r="H23" s="374"/>
      <c r="I23" s="371"/>
      <c r="J23" s="370"/>
      <c r="K23" s="375"/>
      <c r="L23" s="370"/>
      <c r="M23" s="370"/>
      <c r="N23" s="370"/>
      <c r="O23" s="372"/>
      <c r="P23" s="375"/>
      <c r="Q23" s="375"/>
      <c r="R23" s="374"/>
      <c r="S23" s="369"/>
      <c r="T23" s="22" t="s">
        <v>7</v>
      </c>
      <c r="U23" s="2" t="e">
        <f t="shared" si="2"/>
        <v>#DIV/0!</v>
      </c>
      <c r="V23" s="2">
        <f t="shared" si="3"/>
        <v>6.2631578947368413E-2</v>
      </c>
      <c r="W23" s="2" t="e">
        <f t="shared" si="4"/>
        <v>#DIV/0!</v>
      </c>
      <c r="X23" s="2" t="e">
        <f t="shared" si="5"/>
        <v>#DIV/0!</v>
      </c>
      <c r="Y23" s="2" t="e">
        <f t="shared" si="6"/>
        <v>#DIV/0!</v>
      </c>
      <c r="Z23" s="2" t="e">
        <f t="shared" si="7"/>
        <v>#DIV/0!</v>
      </c>
      <c r="AA23" s="2" t="e">
        <f t="shared" si="8"/>
        <v>#DIV/0!</v>
      </c>
      <c r="AB23" s="2" t="e">
        <f t="shared" si="9"/>
        <v>#DIV/0!</v>
      </c>
      <c r="AE23" s="2" t="e">
        <f t="shared" si="10"/>
        <v>#VALUE!</v>
      </c>
      <c r="AF23" s="2">
        <f t="shared" si="11"/>
        <v>0</v>
      </c>
      <c r="AG23" s="2" t="e">
        <f t="shared" si="34"/>
        <v>#VALUE!</v>
      </c>
      <c r="AH23" s="2">
        <f t="shared" si="12"/>
        <v>0</v>
      </c>
      <c r="AI23" s="2" t="e">
        <f t="shared" si="35"/>
        <v>#VALUE!</v>
      </c>
      <c r="AJ23" s="2">
        <f t="shared" si="13"/>
        <v>0</v>
      </c>
      <c r="AK23" s="2" t="e">
        <f>IF(EXACT(#REF!,$S23),$R23,0)</f>
        <v>#REF!</v>
      </c>
      <c r="AL23" s="2">
        <f t="shared" si="14"/>
        <v>0</v>
      </c>
      <c r="AM23" s="2" t="e">
        <f t="shared" si="36"/>
        <v>#VALUE!</v>
      </c>
      <c r="AN23" s="2">
        <f t="shared" si="15"/>
        <v>0</v>
      </c>
      <c r="AO23" s="2" t="e">
        <f t="shared" si="37"/>
        <v>#VALUE!</v>
      </c>
      <c r="AP23" s="2">
        <f t="shared" si="16"/>
        <v>0</v>
      </c>
      <c r="AQ23" s="2" t="e">
        <f t="shared" si="38"/>
        <v>#VALUE!</v>
      </c>
      <c r="AR23" s="2">
        <f t="shared" si="17"/>
        <v>0</v>
      </c>
      <c r="AS23" s="2" t="e">
        <f t="shared" si="39"/>
        <v>#VALUE!</v>
      </c>
      <c r="AT23" s="2">
        <f t="shared" si="18"/>
        <v>0</v>
      </c>
      <c r="AU23" s="2" t="e">
        <f t="shared" si="40"/>
        <v>#VALUE!</v>
      </c>
      <c r="AV23" s="2">
        <f t="shared" si="19"/>
        <v>0</v>
      </c>
      <c r="AW23" s="2" t="e">
        <f t="shared" si="41"/>
        <v>#VALUE!</v>
      </c>
      <c r="AX23" s="2">
        <f t="shared" si="20"/>
        <v>0</v>
      </c>
      <c r="AY23" s="2" t="e">
        <f t="shared" si="42"/>
        <v>#VALUE!</v>
      </c>
      <c r="AZ23" s="2">
        <f t="shared" si="21"/>
        <v>0</v>
      </c>
      <c r="BA23" s="2" t="e">
        <f t="shared" si="43"/>
        <v>#VALUE!</v>
      </c>
      <c r="BB23" s="2">
        <f t="shared" si="22"/>
        <v>0</v>
      </c>
      <c r="BC23" s="2" t="e">
        <f t="shared" si="44"/>
        <v>#VALUE!</v>
      </c>
      <c r="BD23" s="2">
        <f t="shared" si="23"/>
        <v>0</v>
      </c>
      <c r="BE23" s="2" t="e">
        <f t="shared" si="45"/>
        <v>#VALUE!</v>
      </c>
      <c r="BF23" s="2">
        <f t="shared" si="24"/>
        <v>0</v>
      </c>
      <c r="BG23" s="2" t="e">
        <f t="shared" si="46"/>
        <v>#VALUE!</v>
      </c>
      <c r="BH23" s="2">
        <f t="shared" si="25"/>
        <v>0</v>
      </c>
      <c r="BI23" s="2" t="e">
        <f t="shared" si="47"/>
        <v>#VALUE!</v>
      </c>
      <c r="BJ23" s="2">
        <f t="shared" si="26"/>
        <v>0</v>
      </c>
      <c r="BK23" s="2" t="e">
        <f t="shared" si="48"/>
        <v>#VALUE!</v>
      </c>
      <c r="BL23" s="2">
        <f t="shared" si="27"/>
        <v>0</v>
      </c>
      <c r="BM23" s="2" t="e">
        <f t="shared" si="49"/>
        <v>#VALUE!</v>
      </c>
      <c r="BN23" s="2">
        <f t="shared" si="28"/>
        <v>0</v>
      </c>
      <c r="BO23" s="2" t="e">
        <f t="shared" si="50"/>
        <v>#VALUE!</v>
      </c>
      <c r="BP23" s="2">
        <f t="shared" si="29"/>
        <v>0</v>
      </c>
      <c r="BQ23" s="2" t="e">
        <f t="shared" si="51"/>
        <v>#VALUE!</v>
      </c>
      <c r="BR23" s="2">
        <f t="shared" si="30"/>
        <v>0</v>
      </c>
    </row>
    <row r="24" spans="1:70">
      <c r="A24" s="369"/>
      <c r="B24" s="370"/>
      <c r="C24" s="371"/>
      <c r="D24" s="372"/>
      <c r="E24" s="377"/>
      <c r="F24" s="374"/>
      <c r="G24" s="374"/>
      <c r="H24" s="374"/>
      <c r="I24" s="371"/>
      <c r="J24" s="370"/>
      <c r="K24" s="375"/>
      <c r="L24" s="370"/>
      <c r="M24" s="370"/>
      <c r="N24" s="370"/>
      <c r="O24" s="372"/>
      <c r="P24" s="375"/>
      <c r="Q24" s="375"/>
      <c r="R24" s="374"/>
      <c r="S24" s="369"/>
      <c r="T24" s="22" t="s">
        <v>7</v>
      </c>
      <c r="U24" s="2" t="e">
        <f t="shared" si="2"/>
        <v>#DIV/0!</v>
      </c>
      <c r="V24" s="2">
        <f t="shared" si="3"/>
        <v>6.2631578947368413E-2</v>
      </c>
      <c r="W24" s="2" t="e">
        <f t="shared" si="4"/>
        <v>#DIV/0!</v>
      </c>
      <c r="X24" s="2" t="e">
        <f t="shared" si="5"/>
        <v>#DIV/0!</v>
      </c>
      <c r="Y24" s="2" t="e">
        <f t="shared" si="6"/>
        <v>#DIV/0!</v>
      </c>
      <c r="Z24" s="2" t="e">
        <f t="shared" si="7"/>
        <v>#DIV/0!</v>
      </c>
      <c r="AA24" s="2" t="e">
        <f t="shared" si="8"/>
        <v>#DIV/0!</v>
      </c>
      <c r="AB24" s="2" t="e">
        <f t="shared" si="9"/>
        <v>#DIV/0!</v>
      </c>
      <c r="AE24" s="2" t="e">
        <f t="shared" si="10"/>
        <v>#VALUE!</v>
      </c>
      <c r="AF24" s="2">
        <f t="shared" si="11"/>
        <v>0</v>
      </c>
      <c r="AG24" s="2" t="e">
        <f t="shared" si="34"/>
        <v>#VALUE!</v>
      </c>
      <c r="AH24" s="2">
        <f t="shared" si="12"/>
        <v>0</v>
      </c>
      <c r="AI24" s="2" t="e">
        <f t="shared" si="35"/>
        <v>#VALUE!</v>
      </c>
      <c r="AJ24" s="2">
        <f t="shared" si="13"/>
        <v>0</v>
      </c>
      <c r="AK24" s="2" t="e">
        <f>IF(EXACT(#REF!,$S24),$R24,0)</f>
        <v>#REF!</v>
      </c>
      <c r="AL24" s="2">
        <f t="shared" si="14"/>
        <v>0</v>
      </c>
      <c r="AM24" s="2" t="e">
        <f t="shared" si="36"/>
        <v>#VALUE!</v>
      </c>
      <c r="AN24" s="2">
        <f t="shared" si="15"/>
        <v>0</v>
      </c>
      <c r="AO24" s="2" t="e">
        <f t="shared" si="37"/>
        <v>#VALUE!</v>
      </c>
      <c r="AP24" s="2">
        <f t="shared" si="16"/>
        <v>0</v>
      </c>
      <c r="AQ24" s="2" t="e">
        <f t="shared" si="38"/>
        <v>#VALUE!</v>
      </c>
      <c r="AR24" s="2">
        <f t="shared" si="17"/>
        <v>0</v>
      </c>
      <c r="AS24" s="2" t="e">
        <f t="shared" si="39"/>
        <v>#VALUE!</v>
      </c>
      <c r="AT24" s="2">
        <f t="shared" si="18"/>
        <v>0</v>
      </c>
      <c r="AU24" s="2" t="e">
        <f t="shared" si="40"/>
        <v>#VALUE!</v>
      </c>
      <c r="AV24" s="2">
        <f t="shared" si="19"/>
        <v>0</v>
      </c>
      <c r="AW24" s="2" t="e">
        <f t="shared" si="41"/>
        <v>#VALUE!</v>
      </c>
      <c r="AX24" s="2">
        <f t="shared" si="20"/>
        <v>0</v>
      </c>
      <c r="AY24" s="2" t="e">
        <f t="shared" si="42"/>
        <v>#VALUE!</v>
      </c>
      <c r="AZ24" s="2">
        <f t="shared" si="21"/>
        <v>0</v>
      </c>
      <c r="BA24" s="2" t="e">
        <f t="shared" si="43"/>
        <v>#VALUE!</v>
      </c>
      <c r="BB24" s="2">
        <f t="shared" si="22"/>
        <v>0</v>
      </c>
      <c r="BC24" s="2" t="e">
        <f t="shared" si="44"/>
        <v>#VALUE!</v>
      </c>
      <c r="BD24" s="2">
        <f t="shared" si="23"/>
        <v>0</v>
      </c>
      <c r="BE24" s="2" t="e">
        <f t="shared" si="45"/>
        <v>#VALUE!</v>
      </c>
      <c r="BF24" s="2">
        <f t="shared" si="24"/>
        <v>0</v>
      </c>
      <c r="BG24" s="2" t="e">
        <f t="shared" si="46"/>
        <v>#VALUE!</v>
      </c>
      <c r="BH24" s="2">
        <f t="shared" si="25"/>
        <v>0</v>
      </c>
      <c r="BI24" s="2" t="e">
        <f t="shared" si="47"/>
        <v>#VALUE!</v>
      </c>
      <c r="BJ24" s="2">
        <f t="shared" si="26"/>
        <v>0</v>
      </c>
      <c r="BK24" s="2" t="e">
        <f t="shared" si="48"/>
        <v>#VALUE!</v>
      </c>
      <c r="BL24" s="2">
        <f t="shared" si="27"/>
        <v>0</v>
      </c>
      <c r="BM24" s="2" t="e">
        <f t="shared" si="49"/>
        <v>#VALUE!</v>
      </c>
      <c r="BN24" s="2">
        <f t="shared" si="28"/>
        <v>0</v>
      </c>
      <c r="BO24" s="2" t="e">
        <f t="shared" si="50"/>
        <v>#VALUE!</v>
      </c>
      <c r="BP24" s="2">
        <f t="shared" si="29"/>
        <v>0</v>
      </c>
      <c r="BQ24" s="2" t="e">
        <f t="shared" si="51"/>
        <v>#VALUE!</v>
      </c>
      <c r="BR24" s="2">
        <f t="shared" si="30"/>
        <v>0</v>
      </c>
    </row>
    <row r="25" spans="1:70">
      <c r="A25" s="369"/>
      <c r="B25" s="370"/>
      <c r="C25" s="371"/>
      <c r="D25" s="372"/>
      <c r="E25" s="377"/>
      <c r="F25" s="374"/>
      <c r="G25" s="374"/>
      <c r="H25" s="374"/>
      <c r="I25" s="371"/>
      <c r="J25" s="370"/>
      <c r="K25" s="375"/>
      <c r="L25" s="370"/>
      <c r="M25" s="370"/>
      <c r="N25" s="370"/>
      <c r="O25" s="372"/>
      <c r="P25" s="375"/>
      <c r="Q25" s="375"/>
      <c r="R25" s="374"/>
      <c r="S25" s="369"/>
      <c r="T25" s="22" t="s">
        <v>7</v>
      </c>
      <c r="U25" s="2" t="e">
        <f t="shared" si="2"/>
        <v>#DIV/0!</v>
      </c>
      <c r="V25" s="2">
        <f t="shared" si="3"/>
        <v>6.2631578947368413E-2</v>
      </c>
      <c r="W25" s="2" t="e">
        <f t="shared" si="4"/>
        <v>#DIV/0!</v>
      </c>
      <c r="X25" s="2" t="e">
        <f t="shared" si="5"/>
        <v>#DIV/0!</v>
      </c>
      <c r="Y25" s="2" t="e">
        <f t="shared" si="6"/>
        <v>#DIV/0!</v>
      </c>
      <c r="Z25" s="2" t="e">
        <f t="shared" si="7"/>
        <v>#DIV/0!</v>
      </c>
      <c r="AA25" s="2" t="e">
        <f t="shared" si="8"/>
        <v>#DIV/0!</v>
      </c>
      <c r="AB25" s="2" t="e">
        <f t="shared" si="9"/>
        <v>#DIV/0!</v>
      </c>
      <c r="AE25" s="2" t="e">
        <f t="shared" si="10"/>
        <v>#VALUE!</v>
      </c>
      <c r="AF25" s="2">
        <f t="shared" si="11"/>
        <v>0</v>
      </c>
      <c r="AG25" s="2" t="e">
        <f t="shared" si="34"/>
        <v>#VALUE!</v>
      </c>
      <c r="AH25" s="2">
        <f t="shared" si="12"/>
        <v>0</v>
      </c>
      <c r="AI25" s="2" t="e">
        <f t="shared" si="35"/>
        <v>#VALUE!</v>
      </c>
      <c r="AJ25" s="2">
        <f t="shared" si="13"/>
        <v>0</v>
      </c>
      <c r="AK25" s="2" t="e">
        <f>IF(EXACT(#REF!,$S25),$R25,0)</f>
        <v>#REF!</v>
      </c>
      <c r="AL25" s="2">
        <f t="shared" si="14"/>
        <v>0</v>
      </c>
      <c r="AM25" s="2" t="e">
        <f t="shared" si="36"/>
        <v>#VALUE!</v>
      </c>
      <c r="AN25" s="2">
        <f t="shared" si="15"/>
        <v>0</v>
      </c>
      <c r="AO25" s="2" t="e">
        <f t="shared" si="37"/>
        <v>#VALUE!</v>
      </c>
      <c r="AP25" s="2">
        <f t="shared" si="16"/>
        <v>0</v>
      </c>
      <c r="AQ25" s="2" t="e">
        <f t="shared" si="38"/>
        <v>#VALUE!</v>
      </c>
      <c r="AR25" s="2">
        <f t="shared" si="17"/>
        <v>0</v>
      </c>
      <c r="AS25" s="2" t="e">
        <f t="shared" si="39"/>
        <v>#VALUE!</v>
      </c>
      <c r="AT25" s="2">
        <f t="shared" si="18"/>
        <v>0</v>
      </c>
      <c r="AU25" s="2" t="e">
        <f t="shared" si="40"/>
        <v>#VALUE!</v>
      </c>
      <c r="AV25" s="2">
        <f t="shared" si="19"/>
        <v>0</v>
      </c>
      <c r="AW25" s="2" t="e">
        <f t="shared" si="41"/>
        <v>#VALUE!</v>
      </c>
      <c r="AX25" s="2">
        <f t="shared" si="20"/>
        <v>0</v>
      </c>
      <c r="AY25" s="2" t="e">
        <f t="shared" si="42"/>
        <v>#VALUE!</v>
      </c>
      <c r="AZ25" s="2">
        <f t="shared" si="21"/>
        <v>0</v>
      </c>
      <c r="BA25" s="2" t="e">
        <f t="shared" si="43"/>
        <v>#VALUE!</v>
      </c>
      <c r="BB25" s="2">
        <f t="shared" si="22"/>
        <v>0</v>
      </c>
      <c r="BC25" s="2" t="e">
        <f t="shared" si="44"/>
        <v>#VALUE!</v>
      </c>
      <c r="BD25" s="2">
        <f t="shared" si="23"/>
        <v>0</v>
      </c>
      <c r="BE25" s="2" t="e">
        <f t="shared" si="45"/>
        <v>#VALUE!</v>
      </c>
      <c r="BF25" s="2">
        <f t="shared" si="24"/>
        <v>0</v>
      </c>
      <c r="BG25" s="2" t="e">
        <f t="shared" si="46"/>
        <v>#VALUE!</v>
      </c>
      <c r="BH25" s="2">
        <f t="shared" si="25"/>
        <v>0</v>
      </c>
      <c r="BI25" s="2" t="e">
        <f t="shared" si="47"/>
        <v>#VALUE!</v>
      </c>
      <c r="BJ25" s="2">
        <f t="shared" si="26"/>
        <v>0</v>
      </c>
      <c r="BK25" s="2" t="e">
        <f t="shared" si="48"/>
        <v>#VALUE!</v>
      </c>
      <c r="BL25" s="2">
        <f t="shared" si="27"/>
        <v>0</v>
      </c>
      <c r="BM25" s="2" t="e">
        <f t="shared" si="49"/>
        <v>#VALUE!</v>
      </c>
      <c r="BN25" s="2">
        <f t="shared" si="28"/>
        <v>0</v>
      </c>
      <c r="BO25" s="2" t="e">
        <f t="shared" si="50"/>
        <v>#VALUE!</v>
      </c>
      <c r="BP25" s="2">
        <f t="shared" si="29"/>
        <v>0</v>
      </c>
      <c r="BQ25" s="2" t="e">
        <f t="shared" si="51"/>
        <v>#VALUE!</v>
      </c>
      <c r="BR25" s="2">
        <f t="shared" si="30"/>
        <v>0</v>
      </c>
    </row>
    <row r="26" spans="1:70" s="37" customFormat="1">
      <c r="A26" s="369"/>
      <c r="B26" s="370"/>
      <c r="C26" s="371"/>
      <c r="D26" s="372"/>
      <c r="E26" s="370"/>
      <c r="F26" s="374"/>
      <c r="G26" s="374"/>
      <c r="H26" s="374"/>
      <c r="I26" s="371"/>
      <c r="J26" s="370"/>
      <c r="K26" s="375"/>
      <c r="L26" s="370"/>
      <c r="M26" s="370"/>
      <c r="N26" s="370"/>
      <c r="O26" s="372"/>
      <c r="P26" s="375"/>
      <c r="Q26" s="375"/>
      <c r="R26" s="374"/>
      <c r="S26" s="370"/>
      <c r="T26" s="334" t="s">
        <v>7</v>
      </c>
      <c r="U26" s="2" t="e">
        <f t="shared" si="2"/>
        <v>#DIV/0!</v>
      </c>
      <c r="V26" s="2">
        <f t="shared" si="3"/>
        <v>6.2631578947368413E-2</v>
      </c>
      <c r="W26" s="2" t="e">
        <f t="shared" si="4"/>
        <v>#DIV/0!</v>
      </c>
      <c r="X26" s="2" t="e">
        <f t="shared" si="5"/>
        <v>#DIV/0!</v>
      </c>
      <c r="Y26" s="2" t="e">
        <f t="shared" si="6"/>
        <v>#DIV/0!</v>
      </c>
      <c r="Z26" s="2" t="e">
        <f t="shared" si="7"/>
        <v>#DIV/0!</v>
      </c>
      <c r="AA26" s="2" t="e">
        <f t="shared" si="8"/>
        <v>#DIV/0!</v>
      </c>
      <c r="AB26" s="2" t="e">
        <f t="shared" si="9"/>
        <v>#DIV/0!</v>
      </c>
      <c r="AE26" s="37" t="e">
        <f t="shared" si="10"/>
        <v>#VALUE!</v>
      </c>
      <c r="AF26" s="37">
        <f t="shared" si="11"/>
        <v>0</v>
      </c>
      <c r="AG26" s="37" t="e">
        <f t="shared" si="34"/>
        <v>#VALUE!</v>
      </c>
      <c r="AH26" s="37">
        <f t="shared" si="12"/>
        <v>0</v>
      </c>
      <c r="AI26" s="37" t="e">
        <f t="shared" si="35"/>
        <v>#VALUE!</v>
      </c>
      <c r="AJ26" s="37">
        <f t="shared" si="13"/>
        <v>0</v>
      </c>
      <c r="AK26" s="37" t="e">
        <f>IF(EXACT(#REF!,$S26),$R26,0)</f>
        <v>#REF!</v>
      </c>
      <c r="AL26" s="37">
        <f t="shared" si="14"/>
        <v>0</v>
      </c>
      <c r="AM26" s="37" t="e">
        <f t="shared" si="36"/>
        <v>#VALUE!</v>
      </c>
      <c r="AN26" s="37">
        <f t="shared" si="15"/>
        <v>0</v>
      </c>
      <c r="AO26" s="37" t="e">
        <f t="shared" si="37"/>
        <v>#VALUE!</v>
      </c>
      <c r="AP26" s="37">
        <f t="shared" si="16"/>
        <v>0</v>
      </c>
      <c r="AQ26" s="37" t="e">
        <f t="shared" si="38"/>
        <v>#VALUE!</v>
      </c>
      <c r="AR26" s="37">
        <f t="shared" si="17"/>
        <v>0</v>
      </c>
      <c r="AS26" s="37" t="e">
        <f t="shared" si="39"/>
        <v>#VALUE!</v>
      </c>
      <c r="AT26" s="37">
        <f t="shared" si="18"/>
        <v>0</v>
      </c>
      <c r="AU26" s="37" t="e">
        <f t="shared" si="40"/>
        <v>#VALUE!</v>
      </c>
      <c r="AV26" s="37">
        <f t="shared" si="19"/>
        <v>0</v>
      </c>
      <c r="AW26" s="37" t="e">
        <f t="shared" si="41"/>
        <v>#VALUE!</v>
      </c>
      <c r="AX26" s="37">
        <f t="shared" si="20"/>
        <v>0</v>
      </c>
      <c r="AY26" s="37" t="e">
        <f t="shared" si="42"/>
        <v>#VALUE!</v>
      </c>
      <c r="AZ26" s="37">
        <f t="shared" si="21"/>
        <v>0</v>
      </c>
      <c r="BA26" s="37" t="e">
        <f t="shared" si="43"/>
        <v>#VALUE!</v>
      </c>
      <c r="BB26" s="37">
        <f t="shared" si="22"/>
        <v>0</v>
      </c>
      <c r="BC26" s="37" t="e">
        <f t="shared" si="44"/>
        <v>#VALUE!</v>
      </c>
      <c r="BD26" s="37">
        <f t="shared" si="23"/>
        <v>0</v>
      </c>
      <c r="BE26" s="37" t="e">
        <f t="shared" si="45"/>
        <v>#VALUE!</v>
      </c>
      <c r="BF26" s="37">
        <f t="shared" si="24"/>
        <v>0</v>
      </c>
      <c r="BG26" s="37" t="e">
        <f t="shared" si="46"/>
        <v>#VALUE!</v>
      </c>
      <c r="BH26" s="37">
        <f t="shared" si="25"/>
        <v>0</v>
      </c>
      <c r="BI26" s="37" t="e">
        <f t="shared" si="47"/>
        <v>#VALUE!</v>
      </c>
      <c r="BJ26" s="37">
        <f t="shared" si="26"/>
        <v>0</v>
      </c>
      <c r="BK26" s="37" t="e">
        <f t="shared" si="48"/>
        <v>#VALUE!</v>
      </c>
      <c r="BL26" s="37">
        <f t="shared" si="27"/>
        <v>0</v>
      </c>
      <c r="BM26" s="37" t="e">
        <f t="shared" si="49"/>
        <v>#VALUE!</v>
      </c>
      <c r="BN26" s="37">
        <f t="shared" si="28"/>
        <v>0</v>
      </c>
      <c r="BO26" s="37" t="e">
        <f t="shared" si="50"/>
        <v>#VALUE!</v>
      </c>
      <c r="BP26" s="37">
        <f t="shared" si="29"/>
        <v>0</v>
      </c>
      <c r="BQ26" s="37" t="e">
        <f t="shared" si="51"/>
        <v>#VALUE!</v>
      </c>
      <c r="BR26" s="37">
        <f t="shared" si="30"/>
        <v>0</v>
      </c>
    </row>
    <row r="27" spans="1:70" s="37" customFormat="1">
      <c r="A27" s="369"/>
      <c r="B27" s="370"/>
      <c r="C27" s="371"/>
      <c r="D27" s="372"/>
      <c r="E27" s="370"/>
      <c r="F27" s="374"/>
      <c r="G27" s="374"/>
      <c r="H27" s="374"/>
      <c r="I27" s="371"/>
      <c r="J27" s="370"/>
      <c r="K27" s="375"/>
      <c r="L27" s="370"/>
      <c r="M27" s="370"/>
      <c r="N27" s="370"/>
      <c r="O27" s="372"/>
      <c r="P27" s="375"/>
      <c r="Q27" s="375"/>
      <c r="R27" s="374"/>
      <c r="S27" s="370"/>
      <c r="T27" s="334" t="s">
        <v>7</v>
      </c>
      <c r="U27" s="37" t="e">
        <f t="shared" si="2"/>
        <v>#DIV/0!</v>
      </c>
      <c r="V27" s="37">
        <f t="shared" si="3"/>
        <v>6.2631578947368413E-2</v>
      </c>
      <c r="W27" s="37" t="e">
        <f>($N$4/($N$4+$N$6*L27))*(0.56/$N$5*V27^1.667*M27^0.5*$N$6^2.667)/K27</f>
        <v>#DIV/0!</v>
      </c>
      <c r="X27" s="37" t="e">
        <f t="shared" si="5"/>
        <v>#DIV/0!</v>
      </c>
      <c r="Y27" s="37" t="e">
        <f>IF(C27&gt;=15,0.54*K27^0.42*M27^0.3*(1/($N$5*X27))^0.6,Z27)</f>
        <v>#DIV/0!</v>
      </c>
      <c r="Z27" s="37" t="e">
        <f>0.58*K27^0.42*M27^0.3*(1/($N$5*X27))^0.6</f>
        <v>#DIV/0!</v>
      </c>
      <c r="AA27" s="37" t="e">
        <f>IF($N$4=0,0.6*K27^0.42*M27^0.3*(1/($N$5*X27))^0.6,Y27)</f>
        <v>#DIV/0!</v>
      </c>
      <c r="AB27" s="37" t="e">
        <f t="shared" si="9"/>
        <v>#DIV/0!</v>
      </c>
      <c r="AE27" s="37" t="e">
        <f t="shared" si="10"/>
        <v>#VALUE!</v>
      </c>
      <c r="AF27" s="37">
        <f t="shared" si="11"/>
        <v>0</v>
      </c>
      <c r="AG27" s="37" t="e">
        <f t="shared" si="34"/>
        <v>#VALUE!</v>
      </c>
      <c r="AH27" s="37">
        <f t="shared" si="12"/>
        <v>0</v>
      </c>
      <c r="AI27" s="37" t="e">
        <f t="shared" si="35"/>
        <v>#VALUE!</v>
      </c>
      <c r="AJ27" s="37">
        <f t="shared" si="13"/>
        <v>0</v>
      </c>
      <c r="AK27" s="37" t="e">
        <f>IF(EXACT(#REF!,$S27),$R27,0)</f>
        <v>#REF!</v>
      </c>
      <c r="AL27" s="37">
        <f t="shared" si="14"/>
        <v>0</v>
      </c>
      <c r="AM27" s="37" t="e">
        <f t="shared" si="36"/>
        <v>#VALUE!</v>
      </c>
      <c r="AN27" s="37">
        <f t="shared" si="15"/>
        <v>0</v>
      </c>
      <c r="AO27" s="37" t="e">
        <f t="shared" si="37"/>
        <v>#VALUE!</v>
      </c>
      <c r="AP27" s="37">
        <f t="shared" si="16"/>
        <v>0</v>
      </c>
      <c r="AQ27" s="37" t="e">
        <f t="shared" si="38"/>
        <v>#VALUE!</v>
      </c>
      <c r="AR27" s="37">
        <f t="shared" si="17"/>
        <v>0</v>
      </c>
      <c r="AS27" s="37" t="e">
        <f t="shared" si="39"/>
        <v>#VALUE!</v>
      </c>
      <c r="AT27" s="37">
        <f t="shared" si="18"/>
        <v>0</v>
      </c>
      <c r="AU27" s="37" t="e">
        <f t="shared" si="40"/>
        <v>#VALUE!</v>
      </c>
      <c r="AV27" s="37">
        <f t="shared" si="19"/>
        <v>0</v>
      </c>
      <c r="AW27" s="37" t="e">
        <f t="shared" si="41"/>
        <v>#VALUE!</v>
      </c>
      <c r="AX27" s="37">
        <f t="shared" si="20"/>
        <v>0</v>
      </c>
      <c r="AY27" s="37" t="e">
        <f t="shared" si="42"/>
        <v>#VALUE!</v>
      </c>
      <c r="AZ27" s="37">
        <f t="shared" si="21"/>
        <v>0</v>
      </c>
      <c r="BA27" s="37" t="e">
        <f t="shared" si="43"/>
        <v>#VALUE!</v>
      </c>
      <c r="BB27" s="37">
        <f t="shared" si="22"/>
        <v>0</v>
      </c>
      <c r="BC27" s="37" t="e">
        <f t="shared" si="44"/>
        <v>#VALUE!</v>
      </c>
      <c r="BD27" s="37">
        <f t="shared" si="23"/>
        <v>0</v>
      </c>
      <c r="BE27" s="37" t="e">
        <f t="shared" si="45"/>
        <v>#VALUE!</v>
      </c>
      <c r="BF27" s="37">
        <f t="shared" si="24"/>
        <v>0</v>
      </c>
      <c r="BG27" s="37" t="e">
        <f t="shared" si="46"/>
        <v>#VALUE!</v>
      </c>
      <c r="BH27" s="37">
        <f t="shared" si="25"/>
        <v>0</v>
      </c>
      <c r="BI27" s="37" t="e">
        <f t="shared" si="47"/>
        <v>#VALUE!</v>
      </c>
      <c r="BJ27" s="37">
        <f t="shared" si="26"/>
        <v>0</v>
      </c>
      <c r="BK27" s="37" t="e">
        <f t="shared" si="48"/>
        <v>#VALUE!</v>
      </c>
      <c r="BL27" s="37">
        <f t="shared" si="27"/>
        <v>0</v>
      </c>
      <c r="BM27" s="37" t="e">
        <f t="shared" si="49"/>
        <v>#VALUE!</v>
      </c>
      <c r="BN27" s="37">
        <f t="shared" si="28"/>
        <v>0</v>
      </c>
      <c r="BO27" s="37" t="e">
        <f t="shared" si="50"/>
        <v>#VALUE!</v>
      </c>
      <c r="BP27" s="37">
        <f t="shared" si="29"/>
        <v>0</v>
      </c>
      <c r="BQ27" s="37" t="e">
        <f t="shared" si="51"/>
        <v>#VALUE!</v>
      </c>
      <c r="BR27" s="37">
        <f t="shared" si="30"/>
        <v>0</v>
      </c>
    </row>
    <row r="28" spans="1:70">
      <c r="A28" s="369"/>
      <c r="B28" s="370"/>
      <c r="C28" s="371"/>
      <c r="D28" s="372"/>
      <c r="E28" s="370"/>
      <c r="F28" s="374"/>
      <c r="G28" s="374"/>
      <c r="H28" s="374"/>
      <c r="I28" s="371"/>
      <c r="J28" s="370"/>
      <c r="K28" s="375"/>
      <c r="L28" s="370"/>
      <c r="M28" s="370"/>
      <c r="N28" s="370"/>
      <c r="O28" s="372"/>
      <c r="P28" s="375"/>
      <c r="Q28" s="375"/>
      <c r="R28" s="374"/>
      <c r="S28" s="370"/>
      <c r="T28" s="22"/>
      <c r="U28" s="2" t="e">
        <f>L28+0.25*(1-(1-$N$6/P28)^2.67)</f>
        <v>#DIV/0!</v>
      </c>
      <c r="V28" s="2">
        <f>($N$4+L28*$N$6)/$N$6</f>
        <v>6.2631578947368413E-2</v>
      </c>
      <c r="W28" s="2" t="e">
        <f>($N$4/($N$4+$N$6*L28))*(0.56/$N$5*V28^1.667*M28^0.5*$N$6^2.667)/K28</f>
        <v>#DIV/0!</v>
      </c>
      <c r="X28" s="2" t="e">
        <f>L28+($N$4/$N$6)*W28</f>
        <v>#DIV/0!</v>
      </c>
      <c r="Y28" s="2" t="e">
        <f t="shared" si="6"/>
        <v>#DIV/0!</v>
      </c>
      <c r="Z28" s="2" t="e">
        <f t="shared" si="7"/>
        <v>#DIV/0!</v>
      </c>
      <c r="AA28" s="2" t="e">
        <f t="shared" si="8"/>
        <v>#DIV/0!</v>
      </c>
      <c r="AB28" s="2" t="e">
        <f t="shared" si="9"/>
        <v>#DIV/0!</v>
      </c>
      <c r="AE28" s="2" t="e">
        <f t="shared" si="10"/>
        <v>#VALUE!</v>
      </c>
      <c r="AF28" s="2">
        <f t="shared" si="11"/>
        <v>0</v>
      </c>
      <c r="AG28" s="2" t="e">
        <f t="shared" si="34"/>
        <v>#VALUE!</v>
      </c>
      <c r="AH28" s="2">
        <f t="shared" si="12"/>
        <v>0</v>
      </c>
      <c r="AI28" s="2" t="e">
        <f t="shared" si="35"/>
        <v>#VALUE!</v>
      </c>
      <c r="AJ28" s="2">
        <f t="shared" si="13"/>
        <v>0</v>
      </c>
      <c r="AK28" s="2" t="e">
        <f>IF(EXACT(#REF!,$S28),$R28,0)</f>
        <v>#REF!</v>
      </c>
      <c r="AL28" s="2">
        <f t="shared" si="14"/>
        <v>0</v>
      </c>
      <c r="AM28" s="2" t="e">
        <f t="shared" si="36"/>
        <v>#VALUE!</v>
      </c>
      <c r="AN28" s="2">
        <f t="shared" si="15"/>
        <v>0</v>
      </c>
      <c r="AO28" s="2" t="e">
        <f t="shared" si="37"/>
        <v>#VALUE!</v>
      </c>
      <c r="AP28" s="2">
        <f t="shared" si="16"/>
        <v>0</v>
      </c>
      <c r="AQ28" s="2" t="e">
        <f t="shared" si="38"/>
        <v>#VALUE!</v>
      </c>
      <c r="AR28" s="2">
        <f t="shared" si="17"/>
        <v>0</v>
      </c>
      <c r="AS28" s="2" t="e">
        <f t="shared" si="39"/>
        <v>#VALUE!</v>
      </c>
      <c r="AT28" s="2">
        <f t="shared" si="18"/>
        <v>0</v>
      </c>
      <c r="AU28" s="2" t="e">
        <f t="shared" si="40"/>
        <v>#VALUE!</v>
      </c>
      <c r="AV28" s="2">
        <f t="shared" si="19"/>
        <v>0</v>
      </c>
      <c r="AW28" s="2" t="e">
        <f t="shared" si="41"/>
        <v>#VALUE!</v>
      </c>
      <c r="AX28" s="2">
        <f t="shared" si="20"/>
        <v>0</v>
      </c>
      <c r="AY28" s="2" t="e">
        <f t="shared" si="42"/>
        <v>#VALUE!</v>
      </c>
      <c r="AZ28" s="2">
        <f t="shared" si="21"/>
        <v>0</v>
      </c>
      <c r="BA28" s="2" t="e">
        <f t="shared" si="43"/>
        <v>#VALUE!</v>
      </c>
      <c r="BB28" s="2">
        <f t="shared" si="22"/>
        <v>0</v>
      </c>
      <c r="BC28" s="2" t="e">
        <f t="shared" si="44"/>
        <v>#VALUE!</v>
      </c>
      <c r="BD28" s="2">
        <f t="shared" si="23"/>
        <v>0</v>
      </c>
      <c r="BE28" s="2" t="e">
        <f t="shared" si="45"/>
        <v>#VALUE!</v>
      </c>
      <c r="BF28" s="2">
        <f t="shared" si="24"/>
        <v>0</v>
      </c>
      <c r="BG28" s="2" t="e">
        <f t="shared" si="46"/>
        <v>#VALUE!</v>
      </c>
      <c r="BH28" s="2">
        <f t="shared" si="25"/>
        <v>0</v>
      </c>
      <c r="BI28" s="2" t="e">
        <f t="shared" si="47"/>
        <v>#VALUE!</v>
      </c>
      <c r="BJ28" s="2">
        <f t="shared" si="26"/>
        <v>0</v>
      </c>
      <c r="BK28" s="2" t="e">
        <f t="shared" si="48"/>
        <v>#VALUE!</v>
      </c>
      <c r="BL28" s="2">
        <f t="shared" si="27"/>
        <v>0</v>
      </c>
      <c r="BM28" s="2" t="e">
        <f t="shared" si="49"/>
        <v>#VALUE!</v>
      </c>
      <c r="BN28" s="2">
        <f t="shared" si="28"/>
        <v>0</v>
      </c>
      <c r="BO28" s="2" t="e">
        <f t="shared" si="50"/>
        <v>#VALUE!</v>
      </c>
      <c r="BP28" s="2">
        <f t="shared" si="29"/>
        <v>0</v>
      </c>
      <c r="BQ28" s="2" t="e">
        <f t="shared" si="51"/>
        <v>#VALUE!</v>
      </c>
      <c r="BR28" s="2">
        <f t="shared" si="30"/>
        <v>0</v>
      </c>
    </row>
    <row r="29" spans="1:70">
      <c r="A29" s="369"/>
      <c r="B29" s="370"/>
      <c r="C29" s="371"/>
      <c r="D29" s="372"/>
      <c r="E29" s="370"/>
      <c r="F29" s="374"/>
      <c r="G29" s="374"/>
      <c r="H29" s="374"/>
      <c r="I29" s="371"/>
      <c r="J29" s="370"/>
      <c r="K29" s="375"/>
      <c r="L29" s="370"/>
      <c r="M29" s="370"/>
      <c r="N29" s="370"/>
      <c r="O29" s="372"/>
      <c r="P29" s="375"/>
      <c r="Q29" s="375"/>
      <c r="R29" s="374"/>
      <c r="S29" s="370"/>
      <c r="T29" s="22"/>
      <c r="U29" s="2" t="e">
        <f t="shared" si="2"/>
        <v>#DIV/0!</v>
      </c>
      <c r="V29" s="2">
        <f t="shared" si="3"/>
        <v>6.2631578947368413E-2</v>
      </c>
      <c r="W29" s="2" t="e">
        <f t="shared" si="4"/>
        <v>#DIV/0!</v>
      </c>
      <c r="X29" s="2" t="e">
        <f t="shared" si="5"/>
        <v>#DIV/0!</v>
      </c>
      <c r="Y29" s="2" t="e">
        <f t="shared" si="6"/>
        <v>#DIV/0!</v>
      </c>
      <c r="Z29" s="2" t="e">
        <f t="shared" si="7"/>
        <v>#DIV/0!</v>
      </c>
      <c r="AA29" s="2" t="e">
        <f t="shared" si="8"/>
        <v>#DIV/0!</v>
      </c>
      <c r="AB29" s="2" t="e">
        <f t="shared" si="9"/>
        <v>#DIV/0!</v>
      </c>
      <c r="AE29" s="2" t="e">
        <f t="shared" si="10"/>
        <v>#VALUE!</v>
      </c>
      <c r="AF29" s="2">
        <f t="shared" si="11"/>
        <v>0</v>
      </c>
      <c r="AG29" s="2" t="e">
        <f t="shared" si="34"/>
        <v>#VALUE!</v>
      </c>
      <c r="AH29" s="2">
        <f t="shared" si="12"/>
        <v>0</v>
      </c>
      <c r="AI29" s="2" t="e">
        <f t="shared" si="35"/>
        <v>#VALUE!</v>
      </c>
      <c r="AJ29" s="2">
        <f t="shared" si="13"/>
        <v>0</v>
      </c>
      <c r="AK29" s="2" t="e">
        <f>IF(EXACT(#REF!,$S29),$R29,0)</f>
        <v>#REF!</v>
      </c>
      <c r="AL29" s="2">
        <f t="shared" si="14"/>
        <v>0</v>
      </c>
      <c r="AM29" s="2" t="e">
        <f t="shared" si="36"/>
        <v>#VALUE!</v>
      </c>
      <c r="AN29" s="2">
        <f t="shared" si="15"/>
        <v>0</v>
      </c>
      <c r="AO29" s="2" t="e">
        <f t="shared" si="37"/>
        <v>#VALUE!</v>
      </c>
      <c r="AP29" s="2">
        <f t="shared" si="16"/>
        <v>0</v>
      </c>
      <c r="AQ29" s="2" t="e">
        <f t="shared" si="38"/>
        <v>#VALUE!</v>
      </c>
      <c r="AR29" s="2">
        <f t="shared" si="17"/>
        <v>0</v>
      </c>
      <c r="AS29" s="2" t="e">
        <f t="shared" si="39"/>
        <v>#VALUE!</v>
      </c>
      <c r="AT29" s="2">
        <f t="shared" si="18"/>
        <v>0</v>
      </c>
      <c r="AU29" s="2" t="e">
        <f t="shared" si="40"/>
        <v>#VALUE!</v>
      </c>
      <c r="AV29" s="2">
        <f t="shared" si="19"/>
        <v>0</v>
      </c>
      <c r="AW29" s="2" t="e">
        <f t="shared" si="41"/>
        <v>#VALUE!</v>
      </c>
      <c r="AX29" s="2">
        <f t="shared" si="20"/>
        <v>0</v>
      </c>
      <c r="AY29" s="2" t="e">
        <f t="shared" si="42"/>
        <v>#VALUE!</v>
      </c>
      <c r="AZ29" s="2">
        <f t="shared" si="21"/>
        <v>0</v>
      </c>
      <c r="BA29" s="2" t="e">
        <f t="shared" si="43"/>
        <v>#VALUE!</v>
      </c>
      <c r="BB29" s="2">
        <f t="shared" si="22"/>
        <v>0</v>
      </c>
      <c r="BC29" s="2" t="e">
        <f t="shared" si="44"/>
        <v>#VALUE!</v>
      </c>
      <c r="BD29" s="2">
        <f t="shared" si="23"/>
        <v>0</v>
      </c>
      <c r="BE29" s="2" t="e">
        <f t="shared" si="45"/>
        <v>#VALUE!</v>
      </c>
      <c r="BF29" s="2">
        <f t="shared" si="24"/>
        <v>0</v>
      </c>
      <c r="BG29" s="2" t="e">
        <f t="shared" si="46"/>
        <v>#VALUE!</v>
      </c>
      <c r="BH29" s="2">
        <f t="shared" si="25"/>
        <v>0</v>
      </c>
      <c r="BI29" s="2" t="e">
        <f t="shared" si="47"/>
        <v>#VALUE!</v>
      </c>
      <c r="BJ29" s="2">
        <f t="shared" si="26"/>
        <v>0</v>
      </c>
      <c r="BK29" s="2" t="e">
        <f t="shared" si="48"/>
        <v>#VALUE!</v>
      </c>
      <c r="BL29" s="2">
        <f t="shared" si="27"/>
        <v>0</v>
      </c>
      <c r="BM29" s="2" t="e">
        <f t="shared" si="49"/>
        <v>#VALUE!</v>
      </c>
      <c r="BN29" s="2">
        <f t="shared" si="28"/>
        <v>0</v>
      </c>
      <c r="BO29" s="2" t="e">
        <f t="shared" si="50"/>
        <v>#VALUE!</v>
      </c>
      <c r="BP29" s="2">
        <f t="shared" si="29"/>
        <v>0</v>
      </c>
      <c r="BQ29" s="2" t="e">
        <f t="shared" si="51"/>
        <v>#VALUE!</v>
      </c>
      <c r="BR29" s="2">
        <f t="shared" si="30"/>
        <v>0</v>
      </c>
    </row>
    <row r="30" spans="1:70" s="389" customFormat="1">
      <c r="A30" s="382"/>
      <c r="B30" s="383"/>
      <c r="C30" s="384"/>
      <c r="D30" s="385"/>
      <c r="E30" s="383"/>
      <c r="F30" s="386"/>
      <c r="G30" s="386"/>
      <c r="H30" s="386"/>
      <c r="I30" s="384"/>
      <c r="J30" s="383"/>
      <c r="K30" s="387"/>
      <c r="L30" s="383"/>
      <c r="M30" s="383"/>
      <c r="N30" s="383"/>
      <c r="O30" s="385"/>
      <c r="P30" s="387"/>
      <c r="Q30" s="387"/>
      <c r="R30" s="386"/>
      <c r="S30" s="383"/>
      <c r="T30" s="388"/>
      <c r="U30" s="389" t="e">
        <f t="shared" si="2"/>
        <v>#DIV/0!</v>
      </c>
      <c r="V30" s="389">
        <f t="shared" si="3"/>
        <v>6.2631578947368413E-2</v>
      </c>
      <c r="W30" s="389" t="e">
        <f t="shared" si="4"/>
        <v>#DIV/0!</v>
      </c>
      <c r="X30" s="389" t="e">
        <f t="shared" si="5"/>
        <v>#DIV/0!</v>
      </c>
      <c r="Y30" s="389" t="e">
        <f t="shared" si="6"/>
        <v>#DIV/0!</v>
      </c>
      <c r="Z30" s="389" t="e">
        <f t="shared" si="7"/>
        <v>#DIV/0!</v>
      </c>
      <c r="AA30" s="389" t="e">
        <f t="shared" si="8"/>
        <v>#DIV/0!</v>
      </c>
      <c r="AB30" s="389" t="e">
        <f t="shared" si="9"/>
        <v>#DIV/0!</v>
      </c>
      <c r="AE30" s="389" t="e">
        <f t="shared" si="10"/>
        <v>#VALUE!</v>
      </c>
      <c r="AF30" s="389">
        <f t="shared" si="11"/>
        <v>0</v>
      </c>
      <c r="AG30" s="389" t="e">
        <f t="shared" si="34"/>
        <v>#VALUE!</v>
      </c>
      <c r="AH30" s="389">
        <f t="shared" si="12"/>
        <v>0</v>
      </c>
      <c r="AI30" s="389" t="e">
        <f t="shared" si="35"/>
        <v>#VALUE!</v>
      </c>
      <c r="AJ30" s="389">
        <f t="shared" si="13"/>
        <v>0</v>
      </c>
      <c r="AK30" s="389" t="e">
        <f>IF(EXACT(#REF!,$S30),$R30,0)</f>
        <v>#REF!</v>
      </c>
      <c r="AL30" s="389">
        <f t="shared" si="14"/>
        <v>0</v>
      </c>
      <c r="AM30" s="389" t="e">
        <f t="shared" si="36"/>
        <v>#VALUE!</v>
      </c>
      <c r="AN30" s="389">
        <f t="shared" si="15"/>
        <v>0</v>
      </c>
      <c r="AO30" s="389" t="e">
        <f t="shared" si="37"/>
        <v>#VALUE!</v>
      </c>
      <c r="AP30" s="389">
        <f t="shared" si="16"/>
        <v>0</v>
      </c>
      <c r="AQ30" s="389" t="e">
        <f t="shared" si="38"/>
        <v>#VALUE!</v>
      </c>
      <c r="AR30" s="389">
        <f t="shared" si="17"/>
        <v>0</v>
      </c>
      <c r="AS30" s="389" t="e">
        <f t="shared" si="39"/>
        <v>#VALUE!</v>
      </c>
      <c r="AT30" s="389">
        <f t="shared" si="18"/>
        <v>0</v>
      </c>
      <c r="AU30" s="389" t="e">
        <f t="shared" si="40"/>
        <v>#VALUE!</v>
      </c>
      <c r="AV30" s="389">
        <f t="shared" si="19"/>
        <v>0</v>
      </c>
      <c r="AW30" s="389" t="e">
        <f t="shared" si="41"/>
        <v>#VALUE!</v>
      </c>
      <c r="AX30" s="389">
        <f t="shared" si="20"/>
        <v>0</v>
      </c>
      <c r="AY30" s="389" t="e">
        <f t="shared" si="42"/>
        <v>#VALUE!</v>
      </c>
      <c r="AZ30" s="389">
        <f t="shared" si="21"/>
        <v>0</v>
      </c>
      <c r="BA30" s="389" t="e">
        <f t="shared" si="43"/>
        <v>#VALUE!</v>
      </c>
      <c r="BB30" s="389">
        <f t="shared" si="22"/>
        <v>0</v>
      </c>
      <c r="BC30" s="389" t="e">
        <f t="shared" si="44"/>
        <v>#VALUE!</v>
      </c>
      <c r="BD30" s="389">
        <f t="shared" si="23"/>
        <v>0</v>
      </c>
      <c r="BE30" s="389" t="e">
        <f t="shared" si="45"/>
        <v>#VALUE!</v>
      </c>
      <c r="BF30" s="389">
        <f t="shared" si="24"/>
        <v>0</v>
      </c>
      <c r="BG30" s="389" t="e">
        <f t="shared" si="46"/>
        <v>#VALUE!</v>
      </c>
      <c r="BH30" s="389">
        <f t="shared" si="25"/>
        <v>0</v>
      </c>
      <c r="BI30" s="389" t="e">
        <f t="shared" si="47"/>
        <v>#VALUE!</v>
      </c>
      <c r="BJ30" s="389">
        <f t="shared" si="26"/>
        <v>0</v>
      </c>
      <c r="BK30" s="389" t="e">
        <f t="shared" si="48"/>
        <v>#VALUE!</v>
      </c>
      <c r="BL30" s="389">
        <f t="shared" si="27"/>
        <v>0</v>
      </c>
      <c r="BM30" s="389" t="e">
        <f t="shared" si="49"/>
        <v>#VALUE!</v>
      </c>
      <c r="BN30" s="389">
        <f t="shared" si="28"/>
        <v>0</v>
      </c>
      <c r="BO30" s="389" t="e">
        <f t="shared" si="50"/>
        <v>#VALUE!</v>
      </c>
      <c r="BP30" s="389">
        <f t="shared" si="29"/>
        <v>0</v>
      </c>
      <c r="BQ30" s="389" t="e">
        <f t="shared" si="51"/>
        <v>#VALUE!</v>
      </c>
      <c r="BR30" s="389">
        <f t="shared" si="30"/>
        <v>0</v>
      </c>
    </row>
    <row r="31" spans="1:70">
      <c r="A31" s="24"/>
      <c r="B31" s="20"/>
      <c r="C31" s="17"/>
      <c r="D31" s="335"/>
      <c r="E31" s="20"/>
      <c r="F31" s="19"/>
      <c r="G31" s="19"/>
      <c r="H31" s="19"/>
      <c r="I31" s="17"/>
      <c r="J31" s="20"/>
      <c r="K31" s="21"/>
      <c r="L31" s="20"/>
      <c r="M31" s="20"/>
      <c r="N31" s="20"/>
      <c r="O31" s="20"/>
      <c r="P31" s="21"/>
      <c r="Q31" s="21"/>
      <c r="R31" s="19"/>
      <c r="S31" s="20"/>
      <c r="T31" s="22"/>
      <c r="U31" s="2" t="e">
        <f t="shared" si="2"/>
        <v>#DIV/0!</v>
      </c>
      <c r="V31" s="2">
        <f t="shared" si="3"/>
        <v>6.2631578947368413E-2</v>
      </c>
      <c r="W31" s="2" t="e">
        <f t="shared" si="4"/>
        <v>#DIV/0!</v>
      </c>
      <c r="X31" s="2" t="e">
        <f t="shared" si="5"/>
        <v>#DIV/0!</v>
      </c>
      <c r="Y31" s="2" t="e">
        <f t="shared" si="6"/>
        <v>#DIV/0!</v>
      </c>
      <c r="Z31" s="2" t="e">
        <f t="shared" si="7"/>
        <v>#DIV/0!</v>
      </c>
      <c r="AA31" s="2" t="e">
        <f t="shared" si="8"/>
        <v>#DIV/0!</v>
      </c>
      <c r="AB31" s="2" t="e">
        <f t="shared" si="9"/>
        <v>#DIV/0!</v>
      </c>
      <c r="AC31" s="37"/>
      <c r="AD31" s="37"/>
      <c r="AE31" s="37" t="e">
        <f t="shared" si="10"/>
        <v>#VALUE!</v>
      </c>
      <c r="AF31" s="37">
        <f t="shared" si="11"/>
        <v>0</v>
      </c>
      <c r="AG31" s="37" t="e">
        <f t="shared" si="34"/>
        <v>#VALUE!</v>
      </c>
      <c r="AH31" s="37">
        <f t="shared" si="12"/>
        <v>0</v>
      </c>
      <c r="AI31" s="37" t="e">
        <f t="shared" si="35"/>
        <v>#VALUE!</v>
      </c>
      <c r="AJ31" s="37">
        <f t="shared" si="13"/>
        <v>0</v>
      </c>
      <c r="AK31" s="37" t="e">
        <f>IF(EXACT(#REF!,$S31),$R31,0)</f>
        <v>#REF!</v>
      </c>
      <c r="AL31" s="37">
        <f t="shared" si="14"/>
        <v>0</v>
      </c>
      <c r="AM31" s="37" t="e">
        <f t="shared" si="36"/>
        <v>#VALUE!</v>
      </c>
      <c r="AN31" s="37">
        <f t="shared" si="15"/>
        <v>0</v>
      </c>
      <c r="AO31" s="37" t="e">
        <f t="shared" si="37"/>
        <v>#VALUE!</v>
      </c>
      <c r="AP31" s="37">
        <f t="shared" si="16"/>
        <v>0</v>
      </c>
      <c r="AQ31" s="37" t="e">
        <f t="shared" si="38"/>
        <v>#VALUE!</v>
      </c>
      <c r="AR31" s="37">
        <f t="shared" si="17"/>
        <v>0</v>
      </c>
      <c r="AS31" s="37" t="e">
        <f t="shared" si="39"/>
        <v>#VALUE!</v>
      </c>
      <c r="AT31" s="37">
        <f t="shared" si="18"/>
        <v>0</v>
      </c>
      <c r="AU31" s="37" t="e">
        <f t="shared" si="40"/>
        <v>#VALUE!</v>
      </c>
      <c r="AV31" s="37">
        <f t="shared" si="19"/>
        <v>0</v>
      </c>
      <c r="AW31" s="37" t="e">
        <f t="shared" si="41"/>
        <v>#VALUE!</v>
      </c>
      <c r="AX31" s="37">
        <f t="shared" si="20"/>
        <v>0</v>
      </c>
      <c r="AY31" s="37" t="e">
        <f t="shared" si="42"/>
        <v>#VALUE!</v>
      </c>
      <c r="AZ31" s="37">
        <f t="shared" si="21"/>
        <v>0</v>
      </c>
      <c r="BA31" s="37" t="e">
        <f t="shared" si="43"/>
        <v>#VALUE!</v>
      </c>
      <c r="BB31" s="37">
        <f t="shared" si="22"/>
        <v>0</v>
      </c>
      <c r="BC31" s="37" t="e">
        <f t="shared" si="44"/>
        <v>#VALUE!</v>
      </c>
      <c r="BD31" s="37">
        <f t="shared" si="23"/>
        <v>0</v>
      </c>
      <c r="BE31" s="37" t="e">
        <f t="shared" si="45"/>
        <v>#VALUE!</v>
      </c>
      <c r="BF31" s="37">
        <f t="shared" si="24"/>
        <v>0</v>
      </c>
      <c r="BG31" s="37" t="e">
        <f t="shared" si="46"/>
        <v>#VALUE!</v>
      </c>
      <c r="BH31" s="37">
        <f t="shared" si="25"/>
        <v>0</v>
      </c>
      <c r="BI31" s="37" t="e">
        <f t="shared" si="47"/>
        <v>#VALUE!</v>
      </c>
      <c r="BJ31" s="37">
        <f t="shared" si="26"/>
        <v>0</v>
      </c>
      <c r="BK31" s="37" t="e">
        <f t="shared" si="48"/>
        <v>#VALUE!</v>
      </c>
      <c r="BL31" s="37">
        <f t="shared" si="27"/>
        <v>0</v>
      </c>
      <c r="BM31" s="37" t="e">
        <f t="shared" si="49"/>
        <v>#VALUE!</v>
      </c>
      <c r="BN31" s="37">
        <f t="shared" si="28"/>
        <v>0</v>
      </c>
      <c r="BO31" s="37" t="e">
        <f t="shared" si="50"/>
        <v>#VALUE!</v>
      </c>
      <c r="BP31" s="37">
        <f t="shared" si="29"/>
        <v>0</v>
      </c>
      <c r="BQ31" s="37" t="e">
        <f t="shared" si="51"/>
        <v>#VALUE!</v>
      </c>
      <c r="BR31" s="37">
        <f t="shared" si="30"/>
        <v>0</v>
      </c>
    </row>
    <row r="32" spans="1:70">
      <c r="A32" s="24"/>
      <c r="B32" s="20"/>
      <c r="C32" s="17"/>
      <c r="D32" s="335"/>
      <c r="E32" s="20"/>
      <c r="F32" s="19"/>
      <c r="G32" s="19"/>
      <c r="H32" s="19"/>
      <c r="I32" s="17"/>
      <c r="J32" s="20"/>
      <c r="K32" s="21"/>
      <c r="L32" s="20"/>
      <c r="M32" s="20"/>
      <c r="N32" s="20"/>
      <c r="O32" s="20"/>
      <c r="P32" s="21"/>
      <c r="Q32" s="21"/>
      <c r="R32" s="19"/>
      <c r="S32" s="20"/>
      <c r="T32" s="22"/>
      <c r="U32" s="2" t="e">
        <f t="shared" si="2"/>
        <v>#DIV/0!</v>
      </c>
      <c r="V32" s="2">
        <f t="shared" si="3"/>
        <v>6.2631578947368413E-2</v>
      </c>
      <c r="W32" s="2" t="e">
        <f t="shared" si="4"/>
        <v>#DIV/0!</v>
      </c>
      <c r="X32" s="2" t="e">
        <f t="shared" si="5"/>
        <v>#DIV/0!</v>
      </c>
      <c r="Y32" s="2" t="e">
        <f t="shared" si="6"/>
        <v>#DIV/0!</v>
      </c>
      <c r="Z32" s="2" t="e">
        <f t="shared" si="7"/>
        <v>#DIV/0!</v>
      </c>
      <c r="AA32" s="2" t="e">
        <f t="shared" si="8"/>
        <v>#DIV/0!</v>
      </c>
      <c r="AB32" s="2" t="e">
        <f t="shared" si="9"/>
        <v>#DIV/0!</v>
      </c>
      <c r="AE32" s="2" t="e">
        <f t="shared" si="10"/>
        <v>#VALUE!</v>
      </c>
      <c r="AF32" s="2">
        <f t="shared" si="11"/>
        <v>0</v>
      </c>
      <c r="AG32" s="2" t="e">
        <f t="shared" si="34"/>
        <v>#VALUE!</v>
      </c>
      <c r="AH32" s="2">
        <f t="shared" si="12"/>
        <v>0</v>
      </c>
      <c r="AI32" s="2" t="e">
        <f t="shared" si="35"/>
        <v>#VALUE!</v>
      </c>
      <c r="AJ32" s="2">
        <f t="shared" si="13"/>
        <v>0</v>
      </c>
      <c r="AK32" s="2" t="e">
        <f>IF(EXACT(#REF!,$S32),$R32,0)</f>
        <v>#REF!</v>
      </c>
      <c r="AL32" s="2">
        <f t="shared" si="14"/>
        <v>0</v>
      </c>
      <c r="AM32" s="2" t="e">
        <f t="shared" si="36"/>
        <v>#VALUE!</v>
      </c>
      <c r="AN32" s="2">
        <f t="shared" si="15"/>
        <v>0</v>
      </c>
      <c r="AO32" s="2" t="e">
        <f t="shared" si="37"/>
        <v>#VALUE!</v>
      </c>
      <c r="AP32" s="2">
        <f t="shared" si="16"/>
        <v>0</v>
      </c>
      <c r="AQ32" s="2" t="e">
        <f t="shared" si="38"/>
        <v>#VALUE!</v>
      </c>
      <c r="AR32" s="2">
        <f t="shared" si="17"/>
        <v>0</v>
      </c>
      <c r="AS32" s="2" t="e">
        <f t="shared" si="39"/>
        <v>#VALUE!</v>
      </c>
      <c r="AT32" s="2">
        <f t="shared" si="18"/>
        <v>0</v>
      </c>
      <c r="AU32" s="2" t="e">
        <f t="shared" si="40"/>
        <v>#VALUE!</v>
      </c>
      <c r="AV32" s="2">
        <f t="shared" si="19"/>
        <v>0</v>
      </c>
      <c r="AW32" s="2" t="e">
        <f t="shared" si="41"/>
        <v>#VALUE!</v>
      </c>
      <c r="AX32" s="2">
        <f t="shared" si="20"/>
        <v>0</v>
      </c>
      <c r="AY32" s="2" t="e">
        <f t="shared" si="42"/>
        <v>#VALUE!</v>
      </c>
      <c r="AZ32" s="2">
        <f t="shared" si="21"/>
        <v>0</v>
      </c>
      <c r="BA32" s="2" t="e">
        <f t="shared" si="43"/>
        <v>#VALUE!</v>
      </c>
      <c r="BB32" s="2">
        <f t="shared" si="22"/>
        <v>0</v>
      </c>
      <c r="BC32" s="2" t="e">
        <f t="shared" si="44"/>
        <v>#VALUE!</v>
      </c>
      <c r="BD32" s="2">
        <f t="shared" si="23"/>
        <v>0</v>
      </c>
      <c r="BE32" s="2" t="e">
        <f t="shared" si="45"/>
        <v>#VALUE!</v>
      </c>
      <c r="BF32" s="2">
        <f t="shared" si="24"/>
        <v>0</v>
      </c>
      <c r="BG32" s="2" t="e">
        <f t="shared" si="46"/>
        <v>#VALUE!</v>
      </c>
      <c r="BH32" s="2">
        <f t="shared" si="25"/>
        <v>0</v>
      </c>
      <c r="BI32" s="2" t="e">
        <f t="shared" si="47"/>
        <v>#VALUE!</v>
      </c>
      <c r="BJ32" s="2">
        <f t="shared" si="26"/>
        <v>0</v>
      </c>
      <c r="BK32" s="2" t="e">
        <f t="shared" si="48"/>
        <v>#VALUE!</v>
      </c>
      <c r="BL32" s="2">
        <f t="shared" si="27"/>
        <v>0</v>
      </c>
      <c r="BM32" s="2" t="e">
        <f t="shared" si="49"/>
        <v>#VALUE!</v>
      </c>
      <c r="BN32" s="2">
        <f t="shared" si="28"/>
        <v>0</v>
      </c>
      <c r="BO32" s="2" t="e">
        <f t="shared" si="50"/>
        <v>#VALUE!</v>
      </c>
      <c r="BP32" s="2">
        <f t="shared" si="29"/>
        <v>0</v>
      </c>
      <c r="BQ32" s="2" t="e">
        <f t="shared" si="51"/>
        <v>#VALUE!</v>
      </c>
      <c r="BR32" s="2">
        <f t="shared" si="30"/>
        <v>0</v>
      </c>
    </row>
    <row r="33" spans="1:70">
      <c r="A33" s="24"/>
      <c r="B33" s="20"/>
      <c r="C33" s="17"/>
      <c r="D33" s="335"/>
      <c r="E33" s="20"/>
      <c r="F33" s="19" t="str">
        <f t="shared" si="0"/>
        <v xml:space="preserve"> </v>
      </c>
      <c r="G33" s="19"/>
      <c r="H33" s="19" t="str">
        <f t="shared" si="1"/>
        <v xml:space="preserve"> </v>
      </c>
      <c r="I33" s="17"/>
      <c r="J33" s="20"/>
      <c r="K33" s="21" t="str">
        <f t="shared" si="31"/>
        <v xml:space="preserve"> </v>
      </c>
      <c r="L33" s="20"/>
      <c r="M33" s="20"/>
      <c r="N33" s="20"/>
      <c r="O33" s="20"/>
      <c r="P33" s="21" t="str">
        <f t="shared" ref="P33:P38" si="52">IF(AND(D33=0,E33=0)," ",+L56)</f>
        <v xml:space="preserve"> </v>
      </c>
      <c r="Q33" s="21" t="str">
        <f t="shared" ref="Q33:Q38" si="53">IF(AND(D33=0,E33=0)," ",R56)</f>
        <v xml:space="preserve"> </v>
      </c>
      <c r="R33" s="19" t="str">
        <f t="shared" ref="R33:R38" si="54">IF(AND(D33=0,E33=0)," ",+H33*(1-(Q33/100)))</f>
        <v xml:space="preserve"> </v>
      </c>
      <c r="S33" s="20"/>
      <c r="T33" s="22" t="s">
        <v>7</v>
      </c>
      <c r="U33" s="2" t="e">
        <f t="shared" si="2"/>
        <v>#DIV/0!</v>
      </c>
      <c r="V33" s="2">
        <f t="shared" si="3"/>
        <v>6.2631578947368413E-2</v>
      </c>
      <c r="W33" s="2" t="e">
        <f t="shared" si="4"/>
        <v>#DIV/0!</v>
      </c>
      <c r="X33" s="2" t="e">
        <f t="shared" si="5"/>
        <v>#DIV/0!</v>
      </c>
      <c r="Y33" s="2" t="e">
        <f t="shared" si="6"/>
        <v>#DIV/0!</v>
      </c>
      <c r="Z33" s="2" t="e">
        <f t="shared" si="7"/>
        <v>#DIV/0!</v>
      </c>
      <c r="AA33" s="2" t="e">
        <f t="shared" si="8"/>
        <v>#DIV/0!</v>
      </c>
      <c r="AB33" s="2" t="e">
        <f t="shared" si="9"/>
        <v>#DIV/0!</v>
      </c>
      <c r="AE33" s="2" t="e">
        <f t="shared" si="10"/>
        <v>#VALUE!</v>
      </c>
      <c r="AF33" s="2">
        <f t="shared" si="11"/>
        <v>0</v>
      </c>
      <c r="AG33" s="2" t="e">
        <f t="shared" si="34"/>
        <v>#VALUE!</v>
      </c>
      <c r="AH33" s="2">
        <f t="shared" si="12"/>
        <v>0</v>
      </c>
      <c r="AI33" s="2" t="e">
        <f t="shared" si="35"/>
        <v>#VALUE!</v>
      </c>
      <c r="AJ33" s="2">
        <f t="shared" si="13"/>
        <v>0</v>
      </c>
      <c r="AK33" s="2" t="e">
        <f>IF(EXACT(#REF!,$S33),$R33,0)</f>
        <v>#REF!</v>
      </c>
      <c r="AL33" s="2">
        <f t="shared" si="14"/>
        <v>0</v>
      </c>
      <c r="AM33" s="2" t="e">
        <f t="shared" si="36"/>
        <v>#VALUE!</v>
      </c>
      <c r="AN33" s="2">
        <f t="shared" si="15"/>
        <v>0</v>
      </c>
      <c r="AO33" s="2" t="e">
        <f t="shared" si="37"/>
        <v>#VALUE!</v>
      </c>
      <c r="AP33" s="2">
        <f t="shared" si="16"/>
        <v>0</v>
      </c>
      <c r="AQ33" s="2" t="e">
        <f t="shared" si="38"/>
        <v>#VALUE!</v>
      </c>
      <c r="AR33" s="2">
        <f t="shared" si="17"/>
        <v>0</v>
      </c>
      <c r="AS33" s="2" t="e">
        <f t="shared" si="39"/>
        <v>#VALUE!</v>
      </c>
      <c r="AT33" s="2">
        <f t="shared" si="18"/>
        <v>0</v>
      </c>
      <c r="AU33" s="2" t="e">
        <f t="shared" si="40"/>
        <v>#VALUE!</v>
      </c>
      <c r="AV33" s="2">
        <f t="shared" si="19"/>
        <v>0</v>
      </c>
      <c r="AW33" s="2" t="e">
        <f t="shared" si="41"/>
        <v>#VALUE!</v>
      </c>
      <c r="AX33" s="2">
        <f t="shared" si="20"/>
        <v>0</v>
      </c>
      <c r="AY33" s="2" t="e">
        <f t="shared" si="42"/>
        <v>#VALUE!</v>
      </c>
      <c r="AZ33" s="2">
        <f t="shared" si="21"/>
        <v>0</v>
      </c>
      <c r="BA33" s="2" t="e">
        <f t="shared" si="43"/>
        <v>#VALUE!</v>
      </c>
      <c r="BB33" s="2">
        <f t="shared" si="22"/>
        <v>0</v>
      </c>
      <c r="BC33" s="2" t="e">
        <f t="shared" si="44"/>
        <v>#VALUE!</v>
      </c>
      <c r="BD33" s="2">
        <f t="shared" si="23"/>
        <v>0</v>
      </c>
      <c r="BE33" s="2" t="e">
        <f t="shared" si="45"/>
        <v>#VALUE!</v>
      </c>
      <c r="BF33" s="2">
        <f t="shared" si="24"/>
        <v>0</v>
      </c>
      <c r="BG33" s="2" t="e">
        <f t="shared" si="46"/>
        <v>#VALUE!</v>
      </c>
      <c r="BH33" s="2">
        <f t="shared" si="25"/>
        <v>0</v>
      </c>
      <c r="BI33" s="2" t="e">
        <f t="shared" si="47"/>
        <v>#VALUE!</v>
      </c>
      <c r="BJ33" s="2">
        <f t="shared" si="26"/>
        <v>0</v>
      </c>
      <c r="BK33" s="2" t="e">
        <f t="shared" si="48"/>
        <v>#VALUE!</v>
      </c>
      <c r="BL33" s="2">
        <f t="shared" si="27"/>
        <v>0</v>
      </c>
      <c r="BM33" s="2" t="e">
        <f t="shared" si="49"/>
        <v>#VALUE!</v>
      </c>
      <c r="BN33" s="2">
        <f t="shared" si="28"/>
        <v>0</v>
      </c>
      <c r="BO33" s="2" t="e">
        <f t="shared" si="50"/>
        <v>#VALUE!</v>
      </c>
      <c r="BP33" s="2">
        <f t="shared" si="29"/>
        <v>0</v>
      </c>
      <c r="BQ33" s="2" t="e">
        <f t="shared" si="51"/>
        <v>#VALUE!</v>
      </c>
      <c r="BR33" s="2">
        <f t="shared" si="30"/>
        <v>0</v>
      </c>
    </row>
    <row r="34" spans="1:70">
      <c r="A34" s="24"/>
      <c r="B34" s="20"/>
      <c r="C34" s="17"/>
      <c r="D34" s="20"/>
      <c r="E34" s="20"/>
      <c r="F34" s="19" t="str">
        <f t="shared" si="0"/>
        <v xml:space="preserve"> </v>
      </c>
      <c r="G34" s="19"/>
      <c r="H34" s="19" t="str">
        <f t="shared" si="1"/>
        <v xml:space="preserve"> </v>
      </c>
      <c r="I34" s="17"/>
      <c r="J34" s="20"/>
      <c r="K34" s="21" t="str">
        <f t="shared" si="31"/>
        <v xml:space="preserve"> </v>
      </c>
      <c r="L34" s="20"/>
      <c r="M34" s="20"/>
      <c r="N34" s="20"/>
      <c r="O34" s="20"/>
      <c r="P34" s="21" t="str">
        <f t="shared" si="52"/>
        <v xml:space="preserve"> </v>
      </c>
      <c r="Q34" s="21" t="str">
        <f t="shared" si="53"/>
        <v xml:space="preserve"> </v>
      </c>
      <c r="R34" s="19" t="str">
        <f t="shared" si="54"/>
        <v xml:space="preserve"> </v>
      </c>
      <c r="S34" s="20"/>
      <c r="T34" s="22" t="s">
        <v>7</v>
      </c>
      <c r="U34" s="2" t="e">
        <f t="shared" si="2"/>
        <v>#DIV/0!</v>
      </c>
      <c r="V34" s="2">
        <f t="shared" si="3"/>
        <v>6.2631578947368413E-2</v>
      </c>
      <c r="W34" s="2" t="e">
        <f t="shared" si="4"/>
        <v>#DIV/0!</v>
      </c>
      <c r="X34" s="2" t="e">
        <f t="shared" si="5"/>
        <v>#DIV/0!</v>
      </c>
      <c r="Y34" s="2" t="e">
        <f t="shared" si="6"/>
        <v>#DIV/0!</v>
      </c>
      <c r="Z34" s="2" t="e">
        <f t="shared" si="7"/>
        <v>#DIV/0!</v>
      </c>
      <c r="AA34" s="2" t="e">
        <f t="shared" si="8"/>
        <v>#DIV/0!</v>
      </c>
      <c r="AB34" s="2" t="e">
        <f t="shared" si="9"/>
        <v>#DIV/0!</v>
      </c>
      <c r="AE34" s="2" t="e">
        <f t="shared" si="10"/>
        <v>#VALUE!</v>
      </c>
      <c r="AF34" s="2">
        <f t="shared" si="11"/>
        <v>0</v>
      </c>
      <c r="AG34" s="2" t="e">
        <f t="shared" si="34"/>
        <v>#VALUE!</v>
      </c>
      <c r="AH34" s="2">
        <f t="shared" si="12"/>
        <v>0</v>
      </c>
      <c r="AI34" s="2" t="e">
        <f t="shared" si="35"/>
        <v>#VALUE!</v>
      </c>
      <c r="AJ34" s="2">
        <f t="shared" si="13"/>
        <v>0</v>
      </c>
      <c r="AK34" s="2" t="e">
        <f>IF(EXACT(#REF!,$S34),$R34,0)</f>
        <v>#REF!</v>
      </c>
      <c r="AL34" s="2">
        <f t="shared" si="14"/>
        <v>0</v>
      </c>
      <c r="AM34" s="2" t="e">
        <f t="shared" si="36"/>
        <v>#VALUE!</v>
      </c>
      <c r="AN34" s="2">
        <f t="shared" si="15"/>
        <v>0</v>
      </c>
      <c r="AO34" s="2" t="e">
        <f t="shared" si="37"/>
        <v>#VALUE!</v>
      </c>
      <c r="AP34" s="2">
        <f t="shared" si="16"/>
        <v>0</v>
      </c>
      <c r="AQ34" s="2" t="e">
        <f t="shared" si="38"/>
        <v>#VALUE!</v>
      </c>
      <c r="AR34" s="2">
        <f t="shared" si="17"/>
        <v>0</v>
      </c>
      <c r="AS34" s="2" t="e">
        <f t="shared" si="39"/>
        <v>#VALUE!</v>
      </c>
      <c r="AT34" s="2">
        <f t="shared" si="18"/>
        <v>0</v>
      </c>
      <c r="AU34" s="2" t="e">
        <f t="shared" si="40"/>
        <v>#VALUE!</v>
      </c>
      <c r="AV34" s="2">
        <f t="shared" si="19"/>
        <v>0</v>
      </c>
      <c r="AW34" s="2" t="e">
        <f t="shared" si="41"/>
        <v>#VALUE!</v>
      </c>
      <c r="AX34" s="2">
        <f t="shared" si="20"/>
        <v>0</v>
      </c>
      <c r="AY34" s="2" t="e">
        <f t="shared" si="42"/>
        <v>#VALUE!</v>
      </c>
      <c r="AZ34" s="2">
        <f t="shared" si="21"/>
        <v>0</v>
      </c>
      <c r="BA34" s="2" t="e">
        <f t="shared" si="43"/>
        <v>#VALUE!</v>
      </c>
      <c r="BB34" s="2">
        <f t="shared" si="22"/>
        <v>0</v>
      </c>
      <c r="BC34" s="2" t="e">
        <f t="shared" si="44"/>
        <v>#VALUE!</v>
      </c>
      <c r="BD34" s="2">
        <f t="shared" si="23"/>
        <v>0</v>
      </c>
      <c r="BE34" s="2" t="e">
        <f t="shared" si="45"/>
        <v>#VALUE!</v>
      </c>
      <c r="BF34" s="2">
        <f t="shared" si="24"/>
        <v>0</v>
      </c>
      <c r="BG34" s="2" t="e">
        <f t="shared" si="46"/>
        <v>#VALUE!</v>
      </c>
      <c r="BH34" s="2">
        <f t="shared" si="25"/>
        <v>0</v>
      </c>
      <c r="BI34" s="2" t="e">
        <f t="shared" si="47"/>
        <v>#VALUE!</v>
      </c>
      <c r="BJ34" s="2">
        <f t="shared" si="26"/>
        <v>0</v>
      </c>
      <c r="BK34" s="2" t="e">
        <f t="shared" si="48"/>
        <v>#VALUE!</v>
      </c>
      <c r="BL34" s="2">
        <f t="shared" si="27"/>
        <v>0</v>
      </c>
      <c r="BM34" s="2" t="e">
        <f t="shared" si="49"/>
        <v>#VALUE!</v>
      </c>
      <c r="BN34" s="2">
        <f t="shared" si="28"/>
        <v>0</v>
      </c>
      <c r="BO34" s="2" t="e">
        <f t="shared" si="50"/>
        <v>#VALUE!</v>
      </c>
      <c r="BP34" s="2">
        <f t="shared" si="29"/>
        <v>0</v>
      </c>
      <c r="BQ34" s="2" t="e">
        <f t="shared" si="51"/>
        <v>#VALUE!</v>
      </c>
      <c r="BR34" s="2">
        <f t="shared" si="30"/>
        <v>0</v>
      </c>
    </row>
    <row r="35" spans="1:70">
      <c r="A35" s="24"/>
      <c r="B35" s="20"/>
      <c r="C35" s="17"/>
      <c r="D35" s="20"/>
      <c r="E35" s="20"/>
      <c r="F35" s="19" t="str">
        <f t="shared" si="0"/>
        <v xml:space="preserve"> </v>
      </c>
      <c r="G35" s="19"/>
      <c r="H35" s="19" t="str">
        <f t="shared" si="1"/>
        <v xml:space="preserve"> </v>
      </c>
      <c r="I35" s="17"/>
      <c r="J35" s="20"/>
      <c r="K35" s="21" t="str">
        <f t="shared" si="31"/>
        <v xml:space="preserve"> </v>
      </c>
      <c r="L35" s="20"/>
      <c r="M35" s="20"/>
      <c r="N35" s="20"/>
      <c r="O35" s="20"/>
      <c r="P35" s="21" t="str">
        <f t="shared" si="52"/>
        <v xml:space="preserve"> </v>
      </c>
      <c r="Q35" s="21" t="str">
        <f t="shared" si="53"/>
        <v xml:space="preserve"> </v>
      </c>
      <c r="R35" s="19" t="str">
        <f t="shared" si="54"/>
        <v xml:space="preserve"> </v>
      </c>
      <c r="S35" s="20"/>
      <c r="T35" s="22" t="s">
        <v>7</v>
      </c>
      <c r="U35" s="2" t="e">
        <f t="shared" si="2"/>
        <v>#DIV/0!</v>
      </c>
      <c r="V35" s="2">
        <f t="shared" si="3"/>
        <v>6.2631578947368413E-2</v>
      </c>
      <c r="W35" s="2" t="e">
        <f t="shared" si="4"/>
        <v>#DIV/0!</v>
      </c>
      <c r="X35" s="2" t="e">
        <f t="shared" si="5"/>
        <v>#DIV/0!</v>
      </c>
      <c r="Y35" s="2" t="e">
        <f t="shared" si="6"/>
        <v>#DIV/0!</v>
      </c>
      <c r="Z35" s="2" t="e">
        <f t="shared" si="7"/>
        <v>#DIV/0!</v>
      </c>
      <c r="AA35" s="2" t="e">
        <f t="shared" si="8"/>
        <v>#DIV/0!</v>
      </c>
      <c r="AB35" s="2" t="e">
        <f t="shared" si="9"/>
        <v>#DIV/0!</v>
      </c>
      <c r="AE35" s="2" t="e">
        <f t="shared" si="10"/>
        <v>#VALUE!</v>
      </c>
      <c r="AF35" s="2">
        <f t="shared" si="11"/>
        <v>0</v>
      </c>
      <c r="AG35" s="2" t="e">
        <f t="shared" si="34"/>
        <v>#VALUE!</v>
      </c>
      <c r="AH35" s="2">
        <f t="shared" si="12"/>
        <v>0</v>
      </c>
      <c r="AI35" s="2" t="e">
        <f t="shared" si="35"/>
        <v>#VALUE!</v>
      </c>
      <c r="AJ35" s="2">
        <f t="shared" si="13"/>
        <v>0</v>
      </c>
      <c r="AK35" s="2" t="e">
        <f>IF(EXACT(#REF!,$S35),$R35,0)</f>
        <v>#REF!</v>
      </c>
      <c r="AL35" s="2">
        <f t="shared" si="14"/>
        <v>0</v>
      </c>
      <c r="AM35" s="2" t="e">
        <f t="shared" si="36"/>
        <v>#VALUE!</v>
      </c>
      <c r="AN35" s="2">
        <f t="shared" si="15"/>
        <v>0</v>
      </c>
      <c r="AO35" s="2" t="e">
        <f t="shared" si="37"/>
        <v>#VALUE!</v>
      </c>
      <c r="AP35" s="2">
        <f t="shared" si="16"/>
        <v>0</v>
      </c>
      <c r="AQ35" s="2" t="e">
        <f t="shared" si="38"/>
        <v>#VALUE!</v>
      </c>
      <c r="AR35" s="2">
        <f t="shared" si="17"/>
        <v>0</v>
      </c>
      <c r="AS35" s="2" t="e">
        <f t="shared" si="39"/>
        <v>#VALUE!</v>
      </c>
      <c r="AT35" s="2">
        <f t="shared" si="18"/>
        <v>0</v>
      </c>
      <c r="AU35" s="2" t="e">
        <f t="shared" si="40"/>
        <v>#VALUE!</v>
      </c>
      <c r="AV35" s="2">
        <f t="shared" si="19"/>
        <v>0</v>
      </c>
      <c r="AW35" s="2" t="e">
        <f t="shared" si="41"/>
        <v>#VALUE!</v>
      </c>
      <c r="AX35" s="2">
        <f t="shared" si="20"/>
        <v>0</v>
      </c>
      <c r="AY35" s="2" t="e">
        <f t="shared" si="42"/>
        <v>#VALUE!</v>
      </c>
      <c r="AZ35" s="2">
        <f t="shared" si="21"/>
        <v>0</v>
      </c>
      <c r="BA35" s="2" t="e">
        <f t="shared" si="43"/>
        <v>#VALUE!</v>
      </c>
      <c r="BB35" s="2">
        <f t="shared" si="22"/>
        <v>0</v>
      </c>
      <c r="BC35" s="2" t="e">
        <f t="shared" si="44"/>
        <v>#VALUE!</v>
      </c>
      <c r="BD35" s="2">
        <f t="shared" si="23"/>
        <v>0</v>
      </c>
      <c r="BE35" s="2" t="e">
        <f t="shared" si="45"/>
        <v>#VALUE!</v>
      </c>
      <c r="BF35" s="2">
        <f t="shared" si="24"/>
        <v>0</v>
      </c>
      <c r="BG35" s="2" t="e">
        <f t="shared" si="46"/>
        <v>#VALUE!</v>
      </c>
      <c r="BH35" s="2">
        <f t="shared" si="25"/>
        <v>0</v>
      </c>
      <c r="BI35" s="2" t="e">
        <f t="shared" si="47"/>
        <v>#VALUE!</v>
      </c>
      <c r="BJ35" s="2">
        <f t="shared" si="26"/>
        <v>0</v>
      </c>
      <c r="BK35" s="2" t="e">
        <f t="shared" si="48"/>
        <v>#VALUE!</v>
      </c>
      <c r="BL35" s="2">
        <f t="shared" si="27"/>
        <v>0</v>
      </c>
      <c r="BM35" s="2" t="e">
        <f t="shared" si="49"/>
        <v>#VALUE!</v>
      </c>
      <c r="BN35" s="2">
        <f t="shared" si="28"/>
        <v>0</v>
      </c>
      <c r="BO35" s="2" t="e">
        <f t="shared" si="50"/>
        <v>#VALUE!</v>
      </c>
      <c r="BP35" s="2">
        <f t="shared" si="29"/>
        <v>0</v>
      </c>
      <c r="BQ35" s="2" t="e">
        <f t="shared" si="51"/>
        <v>#VALUE!</v>
      </c>
      <c r="BR35" s="2">
        <f t="shared" si="30"/>
        <v>0</v>
      </c>
    </row>
    <row r="36" spans="1:70">
      <c r="A36" s="24"/>
      <c r="B36" s="20"/>
      <c r="C36" s="17"/>
      <c r="D36" s="20"/>
      <c r="E36" s="20"/>
      <c r="F36" s="19" t="str">
        <f t="shared" si="0"/>
        <v xml:space="preserve"> </v>
      </c>
      <c r="G36" s="19"/>
      <c r="H36" s="19" t="str">
        <f t="shared" si="1"/>
        <v xml:space="preserve"> </v>
      </c>
      <c r="I36" s="17"/>
      <c r="J36" s="20"/>
      <c r="K36" s="21" t="str">
        <f t="shared" si="31"/>
        <v xml:space="preserve"> </v>
      </c>
      <c r="L36" s="20"/>
      <c r="M36" s="20"/>
      <c r="N36" s="20"/>
      <c r="O36" s="20"/>
      <c r="P36" s="21" t="str">
        <f t="shared" si="52"/>
        <v xml:space="preserve"> </v>
      </c>
      <c r="Q36" s="21" t="str">
        <f t="shared" si="53"/>
        <v xml:space="preserve"> </v>
      </c>
      <c r="R36" s="19" t="str">
        <f t="shared" si="54"/>
        <v xml:space="preserve"> </v>
      </c>
      <c r="S36" s="20"/>
      <c r="T36" s="22" t="s">
        <v>7</v>
      </c>
      <c r="U36" s="2" t="e">
        <f t="shared" si="2"/>
        <v>#DIV/0!</v>
      </c>
      <c r="V36" s="2">
        <f t="shared" si="3"/>
        <v>6.2631578947368413E-2</v>
      </c>
      <c r="W36" s="2" t="e">
        <f t="shared" si="4"/>
        <v>#DIV/0!</v>
      </c>
      <c r="X36" s="2" t="e">
        <f t="shared" si="5"/>
        <v>#DIV/0!</v>
      </c>
      <c r="Y36" s="2" t="e">
        <f t="shared" si="6"/>
        <v>#DIV/0!</v>
      </c>
      <c r="Z36" s="2" t="e">
        <f t="shared" si="7"/>
        <v>#DIV/0!</v>
      </c>
      <c r="AA36" s="2" t="e">
        <f t="shared" si="8"/>
        <v>#DIV/0!</v>
      </c>
      <c r="AB36" s="2" t="e">
        <f t="shared" si="9"/>
        <v>#DIV/0!</v>
      </c>
      <c r="AE36" s="2" t="e">
        <f t="shared" si="10"/>
        <v>#VALUE!</v>
      </c>
      <c r="AF36" s="2">
        <f t="shared" si="11"/>
        <v>0</v>
      </c>
      <c r="AG36" s="2" t="e">
        <f t="shared" si="34"/>
        <v>#VALUE!</v>
      </c>
      <c r="AH36" s="2">
        <f t="shared" si="12"/>
        <v>0</v>
      </c>
      <c r="AI36" s="2" t="e">
        <f t="shared" si="35"/>
        <v>#VALUE!</v>
      </c>
      <c r="AJ36" s="2">
        <f t="shared" si="13"/>
        <v>0</v>
      </c>
      <c r="AK36" s="2" t="e">
        <f>IF(EXACT(#REF!,$S36),$R36,0)</f>
        <v>#REF!</v>
      </c>
      <c r="AL36" s="2">
        <f t="shared" si="14"/>
        <v>0</v>
      </c>
      <c r="AM36" s="2" t="e">
        <f t="shared" si="36"/>
        <v>#VALUE!</v>
      </c>
      <c r="AN36" s="2">
        <f t="shared" si="15"/>
        <v>0</v>
      </c>
      <c r="AO36" s="2" t="e">
        <f t="shared" si="37"/>
        <v>#VALUE!</v>
      </c>
      <c r="AP36" s="2">
        <f t="shared" si="16"/>
        <v>0</v>
      </c>
      <c r="AQ36" s="2" t="e">
        <f t="shared" si="38"/>
        <v>#VALUE!</v>
      </c>
      <c r="AR36" s="2">
        <f t="shared" si="17"/>
        <v>0</v>
      </c>
      <c r="AS36" s="2" t="e">
        <f t="shared" si="39"/>
        <v>#VALUE!</v>
      </c>
      <c r="AT36" s="2">
        <f t="shared" si="18"/>
        <v>0</v>
      </c>
      <c r="AU36" s="2" t="e">
        <f t="shared" si="40"/>
        <v>#VALUE!</v>
      </c>
      <c r="AV36" s="2">
        <f t="shared" si="19"/>
        <v>0</v>
      </c>
      <c r="AW36" s="2" t="e">
        <f t="shared" si="41"/>
        <v>#VALUE!</v>
      </c>
      <c r="AX36" s="2">
        <f t="shared" si="20"/>
        <v>0</v>
      </c>
      <c r="AY36" s="2" t="e">
        <f t="shared" si="42"/>
        <v>#VALUE!</v>
      </c>
      <c r="AZ36" s="2">
        <f t="shared" si="21"/>
        <v>0</v>
      </c>
      <c r="BA36" s="2" t="e">
        <f t="shared" si="43"/>
        <v>#VALUE!</v>
      </c>
      <c r="BB36" s="2">
        <f t="shared" si="22"/>
        <v>0</v>
      </c>
      <c r="BC36" s="2" t="e">
        <f t="shared" si="44"/>
        <v>#VALUE!</v>
      </c>
      <c r="BD36" s="2">
        <f t="shared" si="23"/>
        <v>0</v>
      </c>
      <c r="BE36" s="2" t="e">
        <f t="shared" si="45"/>
        <v>#VALUE!</v>
      </c>
      <c r="BF36" s="2">
        <f t="shared" si="24"/>
        <v>0</v>
      </c>
      <c r="BG36" s="2" t="e">
        <f t="shared" si="46"/>
        <v>#VALUE!</v>
      </c>
      <c r="BH36" s="2">
        <f t="shared" si="25"/>
        <v>0</v>
      </c>
      <c r="BI36" s="2" t="e">
        <f t="shared" si="47"/>
        <v>#VALUE!</v>
      </c>
      <c r="BJ36" s="2">
        <f t="shared" si="26"/>
        <v>0</v>
      </c>
      <c r="BK36" s="2" t="e">
        <f t="shared" si="48"/>
        <v>#VALUE!</v>
      </c>
      <c r="BL36" s="2">
        <f t="shared" si="27"/>
        <v>0</v>
      </c>
      <c r="BM36" s="2" t="e">
        <f t="shared" si="49"/>
        <v>#VALUE!</v>
      </c>
      <c r="BN36" s="2">
        <f t="shared" si="28"/>
        <v>0</v>
      </c>
      <c r="BO36" s="2" t="e">
        <f t="shared" si="50"/>
        <v>#VALUE!</v>
      </c>
      <c r="BP36" s="2">
        <f t="shared" si="29"/>
        <v>0</v>
      </c>
      <c r="BQ36" s="2" t="e">
        <f t="shared" si="51"/>
        <v>#VALUE!</v>
      </c>
      <c r="BR36" s="2">
        <f t="shared" si="30"/>
        <v>0</v>
      </c>
    </row>
    <row r="37" spans="1:70">
      <c r="A37" s="24"/>
      <c r="B37" s="20"/>
      <c r="C37" s="17"/>
      <c r="D37" s="20"/>
      <c r="E37" s="20"/>
      <c r="F37" s="19" t="str">
        <f t="shared" si="0"/>
        <v xml:space="preserve"> </v>
      </c>
      <c r="G37" s="19"/>
      <c r="H37" s="19" t="str">
        <f t="shared" si="1"/>
        <v xml:space="preserve"> </v>
      </c>
      <c r="I37" s="17"/>
      <c r="J37" s="20"/>
      <c r="K37" s="21" t="str">
        <f t="shared" si="31"/>
        <v xml:space="preserve"> </v>
      </c>
      <c r="L37" s="20"/>
      <c r="M37" s="20"/>
      <c r="N37" s="20"/>
      <c r="O37" s="20"/>
      <c r="P37" s="21" t="str">
        <f t="shared" si="52"/>
        <v xml:space="preserve"> </v>
      </c>
      <c r="Q37" s="21" t="str">
        <f t="shared" si="53"/>
        <v xml:space="preserve"> </v>
      </c>
      <c r="R37" s="19" t="str">
        <f t="shared" si="54"/>
        <v xml:space="preserve"> </v>
      </c>
      <c r="S37" s="20"/>
      <c r="T37" s="22" t="s">
        <v>7</v>
      </c>
      <c r="U37" s="2" t="e">
        <f t="shared" si="2"/>
        <v>#DIV/0!</v>
      </c>
      <c r="V37" s="2">
        <f t="shared" si="3"/>
        <v>6.2631578947368413E-2</v>
      </c>
      <c r="W37" s="2" t="e">
        <f t="shared" si="4"/>
        <v>#DIV/0!</v>
      </c>
      <c r="X37" s="2" t="e">
        <f t="shared" si="5"/>
        <v>#DIV/0!</v>
      </c>
      <c r="Y37" s="2" t="e">
        <f t="shared" si="6"/>
        <v>#DIV/0!</v>
      </c>
      <c r="Z37" s="2" t="e">
        <f t="shared" si="7"/>
        <v>#DIV/0!</v>
      </c>
      <c r="AA37" s="2" t="e">
        <f t="shared" si="8"/>
        <v>#DIV/0!</v>
      </c>
      <c r="AB37" s="2" t="e">
        <f t="shared" si="9"/>
        <v>#DIV/0!</v>
      </c>
      <c r="AE37" s="2" t="e">
        <f t="shared" si="10"/>
        <v>#VALUE!</v>
      </c>
      <c r="AF37" s="2">
        <f t="shared" si="11"/>
        <v>0</v>
      </c>
      <c r="AG37" s="2" t="e">
        <f t="shared" si="34"/>
        <v>#VALUE!</v>
      </c>
      <c r="AH37" s="2">
        <f t="shared" si="12"/>
        <v>0</v>
      </c>
      <c r="AI37" s="2" t="e">
        <f t="shared" si="35"/>
        <v>#VALUE!</v>
      </c>
      <c r="AJ37" s="2">
        <f t="shared" si="13"/>
        <v>0</v>
      </c>
      <c r="AK37" s="2" t="e">
        <f>IF(EXACT(#REF!,$S37),$R37,0)</f>
        <v>#REF!</v>
      </c>
      <c r="AL37" s="2">
        <f t="shared" si="14"/>
        <v>0</v>
      </c>
      <c r="AM37" s="2" t="e">
        <f t="shared" si="36"/>
        <v>#VALUE!</v>
      </c>
      <c r="AN37" s="2">
        <f t="shared" si="15"/>
        <v>0</v>
      </c>
      <c r="AO37" s="2" t="e">
        <f t="shared" si="37"/>
        <v>#VALUE!</v>
      </c>
      <c r="AP37" s="2">
        <f t="shared" si="16"/>
        <v>0</v>
      </c>
      <c r="AQ37" s="2" t="e">
        <f t="shared" si="38"/>
        <v>#VALUE!</v>
      </c>
      <c r="AR37" s="2">
        <f t="shared" si="17"/>
        <v>0</v>
      </c>
      <c r="AS37" s="2" t="e">
        <f t="shared" si="39"/>
        <v>#VALUE!</v>
      </c>
      <c r="AT37" s="2">
        <f t="shared" si="18"/>
        <v>0</v>
      </c>
      <c r="AU37" s="2" t="e">
        <f t="shared" si="40"/>
        <v>#VALUE!</v>
      </c>
      <c r="AV37" s="2">
        <f t="shared" si="19"/>
        <v>0</v>
      </c>
      <c r="AW37" s="2" t="e">
        <f t="shared" si="41"/>
        <v>#VALUE!</v>
      </c>
      <c r="AX37" s="2">
        <f t="shared" si="20"/>
        <v>0</v>
      </c>
      <c r="AY37" s="2" t="e">
        <f t="shared" si="42"/>
        <v>#VALUE!</v>
      </c>
      <c r="AZ37" s="2">
        <f t="shared" si="21"/>
        <v>0</v>
      </c>
      <c r="BA37" s="2" t="e">
        <f t="shared" si="43"/>
        <v>#VALUE!</v>
      </c>
      <c r="BB37" s="2">
        <f t="shared" si="22"/>
        <v>0</v>
      </c>
      <c r="BC37" s="2" t="e">
        <f t="shared" si="44"/>
        <v>#VALUE!</v>
      </c>
      <c r="BD37" s="2">
        <f t="shared" si="23"/>
        <v>0</v>
      </c>
      <c r="BE37" s="2" t="e">
        <f t="shared" si="45"/>
        <v>#VALUE!</v>
      </c>
      <c r="BF37" s="2">
        <f t="shared" si="24"/>
        <v>0</v>
      </c>
      <c r="BG37" s="2" t="e">
        <f t="shared" si="46"/>
        <v>#VALUE!</v>
      </c>
      <c r="BH37" s="2">
        <f t="shared" si="25"/>
        <v>0</v>
      </c>
      <c r="BI37" s="2" t="e">
        <f t="shared" si="47"/>
        <v>#VALUE!</v>
      </c>
      <c r="BJ37" s="2">
        <f t="shared" si="26"/>
        <v>0</v>
      </c>
      <c r="BK37" s="2" t="e">
        <f t="shared" si="48"/>
        <v>#VALUE!</v>
      </c>
      <c r="BL37" s="2">
        <f t="shared" si="27"/>
        <v>0</v>
      </c>
      <c r="BM37" s="2" t="e">
        <f t="shared" si="49"/>
        <v>#VALUE!</v>
      </c>
      <c r="BN37" s="2">
        <f t="shared" si="28"/>
        <v>0</v>
      </c>
      <c r="BO37" s="2" t="e">
        <f t="shared" si="50"/>
        <v>#VALUE!</v>
      </c>
      <c r="BP37" s="2">
        <f t="shared" si="29"/>
        <v>0</v>
      </c>
      <c r="BQ37" s="2" t="e">
        <f t="shared" si="51"/>
        <v>#VALUE!</v>
      </c>
      <c r="BR37" s="2">
        <f t="shared" si="30"/>
        <v>0</v>
      </c>
    </row>
    <row r="38" spans="1:70">
      <c r="A38" s="25"/>
      <c r="B38" s="26"/>
      <c r="C38" s="26"/>
      <c r="D38" s="26"/>
      <c r="E38" s="26"/>
      <c r="F38" s="19" t="str">
        <f t="shared" si="0"/>
        <v xml:space="preserve"> </v>
      </c>
      <c r="G38" s="19" t="str">
        <f>IF(AND(D38=0,E38=0)," ",BR40)</f>
        <v xml:space="preserve"> </v>
      </c>
      <c r="H38" s="19" t="str">
        <f t="shared" si="1"/>
        <v xml:space="preserve"> </v>
      </c>
      <c r="I38" s="26"/>
      <c r="J38" s="26"/>
      <c r="K38" s="21" t="str">
        <f t="shared" si="31"/>
        <v xml:space="preserve"> </v>
      </c>
      <c r="L38" s="26"/>
      <c r="M38" s="26"/>
      <c r="N38" s="26"/>
      <c r="O38" s="26"/>
      <c r="P38" s="21" t="str">
        <f t="shared" si="52"/>
        <v xml:space="preserve"> </v>
      </c>
      <c r="Q38" s="21" t="str">
        <f t="shared" si="53"/>
        <v xml:space="preserve"> </v>
      </c>
      <c r="R38" s="19" t="str">
        <f t="shared" si="54"/>
        <v xml:space="preserve"> </v>
      </c>
      <c r="S38" s="23" t="s">
        <v>7</v>
      </c>
      <c r="T38" s="22" t="s">
        <v>7</v>
      </c>
      <c r="U38" s="2" t="e">
        <f t="shared" si="2"/>
        <v>#DIV/0!</v>
      </c>
      <c r="V38" s="2">
        <f t="shared" si="3"/>
        <v>6.2631578947368413E-2</v>
      </c>
      <c r="W38" s="2" t="e">
        <f t="shared" si="4"/>
        <v>#DIV/0!</v>
      </c>
      <c r="X38" s="2" t="e">
        <f t="shared" si="5"/>
        <v>#DIV/0!</v>
      </c>
      <c r="Y38" s="2" t="e">
        <f t="shared" si="6"/>
        <v>#DIV/0!</v>
      </c>
      <c r="Z38" s="2" t="e">
        <f t="shared" si="7"/>
        <v>#DIV/0!</v>
      </c>
      <c r="AA38" s="2" t="e">
        <f t="shared" si="8"/>
        <v>#DIV/0!</v>
      </c>
      <c r="AB38" s="2" t="e">
        <f t="shared" si="9"/>
        <v>#DIV/0!</v>
      </c>
      <c r="AE38" s="2">
        <f t="shared" si="10"/>
        <v>0</v>
      </c>
      <c r="AF38" s="2">
        <f t="shared" si="11"/>
        <v>0</v>
      </c>
      <c r="AG38" s="2">
        <f t="shared" si="34"/>
        <v>0</v>
      </c>
      <c r="AH38" s="2">
        <f t="shared" si="12"/>
        <v>0</v>
      </c>
      <c r="AI38" s="2">
        <f t="shared" si="35"/>
        <v>0</v>
      </c>
      <c r="AJ38" s="2">
        <f t="shared" si="13"/>
        <v>0</v>
      </c>
      <c r="AK38" s="2" t="e">
        <f>IF(EXACT(#REF!,$S38),$R38,0)</f>
        <v>#REF!</v>
      </c>
      <c r="AL38" s="2">
        <f t="shared" si="14"/>
        <v>0</v>
      </c>
      <c r="AM38" s="2">
        <f t="shared" si="36"/>
        <v>0</v>
      </c>
      <c r="AN38" s="2">
        <f t="shared" si="15"/>
        <v>0</v>
      </c>
      <c r="AO38" s="2">
        <f t="shared" si="37"/>
        <v>0</v>
      </c>
      <c r="AP38" s="2">
        <f t="shared" si="16"/>
        <v>0</v>
      </c>
      <c r="AQ38" s="2" t="e">
        <f t="shared" si="38"/>
        <v>#VALUE!</v>
      </c>
      <c r="AR38" s="2">
        <f t="shared" si="17"/>
        <v>0</v>
      </c>
      <c r="AS38" s="2" t="e">
        <f t="shared" si="39"/>
        <v>#VALUE!</v>
      </c>
      <c r="AT38" s="2">
        <f t="shared" si="18"/>
        <v>0</v>
      </c>
      <c r="AU38" s="2" t="e">
        <f t="shared" si="40"/>
        <v>#VALUE!</v>
      </c>
      <c r="AV38" s="2">
        <f t="shared" si="19"/>
        <v>0</v>
      </c>
      <c r="AW38" s="2" t="e">
        <f t="shared" si="41"/>
        <v>#VALUE!</v>
      </c>
      <c r="AX38" s="2">
        <f t="shared" si="20"/>
        <v>0</v>
      </c>
      <c r="AY38" s="2" t="e">
        <f t="shared" si="42"/>
        <v>#VALUE!</v>
      </c>
      <c r="AZ38" s="2">
        <f t="shared" si="21"/>
        <v>0</v>
      </c>
      <c r="BA38" s="2" t="e">
        <f t="shared" si="43"/>
        <v>#VALUE!</v>
      </c>
      <c r="BB38" s="2">
        <f t="shared" si="22"/>
        <v>0</v>
      </c>
      <c r="BC38" s="2" t="e">
        <f t="shared" si="44"/>
        <v>#VALUE!</v>
      </c>
      <c r="BD38" s="2">
        <f t="shared" si="23"/>
        <v>0</v>
      </c>
      <c r="BE38" s="2" t="e">
        <f t="shared" si="45"/>
        <v>#VALUE!</v>
      </c>
      <c r="BF38" s="2">
        <f t="shared" si="24"/>
        <v>0</v>
      </c>
      <c r="BG38" s="2" t="e">
        <f t="shared" si="46"/>
        <v>#VALUE!</v>
      </c>
      <c r="BH38" s="2">
        <f t="shared" si="25"/>
        <v>0</v>
      </c>
      <c r="BI38" s="2" t="e">
        <f t="shared" si="47"/>
        <v>#VALUE!</v>
      </c>
      <c r="BJ38" s="2">
        <f t="shared" si="26"/>
        <v>0</v>
      </c>
      <c r="BK38" s="2" t="e">
        <f t="shared" si="48"/>
        <v>#VALUE!</v>
      </c>
      <c r="BL38" s="2">
        <f t="shared" si="27"/>
        <v>0</v>
      </c>
      <c r="BM38" s="2" t="e">
        <f t="shared" si="49"/>
        <v>#VALUE!</v>
      </c>
      <c r="BN38" s="2">
        <f t="shared" si="28"/>
        <v>0</v>
      </c>
      <c r="BO38" s="2" t="e">
        <f t="shared" si="50"/>
        <v>#VALUE!</v>
      </c>
      <c r="BP38" s="2">
        <f t="shared" si="29"/>
        <v>0</v>
      </c>
      <c r="BQ38" s="2" t="e">
        <f t="shared" si="51"/>
        <v>#VALUE!</v>
      </c>
      <c r="BR38" s="2">
        <f t="shared" si="30"/>
        <v>0</v>
      </c>
    </row>
    <row r="39" spans="1:70" ht="15.75" thickBot="1"/>
    <row r="40" spans="1:70" ht="15.75" thickTop="1">
      <c r="D40" s="27" t="s">
        <v>92</v>
      </c>
      <c r="E40" s="28"/>
      <c r="F40" s="28"/>
      <c r="G40" s="28"/>
      <c r="H40" s="29"/>
      <c r="L40" s="3" t="s">
        <v>93</v>
      </c>
      <c r="P40" s="3" t="s">
        <v>93</v>
      </c>
      <c r="Q40" s="3" t="s">
        <v>93</v>
      </c>
      <c r="R40" s="3" t="s">
        <v>94</v>
      </c>
      <c r="AF40" s="2">
        <f>SUM(AF11:AF38)</f>
        <v>1.0716574834710674E-3</v>
      </c>
      <c r="AH40" s="2">
        <f>SUM(AH11:AH38)</f>
        <v>0</v>
      </c>
      <c r="AJ40" s="2">
        <f>SUM(AJ11:AJ38)</f>
        <v>0</v>
      </c>
      <c r="AL40" s="2">
        <f>SUM(AL11:AL38)</f>
        <v>0</v>
      </c>
      <c r="AN40" s="2">
        <f>SUM(AN11:AN38)</f>
        <v>1.0043643586776849E-2</v>
      </c>
      <c r="AP40" s="2">
        <f>SUM(AP11:AP38)</f>
        <v>0</v>
      </c>
      <c r="AR40" s="2">
        <f>SUM(AR11:AR38)</f>
        <v>0</v>
      </c>
      <c r="AT40" s="2">
        <f>SUM(AT11:AT38)</f>
        <v>0</v>
      </c>
      <c r="AV40" s="2">
        <f>SUM(AV11:AV38)</f>
        <v>0</v>
      </c>
      <c r="AX40" s="2">
        <f>SUM(AX11:AX38)</f>
        <v>0</v>
      </c>
      <c r="AZ40" s="2">
        <f>SUM(AZ11:AZ38)</f>
        <v>0</v>
      </c>
      <c r="BB40" s="2">
        <f>SUM(BB11:BB38)</f>
        <v>0</v>
      </c>
      <c r="BD40" s="2">
        <f>SUM(BD11:BD38)</f>
        <v>0</v>
      </c>
      <c r="BF40" s="2">
        <f>SUM(BF11:BF38)</f>
        <v>0</v>
      </c>
      <c r="BH40" s="2">
        <f>SUM(BH11:BH38)</f>
        <v>0</v>
      </c>
      <c r="BJ40" s="2">
        <f>SUM(BJ11:BJ38)</f>
        <v>0</v>
      </c>
      <c r="BL40" s="2">
        <f>SUM(BL11:BL38)</f>
        <v>0</v>
      </c>
      <c r="BN40" s="2">
        <f>SUM(BN11:BN38)</f>
        <v>0</v>
      </c>
      <c r="BP40" s="2">
        <f>SUM(BP11:BP38)</f>
        <v>0</v>
      </c>
      <c r="BR40" s="2">
        <f>SUM(BR11:BR38)</f>
        <v>0</v>
      </c>
    </row>
    <row r="41" spans="1:70">
      <c r="D41" s="30" t="s">
        <v>95</v>
      </c>
      <c r="H41" s="31"/>
      <c r="L41" s="3" t="s">
        <v>96</v>
      </c>
      <c r="M41" s="3" t="s">
        <v>97</v>
      </c>
      <c r="N41" s="3"/>
      <c r="O41" s="3"/>
      <c r="P41" s="3" t="s">
        <v>98</v>
      </c>
      <c r="Q41" s="3" t="s">
        <v>99</v>
      </c>
      <c r="R41" s="3" t="s">
        <v>99</v>
      </c>
    </row>
    <row r="42" spans="1:70">
      <c r="D42" s="30" t="s">
        <v>100</v>
      </c>
      <c r="H42" s="31"/>
      <c r="L42" s="2">
        <f t="shared" ref="L42:L61" si="55">IF(ISERR(M42),Q42,M42)</f>
        <v>3.1679723149399908</v>
      </c>
      <c r="M42" s="2">
        <f>IF(EXACT($M$41,$M11),$P42,0)</f>
        <v>3.1679723149399908</v>
      </c>
      <c r="P42" s="2">
        <f>(K11/(2.3*(C11+1.8*$N$6)))^0.667/L11</f>
        <v>3.1679723149399908</v>
      </c>
      <c r="Q42" s="32" t="e">
        <f>((K11*$N$5)/(0.56*L11^1.67*M11^0.5))^0.3745</f>
        <v>#DIV/0!</v>
      </c>
      <c r="R42" s="2">
        <f>IF(P11=P42,100,+AB11*100)</f>
        <v>100</v>
      </c>
    </row>
    <row r="43" spans="1:70" ht="15.75" thickBot="1">
      <c r="D43" s="33" t="s">
        <v>101</v>
      </c>
      <c r="E43" s="34"/>
      <c r="F43" s="34"/>
      <c r="G43" s="34"/>
      <c r="H43" s="35"/>
      <c r="L43" s="2">
        <f t="shared" si="55"/>
        <v>3.8891945971511368</v>
      </c>
      <c r="M43" s="2" t="e">
        <f>IF(EXACT($M$41,$M13),$P43,0)</f>
        <v>#VALUE!</v>
      </c>
      <c r="P43" s="2">
        <f>(K13/(2.3*(C13+1.8*$N$6)))^0.667/L13</f>
        <v>3.1498760076494023</v>
      </c>
      <c r="Q43" s="32">
        <f>((K13*$N$5)/(0.56*L13^1.67*M13^0.5))^0.3745</f>
        <v>3.8891945971511368</v>
      </c>
      <c r="R43" s="2">
        <f>IF(P13=P43,100,+AB13*100)</f>
        <v>67.072507712410555</v>
      </c>
    </row>
    <row r="44" spans="1:70" ht="15.75" thickTop="1">
      <c r="L44" s="2">
        <f t="shared" si="55"/>
        <v>4.6569564331886451</v>
      </c>
      <c r="M44" s="2" t="e">
        <f>IF(EXACT($M$41,$M15),$P44,0)</f>
        <v>#VALUE!</v>
      </c>
      <c r="P44" s="2">
        <f>(K15/(2.3*(C15+1.8*$N$6)))^0.667/L15</f>
        <v>5.5932219088660595</v>
      </c>
      <c r="Q44" s="32">
        <f>((K15*$N$5)/(0.56*L15^1.67*M15^0.5))^0.3745</f>
        <v>4.6569564331886451</v>
      </c>
      <c r="R44" s="2">
        <f>IF(P15=P44,100,+AB15*100)</f>
        <v>58.463717870545139</v>
      </c>
    </row>
    <row r="45" spans="1:70">
      <c r="L45" s="2" t="e">
        <f t="shared" si="55"/>
        <v>#REF!</v>
      </c>
      <c r="M45" s="2" t="e">
        <f>IF(EXACT($M$41,#REF!),$P45,0)</f>
        <v>#REF!</v>
      </c>
      <c r="P45" s="2" t="e">
        <f>(#REF!/(2.3*(#REF!+1.8*$N$6)))^0.667/#REF!</f>
        <v>#REF!</v>
      </c>
      <c r="Q45" s="32" t="e">
        <f>((#REF!*$N$5)/(0.56*#REF!^1.67*#REF!^0.5))^0.3745</f>
        <v>#REF!</v>
      </c>
      <c r="R45" s="2" t="e">
        <f>IF(#REF!=P45,100,+#REF!*100)</f>
        <v>#REF!</v>
      </c>
    </row>
    <row r="46" spans="1:70">
      <c r="C46" s="3" t="s">
        <v>102</v>
      </c>
      <c r="D46" s="3" t="s">
        <v>103</v>
      </c>
      <c r="L46" s="2">
        <f t="shared" si="55"/>
        <v>5.3966307803962259</v>
      </c>
      <c r="M46" s="2">
        <f>IF(EXACT($M$41,$M17),$P46,0)</f>
        <v>5.3966307803962259</v>
      </c>
      <c r="P46" s="2">
        <f>(K17/(2.3*(C17+1.8*$N$6)))^0.667/L17</f>
        <v>5.3966307803962259</v>
      </c>
      <c r="Q46" s="32" t="e">
        <f>((K17*$N$5)/(0.56*L17^1.67*M17^0.5))^0.3745</f>
        <v>#DIV/0!</v>
      </c>
      <c r="R46" s="2">
        <f>IF(P17=P46,100,+AB17*100)</f>
        <v>100</v>
      </c>
    </row>
    <row r="47" spans="1:70">
      <c r="D47" s="3" t="s">
        <v>104</v>
      </c>
      <c r="L47" s="2">
        <f t="shared" si="55"/>
        <v>5.6726287633639796</v>
      </c>
      <c r="M47" s="2" t="e">
        <f>IF(EXACT($M$41,$M18),$P47,0)</f>
        <v>#VALUE!</v>
      </c>
      <c r="P47" s="2">
        <f>(K18/(2.3*(C18+1.8*$N$6)))^0.667/L18</f>
        <v>5.1590388671991807</v>
      </c>
      <c r="Q47" s="32">
        <f>((K18*$N$5)/(0.56*L18^1.67*M18^0.5))^0.3745</f>
        <v>5.6726287633639796</v>
      </c>
      <c r="R47" s="2">
        <f>IF(P18=P47,100,+AB18*100)</f>
        <v>59.399547291846957</v>
      </c>
    </row>
    <row r="48" spans="1:70">
      <c r="D48" s="3" t="s">
        <v>105</v>
      </c>
      <c r="G48" s="3" t="s">
        <v>106</v>
      </c>
      <c r="H48" s="3" t="s">
        <v>103</v>
      </c>
      <c r="L48" s="2" t="e">
        <f t="shared" si="55"/>
        <v>#DIV/0!</v>
      </c>
      <c r="M48" s="2" t="e">
        <f t="shared" ref="M48:M55" si="56">IF(EXACT($M$41,$M20),$P48,0)</f>
        <v>#VALUE!</v>
      </c>
      <c r="P48" s="2" t="e">
        <f t="shared" ref="P48:P54" si="57">(K20/(2.3*(C20+1.8*$N$6)))^0.667/L20</f>
        <v>#DIV/0!</v>
      </c>
      <c r="Q48" s="32" t="e">
        <f t="shared" ref="Q48:Q54" si="58">((K20*$N$5)/(0.56*L20^1.67*M20^0.5))^0.3745</f>
        <v>#DIV/0!</v>
      </c>
      <c r="R48" s="2" t="e">
        <f t="shared" ref="R48:R55" si="59">IF(P20=P48,100,+AB20*100)</f>
        <v>#DIV/0!</v>
      </c>
    </row>
    <row r="49" spans="1:18">
      <c r="D49" s="3" t="s">
        <v>107</v>
      </c>
      <c r="H49" s="3" t="s">
        <v>108</v>
      </c>
      <c r="L49" s="2" t="e">
        <f t="shared" si="55"/>
        <v>#DIV/0!</v>
      </c>
      <c r="M49" s="2" t="e">
        <f t="shared" si="56"/>
        <v>#VALUE!</v>
      </c>
      <c r="P49" s="2" t="e">
        <f t="shared" si="57"/>
        <v>#DIV/0!</v>
      </c>
      <c r="Q49" s="32" t="e">
        <f t="shared" si="58"/>
        <v>#DIV/0!</v>
      </c>
      <c r="R49" s="2" t="e">
        <f t="shared" si="59"/>
        <v>#DIV/0!</v>
      </c>
    </row>
    <row r="50" spans="1:18">
      <c r="D50" s="3" t="s">
        <v>109</v>
      </c>
      <c r="H50" s="3" t="s">
        <v>110</v>
      </c>
      <c r="L50" s="2" t="e">
        <f t="shared" si="55"/>
        <v>#DIV/0!</v>
      </c>
      <c r="M50" s="2" t="e">
        <f t="shared" si="56"/>
        <v>#VALUE!</v>
      </c>
      <c r="P50" s="2" t="e">
        <f t="shared" si="57"/>
        <v>#DIV/0!</v>
      </c>
      <c r="Q50" s="32" t="e">
        <f t="shared" si="58"/>
        <v>#DIV/0!</v>
      </c>
      <c r="R50" s="2" t="e">
        <f t="shared" si="59"/>
        <v>#DIV/0!</v>
      </c>
    </row>
    <row r="51" spans="1:18">
      <c r="H51" s="3" t="s">
        <v>111</v>
      </c>
      <c r="L51" s="2" t="e">
        <f t="shared" si="55"/>
        <v>#DIV/0!</v>
      </c>
      <c r="M51" s="2" t="e">
        <f t="shared" si="56"/>
        <v>#VALUE!</v>
      </c>
      <c r="P51" s="2" t="e">
        <f t="shared" si="57"/>
        <v>#DIV/0!</v>
      </c>
      <c r="Q51" s="32" t="e">
        <f t="shared" si="58"/>
        <v>#DIV/0!</v>
      </c>
      <c r="R51" s="2" t="e">
        <f t="shared" si="59"/>
        <v>#DIV/0!</v>
      </c>
    </row>
    <row r="52" spans="1:18">
      <c r="D52" s="3" t="s">
        <v>7</v>
      </c>
      <c r="L52" s="2" t="e">
        <f t="shared" si="55"/>
        <v>#DIV/0!</v>
      </c>
      <c r="M52" s="2" t="e">
        <f t="shared" si="56"/>
        <v>#VALUE!</v>
      </c>
      <c r="P52" s="2" t="e">
        <f t="shared" si="57"/>
        <v>#DIV/0!</v>
      </c>
      <c r="Q52" s="32" t="e">
        <f t="shared" si="58"/>
        <v>#DIV/0!</v>
      </c>
      <c r="R52" s="2" t="e">
        <f t="shared" si="59"/>
        <v>#DIV/0!</v>
      </c>
    </row>
    <row r="53" spans="1:18">
      <c r="G53" s="3" t="s">
        <v>112</v>
      </c>
      <c r="H53" s="3" t="s">
        <v>113</v>
      </c>
      <c r="L53" s="2" t="e">
        <f t="shared" si="55"/>
        <v>#DIV/0!</v>
      </c>
      <c r="M53" s="2" t="e">
        <f t="shared" si="56"/>
        <v>#VALUE!</v>
      </c>
      <c r="P53" s="2" t="e">
        <f t="shared" si="57"/>
        <v>#DIV/0!</v>
      </c>
      <c r="Q53" s="32" t="e">
        <f t="shared" si="58"/>
        <v>#DIV/0!</v>
      </c>
      <c r="R53" s="2" t="e">
        <f t="shared" si="59"/>
        <v>#DIV/0!</v>
      </c>
    </row>
    <row r="54" spans="1:18">
      <c r="H54" s="3" t="s">
        <v>114</v>
      </c>
      <c r="L54" s="2" t="e">
        <f t="shared" si="55"/>
        <v>#DIV/0!</v>
      </c>
      <c r="M54" s="2" t="e">
        <f t="shared" si="56"/>
        <v>#VALUE!</v>
      </c>
      <c r="P54" s="2" t="e">
        <f t="shared" si="57"/>
        <v>#DIV/0!</v>
      </c>
      <c r="Q54" s="32" t="e">
        <f t="shared" si="58"/>
        <v>#DIV/0!</v>
      </c>
      <c r="R54" s="2" t="e">
        <f t="shared" si="59"/>
        <v>#DIV/0!</v>
      </c>
    </row>
    <row r="55" spans="1:18">
      <c r="L55" s="2" t="e">
        <f t="shared" si="55"/>
        <v>#DIV/0!</v>
      </c>
      <c r="M55" s="2" t="e">
        <f t="shared" si="56"/>
        <v>#VALUE!</v>
      </c>
      <c r="P55" s="2" t="e">
        <f>(K27/(2.3*(C27+1.8*$N$6)))^0.667/L27</f>
        <v>#DIV/0!</v>
      </c>
      <c r="Q55" s="32" t="e">
        <f>((K27*$N$5)/(0.56*L27^1.67*M27^0.5))^0.3745</f>
        <v>#DIV/0!</v>
      </c>
      <c r="R55" s="2" t="e">
        <f t="shared" si="59"/>
        <v>#DIV/0!</v>
      </c>
    </row>
    <row r="56" spans="1:18">
      <c r="A56" s="3" t="s">
        <v>115</v>
      </c>
      <c r="B56" s="3"/>
      <c r="C56" s="3" t="s">
        <v>103</v>
      </c>
      <c r="L56" s="2" t="e">
        <f t="shared" si="55"/>
        <v>#DIV/0!</v>
      </c>
      <c r="M56" s="2" t="e">
        <f t="shared" ref="M56:M61" si="60">IF(EXACT($M$41,$M33),$P56,0)</f>
        <v>#VALUE!</v>
      </c>
      <c r="P56" s="2" t="e">
        <f t="shared" ref="P56:P61" si="61">(K33/(2.3*(C33+1.8*$N$6)))^0.667/L33</f>
        <v>#DIV/0!</v>
      </c>
      <c r="Q56" s="32" t="e">
        <f t="shared" ref="Q56:Q61" si="62">((K33*$N$5)/(0.56*L33^1.67*M33^0.5))^0.3745</f>
        <v>#DIV/0!</v>
      </c>
      <c r="R56" s="2" t="e">
        <f t="shared" ref="R56:R61" si="63">IF(P33=P56,100,+AB33*100)</f>
        <v>#DIV/0!</v>
      </c>
    </row>
    <row r="57" spans="1:18">
      <c r="C57" s="3" t="s">
        <v>116</v>
      </c>
      <c r="L57" s="2" t="e">
        <f t="shared" si="55"/>
        <v>#DIV/0!</v>
      </c>
      <c r="M57" s="2" t="e">
        <f t="shared" si="60"/>
        <v>#VALUE!</v>
      </c>
      <c r="P57" s="2" t="e">
        <f t="shared" si="61"/>
        <v>#DIV/0!</v>
      </c>
      <c r="Q57" s="32" t="e">
        <f t="shared" si="62"/>
        <v>#DIV/0!</v>
      </c>
      <c r="R57" s="2" t="e">
        <f t="shared" si="63"/>
        <v>#DIV/0!</v>
      </c>
    </row>
    <row r="58" spans="1:18">
      <c r="C58" s="3" t="s">
        <v>117</v>
      </c>
      <c r="L58" s="2" t="e">
        <f t="shared" si="55"/>
        <v>#DIV/0!</v>
      </c>
      <c r="M58" s="2" t="e">
        <f t="shared" si="60"/>
        <v>#VALUE!</v>
      </c>
      <c r="P58" s="2" t="e">
        <f t="shared" si="61"/>
        <v>#DIV/0!</v>
      </c>
      <c r="Q58" s="32" t="e">
        <f t="shared" si="62"/>
        <v>#DIV/0!</v>
      </c>
      <c r="R58" s="2" t="e">
        <f t="shared" si="63"/>
        <v>#DIV/0!</v>
      </c>
    </row>
    <row r="59" spans="1:18">
      <c r="C59" s="3" t="s">
        <v>118</v>
      </c>
      <c r="L59" s="2" t="e">
        <f t="shared" si="55"/>
        <v>#DIV/0!</v>
      </c>
      <c r="M59" s="2" t="e">
        <f t="shared" si="60"/>
        <v>#VALUE!</v>
      </c>
      <c r="P59" s="2" t="e">
        <f t="shared" si="61"/>
        <v>#DIV/0!</v>
      </c>
      <c r="Q59" s="32" t="e">
        <f t="shared" si="62"/>
        <v>#DIV/0!</v>
      </c>
      <c r="R59" s="2" t="e">
        <f t="shared" si="63"/>
        <v>#DIV/0!</v>
      </c>
    </row>
    <row r="60" spans="1:18">
      <c r="C60" s="3" t="s">
        <v>119</v>
      </c>
      <c r="L60" s="2" t="e">
        <f t="shared" si="55"/>
        <v>#DIV/0!</v>
      </c>
      <c r="M60" s="2" t="e">
        <f t="shared" si="60"/>
        <v>#VALUE!</v>
      </c>
      <c r="P60" s="2" t="e">
        <f t="shared" si="61"/>
        <v>#DIV/0!</v>
      </c>
      <c r="Q60" s="32" t="e">
        <f t="shared" si="62"/>
        <v>#DIV/0!</v>
      </c>
      <c r="R60" s="2" t="e">
        <f t="shared" si="63"/>
        <v>#DIV/0!</v>
      </c>
    </row>
    <row r="61" spans="1:18">
      <c r="C61" s="3" t="s">
        <v>120</v>
      </c>
      <c r="L61" s="2" t="e">
        <f t="shared" si="55"/>
        <v>#DIV/0!</v>
      </c>
      <c r="M61" s="2" t="e">
        <f t="shared" si="60"/>
        <v>#VALUE!</v>
      </c>
      <c r="P61" s="2" t="e">
        <f t="shared" si="61"/>
        <v>#DIV/0!</v>
      </c>
      <c r="Q61" s="32" t="e">
        <f t="shared" si="62"/>
        <v>#DIV/0!</v>
      </c>
      <c r="R61" s="2" t="e">
        <f t="shared" si="63"/>
        <v>#DIV/0!</v>
      </c>
    </row>
    <row r="62" spans="1:18">
      <c r="C62" s="3" t="s">
        <v>121</v>
      </c>
    </row>
    <row r="63" spans="1:18">
      <c r="C63" s="3" t="s">
        <v>122</v>
      </c>
    </row>
    <row r="64" spans="1:18">
      <c r="C64" s="3" t="s">
        <v>123</v>
      </c>
    </row>
    <row r="65" spans="3:8">
      <c r="C65" s="3" t="s">
        <v>124</v>
      </c>
    </row>
    <row r="66" spans="3:8">
      <c r="C66" s="3" t="s">
        <v>125</v>
      </c>
    </row>
    <row r="67" spans="3:8">
      <c r="C67" s="3" t="s">
        <v>126</v>
      </c>
      <c r="G67" s="3" t="s">
        <v>127</v>
      </c>
      <c r="H67" s="3" t="s">
        <v>128</v>
      </c>
    </row>
    <row r="68" spans="3:8">
      <c r="C68" s="3" t="s">
        <v>109</v>
      </c>
    </row>
    <row r="83" spans="1:19">
      <c r="A83" s="3" t="s">
        <v>53</v>
      </c>
      <c r="B83" s="3"/>
      <c r="D83" s="36" t="s">
        <v>129</v>
      </c>
      <c r="I83" s="3" t="s">
        <v>130</v>
      </c>
      <c r="K83" s="3" t="s">
        <v>54</v>
      </c>
      <c r="P83" s="7">
        <v>0.125</v>
      </c>
      <c r="Q83" s="3" t="s">
        <v>55</v>
      </c>
    </row>
    <row r="84" spans="1:19">
      <c r="M84" s="3" t="s">
        <v>57</v>
      </c>
      <c r="N84" s="3"/>
      <c r="O84" s="3"/>
      <c r="P84" s="7">
        <v>1.4999999999999999E-2</v>
      </c>
    </row>
    <row r="85" spans="1:19">
      <c r="A85" s="3" t="s">
        <v>59</v>
      </c>
      <c r="B85" s="3"/>
      <c r="D85" s="36" t="s">
        <v>131</v>
      </c>
      <c r="L85" s="3" t="s">
        <v>61</v>
      </c>
      <c r="P85" s="7">
        <v>1</v>
      </c>
      <c r="Q85" s="3" t="s">
        <v>55</v>
      </c>
    </row>
    <row r="87" spans="1:19">
      <c r="A87" s="37" t="s">
        <v>4</v>
      </c>
      <c r="B87" s="37"/>
      <c r="C87" s="37" t="s">
        <v>4</v>
      </c>
      <c r="D87" s="37" t="s">
        <v>21</v>
      </c>
      <c r="G87" s="37" t="s">
        <v>64</v>
      </c>
      <c r="H87" s="37" t="s">
        <v>2</v>
      </c>
      <c r="I87" s="37" t="s">
        <v>65</v>
      </c>
      <c r="J87" s="37" t="s">
        <v>66</v>
      </c>
      <c r="K87" s="37" t="s">
        <v>45</v>
      </c>
      <c r="L87" s="37" t="s">
        <v>67</v>
      </c>
      <c r="M87" s="37" t="s">
        <v>68</v>
      </c>
      <c r="N87" s="37"/>
      <c r="O87" s="37"/>
      <c r="P87" s="37" t="s">
        <v>69</v>
      </c>
      <c r="Q87" s="37" t="s">
        <v>70</v>
      </c>
      <c r="R87" s="37" t="s">
        <v>64</v>
      </c>
      <c r="S87" s="37" t="s">
        <v>64</v>
      </c>
    </row>
    <row r="88" spans="1:19">
      <c r="A88" s="37" t="s">
        <v>77</v>
      </c>
      <c r="B88" s="37"/>
      <c r="C88" s="37" t="s">
        <v>1</v>
      </c>
      <c r="D88" s="3" t="s">
        <v>78</v>
      </c>
      <c r="E88" s="37" t="s">
        <v>79</v>
      </c>
      <c r="F88" s="37" t="s">
        <v>80</v>
      </c>
      <c r="G88" s="37" t="s">
        <v>80</v>
      </c>
      <c r="H88" s="37" t="s">
        <v>80</v>
      </c>
      <c r="I88" s="37" t="s">
        <v>81</v>
      </c>
      <c r="J88" s="37" t="s">
        <v>82</v>
      </c>
      <c r="K88" s="37" t="s">
        <v>83</v>
      </c>
      <c r="L88" s="37" t="s">
        <v>84</v>
      </c>
      <c r="M88" s="37" t="s">
        <v>84</v>
      </c>
      <c r="N88" s="37"/>
      <c r="O88" s="37"/>
      <c r="P88" s="37" t="s">
        <v>85</v>
      </c>
      <c r="Q88" s="37" t="s">
        <v>86</v>
      </c>
      <c r="R88" s="37" t="s">
        <v>80</v>
      </c>
      <c r="S88" s="37" t="s">
        <v>8</v>
      </c>
    </row>
    <row r="90" spans="1:19">
      <c r="A90" s="36" t="s">
        <v>91</v>
      </c>
      <c r="B90" s="36"/>
      <c r="C90" s="38">
        <v>20</v>
      </c>
      <c r="D90" s="39">
        <v>1.58</v>
      </c>
      <c r="E90" s="39">
        <v>0.35</v>
      </c>
      <c r="F90" s="40">
        <v>0.55300000000000005</v>
      </c>
      <c r="G90" s="40">
        <v>0</v>
      </c>
      <c r="H90" s="40">
        <v>0.55300000000000005</v>
      </c>
      <c r="I90" s="38">
        <v>8.8000000000000007</v>
      </c>
      <c r="J90" s="7">
        <v>4.55</v>
      </c>
      <c r="K90" s="32">
        <v>2.5161500000000001</v>
      </c>
      <c r="L90" s="7">
        <v>1.7999999999999999E-2</v>
      </c>
      <c r="M90" s="7">
        <v>7.0999999999999994E-2</v>
      </c>
      <c r="N90" s="7"/>
      <c r="O90" s="7"/>
      <c r="P90" s="32">
        <v>7.3723545072728598</v>
      </c>
      <c r="Q90" s="32">
        <v>80.544401925362806</v>
      </c>
      <c r="R90" s="40">
        <v>0.107589457352744</v>
      </c>
      <c r="S90" s="36" t="s">
        <v>132</v>
      </c>
    </row>
    <row r="91" spans="1:19">
      <c r="A91" s="36" t="s">
        <v>133</v>
      </c>
      <c r="B91" s="36"/>
      <c r="C91" s="38">
        <v>15</v>
      </c>
      <c r="D91" s="39">
        <v>1.74</v>
      </c>
      <c r="E91" s="39">
        <v>0.41</v>
      </c>
      <c r="F91" s="40">
        <v>0.71340000000000003</v>
      </c>
      <c r="G91" s="40">
        <v>0</v>
      </c>
      <c r="H91" s="40">
        <v>0.71340000000000003</v>
      </c>
      <c r="I91" s="38">
        <v>7.75</v>
      </c>
      <c r="J91" s="7">
        <v>4.7699999999999996</v>
      </c>
      <c r="K91" s="32">
        <v>3.4029180000000001</v>
      </c>
      <c r="L91" s="7">
        <v>0.06</v>
      </c>
      <c r="M91" s="7">
        <v>3.5999999999999997E-2</v>
      </c>
      <c r="N91" s="7"/>
      <c r="O91" s="7"/>
      <c r="P91" s="32">
        <v>4.4149219847824099</v>
      </c>
      <c r="Q91" s="32">
        <v>91.041647961783795</v>
      </c>
      <c r="R91" s="40">
        <v>6.3908883440634306E-2</v>
      </c>
      <c r="S91" s="36" t="s">
        <v>134</v>
      </c>
    </row>
    <row r="92" spans="1:19">
      <c r="A92" s="36" t="s">
        <v>134</v>
      </c>
      <c r="B92" s="36"/>
      <c r="C92" s="38">
        <v>20</v>
      </c>
      <c r="D92" s="39">
        <v>2.36</v>
      </c>
      <c r="E92" s="39">
        <v>0.37</v>
      </c>
      <c r="F92" s="40">
        <v>0.87319999999999998</v>
      </c>
      <c r="G92" s="40">
        <v>6.3908883440634306E-2</v>
      </c>
      <c r="H92" s="40">
        <v>0.93710888344063403</v>
      </c>
      <c r="I92" s="38">
        <v>8.6</v>
      </c>
      <c r="J92" s="7">
        <v>4.5999999999999996</v>
      </c>
      <c r="K92" s="32">
        <v>4.31070086382692</v>
      </c>
      <c r="L92" s="7">
        <v>0.04</v>
      </c>
      <c r="M92" s="7">
        <v>0.02</v>
      </c>
      <c r="N92" s="7"/>
      <c r="O92" s="7"/>
      <c r="P92" s="32">
        <v>6.9392530944413702</v>
      </c>
      <c r="Q92" s="32">
        <v>95.427031335951099</v>
      </c>
      <c r="R92" s="40">
        <v>4.2853695587758998E-2</v>
      </c>
      <c r="S92" s="36" t="s">
        <v>135</v>
      </c>
    </row>
    <row r="93" spans="1:19">
      <c r="A93" s="36" t="s">
        <v>135</v>
      </c>
      <c r="B93" s="36"/>
      <c r="C93" s="38">
        <v>20</v>
      </c>
      <c r="D93" s="39">
        <v>0.83</v>
      </c>
      <c r="E93" s="39">
        <v>0.42</v>
      </c>
      <c r="F93" s="40">
        <v>0.34860000000000002</v>
      </c>
      <c r="G93" s="40">
        <v>4.2853695587758998E-2</v>
      </c>
      <c r="H93" s="40">
        <v>0.391453695587759</v>
      </c>
      <c r="I93" s="38">
        <v>6.2</v>
      </c>
      <c r="J93" s="7">
        <v>5.0599999999999996</v>
      </c>
      <c r="K93" s="32">
        <v>1.9807556996740601</v>
      </c>
      <c r="L93" s="7">
        <v>1.4E-2</v>
      </c>
      <c r="M93" s="7">
        <v>0.02</v>
      </c>
      <c r="N93" s="7"/>
      <c r="O93" s="7"/>
      <c r="P93" s="32">
        <v>9.9996409340445194</v>
      </c>
      <c r="Q93" s="32">
        <v>94.1800559811158</v>
      </c>
      <c r="R93" s="40">
        <v>2.2782385943060798E-2</v>
      </c>
      <c r="S93" s="36" t="s">
        <v>136</v>
      </c>
    </row>
    <row r="94" spans="1:19">
      <c r="A94" s="36" t="s">
        <v>136</v>
      </c>
      <c r="B94" s="36"/>
      <c r="C94" s="38">
        <v>20</v>
      </c>
      <c r="D94" s="7">
        <v>1.43</v>
      </c>
      <c r="E94" s="7">
        <v>0.35</v>
      </c>
      <c r="F94" s="40">
        <v>0.50049999999999994</v>
      </c>
      <c r="G94" s="40">
        <v>2.2782385943060798E-2</v>
      </c>
      <c r="H94" s="40">
        <v>0.52328238594306098</v>
      </c>
      <c r="I94" s="38">
        <v>6.6</v>
      </c>
      <c r="J94" s="7">
        <v>4.93</v>
      </c>
      <c r="K94" s="32">
        <v>2.5797821626992898</v>
      </c>
      <c r="L94" s="7">
        <v>1.7000000000000001E-2</v>
      </c>
      <c r="M94" s="7">
        <v>2.5999999999999999E-2</v>
      </c>
      <c r="N94" s="7"/>
      <c r="O94" s="7"/>
      <c r="P94" s="32">
        <v>9.3086700253709207</v>
      </c>
      <c r="Q94" s="32">
        <v>87.415515728016402</v>
      </c>
      <c r="R94" s="40">
        <v>6.5852389557064905E-2</v>
      </c>
      <c r="S94" s="36" t="s">
        <v>137</v>
      </c>
    </row>
    <row r="95" spans="1:19">
      <c r="A95" s="36" t="s">
        <v>137</v>
      </c>
      <c r="B95" s="36"/>
      <c r="C95" s="38">
        <v>20</v>
      </c>
      <c r="D95" s="7">
        <v>2.5499999999999998</v>
      </c>
      <c r="E95" s="7">
        <v>0.36</v>
      </c>
      <c r="F95" s="40">
        <v>0.91800000000000004</v>
      </c>
      <c r="G95" s="40">
        <v>6.5852389557064905E-2</v>
      </c>
      <c r="H95" s="40">
        <v>0.983852389557065</v>
      </c>
      <c r="I95" s="38">
        <v>9.25</v>
      </c>
      <c r="J95" s="7">
        <v>4.46</v>
      </c>
      <c r="K95" s="32">
        <v>4.3879816574245103</v>
      </c>
      <c r="L95" s="7">
        <v>3.1E-2</v>
      </c>
      <c r="M95" s="7">
        <v>3.3000000000000002E-2</v>
      </c>
      <c r="N95" s="7"/>
      <c r="O95" s="7"/>
      <c r="P95" s="32">
        <v>7.4595257990191897</v>
      </c>
      <c r="Q95" s="32">
        <v>83.000141413753795</v>
      </c>
      <c r="R95" s="40">
        <v>0.16725351492210599</v>
      </c>
      <c r="S95" s="36" t="s">
        <v>138</v>
      </c>
    </row>
    <row r="96" spans="1:19">
      <c r="A96" s="36" t="s">
        <v>138</v>
      </c>
      <c r="B96" s="36"/>
      <c r="C96" s="38">
        <v>20</v>
      </c>
      <c r="D96" s="7">
        <v>2.89</v>
      </c>
      <c r="E96" s="7">
        <v>0.41</v>
      </c>
      <c r="F96" s="40">
        <v>1.1849000000000001</v>
      </c>
      <c r="G96" s="40">
        <v>0.16725351492210599</v>
      </c>
      <c r="H96" s="40">
        <v>1.35215351492211</v>
      </c>
      <c r="I96" s="38">
        <v>9.3000000000000007</v>
      </c>
      <c r="J96" s="7">
        <v>4.45</v>
      </c>
      <c r="K96" s="32">
        <v>6.0170831414033703</v>
      </c>
      <c r="L96" s="7">
        <v>0.04</v>
      </c>
      <c r="M96" s="7">
        <v>3.5999999999999997E-2</v>
      </c>
      <c r="N96" s="7"/>
      <c r="O96" s="7"/>
      <c r="P96" s="32">
        <v>7.0429536341066603</v>
      </c>
      <c r="Q96" s="32">
        <v>80.4097954456454</v>
      </c>
      <c r="R96" s="40">
        <v>0.26488963946213701</v>
      </c>
      <c r="S96" s="36" t="s">
        <v>139</v>
      </c>
    </row>
    <row r="97" spans="1:19">
      <c r="A97" s="36" t="s">
        <v>140</v>
      </c>
      <c r="B97" s="36"/>
      <c r="C97" s="38">
        <v>10</v>
      </c>
      <c r="D97" s="7">
        <v>0.12</v>
      </c>
      <c r="E97" s="7">
        <v>0.86</v>
      </c>
      <c r="F97" s="40">
        <v>0.1032</v>
      </c>
      <c r="G97" s="40">
        <v>6.5070571849340699E-3</v>
      </c>
      <c r="H97" s="40">
        <v>0.109707057184934</v>
      </c>
      <c r="I97" s="38">
        <v>5</v>
      </c>
      <c r="J97" s="7">
        <v>5.38</v>
      </c>
      <c r="K97" s="32">
        <v>0.590223967654945</v>
      </c>
      <c r="L97" s="7">
        <v>0.02</v>
      </c>
      <c r="M97" s="7">
        <v>1.0999999999999999E-2</v>
      </c>
      <c r="N97" s="7"/>
      <c r="O97" s="7"/>
      <c r="P97" s="32">
        <v>5.6859902730203897</v>
      </c>
      <c r="Q97" s="32">
        <v>100</v>
      </c>
      <c r="R97" s="40">
        <v>0</v>
      </c>
      <c r="S97" s="36" t="s">
        <v>141</v>
      </c>
    </row>
    <row r="98" spans="1:19">
      <c r="A98" s="36" t="s">
        <v>142</v>
      </c>
      <c r="B98" s="36"/>
      <c r="C98" s="38">
        <v>10</v>
      </c>
      <c r="D98" s="7">
        <v>0.17</v>
      </c>
      <c r="E98" s="7">
        <v>0.86</v>
      </c>
      <c r="F98" s="40">
        <v>0.1462</v>
      </c>
      <c r="G98" s="40">
        <v>0</v>
      </c>
      <c r="H98" s="40">
        <v>0.1462</v>
      </c>
      <c r="I98" s="38">
        <v>5</v>
      </c>
      <c r="J98" s="7">
        <v>5.38</v>
      </c>
      <c r="K98" s="32">
        <v>0.78655600000000003</v>
      </c>
      <c r="L98" s="7">
        <v>0.02</v>
      </c>
      <c r="M98" s="7">
        <v>1.7999999999999999E-2</v>
      </c>
      <c r="N98" s="7"/>
      <c r="O98" s="7"/>
      <c r="P98" s="32">
        <v>5.7738043365877498</v>
      </c>
      <c r="Q98" s="32">
        <v>95.549208491837206</v>
      </c>
      <c r="R98" s="40">
        <v>6.5070571849340699E-3</v>
      </c>
      <c r="S98" s="36" t="s">
        <v>140</v>
      </c>
    </row>
    <row r="99" spans="1:19">
      <c r="A99" s="36" t="s">
        <v>143</v>
      </c>
      <c r="B99" s="36"/>
      <c r="C99" s="38">
        <v>15</v>
      </c>
      <c r="D99" s="7">
        <v>0.15</v>
      </c>
      <c r="E99" s="7">
        <v>0.86</v>
      </c>
      <c r="F99" s="40">
        <v>0.129</v>
      </c>
      <c r="G99" s="40">
        <v>0</v>
      </c>
      <c r="H99" s="40">
        <v>0.129</v>
      </c>
      <c r="I99" s="38">
        <v>5</v>
      </c>
      <c r="J99" s="7">
        <v>5.38</v>
      </c>
      <c r="K99" s="32">
        <v>0.69401999999999997</v>
      </c>
      <c r="L99" s="7">
        <v>0.02</v>
      </c>
      <c r="M99" s="7">
        <v>4.2000000000000003E-2</v>
      </c>
      <c r="N99" s="7"/>
      <c r="O99" s="7"/>
      <c r="P99" s="32">
        <v>4.7011213825744003</v>
      </c>
      <c r="Q99" s="32">
        <v>100</v>
      </c>
      <c r="R99" s="40">
        <v>0</v>
      </c>
      <c r="S99" s="36" t="s">
        <v>142</v>
      </c>
    </row>
    <row r="100" spans="1:19">
      <c r="A100" s="36" t="s">
        <v>144</v>
      </c>
      <c r="B100" s="36"/>
      <c r="C100" s="38">
        <v>20</v>
      </c>
      <c r="D100" s="7">
        <v>1.53</v>
      </c>
      <c r="E100" s="7">
        <v>0.41</v>
      </c>
      <c r="F100" s="40">
        <v>0.62729999999999997</v>
      </c>
      <c r="G100" s="40">
        <v>0</v>
      </c>
      <c r="H100" s="40">
        <v>0.62729999999999997</v>
      </c>
      <c r="I100" s="38">
        <v>8.8000000000000007</v>
      </c>
      <c r="J100" s="7">
        <v>4.55</v>
      </c>
      <c r="K100" s="32">
        <v>2.8542149999999999</v>
      </c>
      <c r="L100" s="7">
        <v>2.9000000000000001E-2</v>
      </c>
      <c r="M100" s="7">
        <v>4.4999999999999998E-2</v>
      </c>
      <c r="N100" s="7"/>
      <c r="O100" s="7"/>
      <c r="P100" s="32">
        <v>6.2467602281872496</v>
      </c>
      <c r="Q100" s="32">
        <v>89.907892014203</v>
      </c>
      <c r="R100" s="40">
        <v>6.3307793394904402E-2</v>
      </c>
      <c r="S100" s="36" t="s">
        <v>145</v>
      </c>
    </row>
    <row r="101" spans="1:19">
      <c r="A101" s="36" t="s">
        <v>145</v>
      </c>
      <c r="B101" s="36"/>
      <c r="C101" s="38">
        <v>20</v>
      </c>
      <c r="D101" s="7">
        <v>1.44</v>
      </c>
      <c r="E101" s="7">
        <v>0.39</v>
      </c>
      <c r="F101" s="40">
        <v>0.56159999999999999</v>
      </c>
      <c r="G101" s="40">
        <v>6.3307793394904402E-2</v>
      </c>
      <c r="H101" s="40">
        <v>0.62490779339490399</v>
      </c>
      <c r="I101" s="38">
        <v>8.1</v>
      </c>
      <c r="J101" s="7">
        <v>4.7300000000000004</v>
      </c>
      <c r="K101" s="32">
        <v>2.9558138627578998</v>
      </c>
      <c r="L101" s="7">
        <v>3.5999999999999997E-2</v>
      </c>
      <c r="M101" s="7">
        <v>4.5999999999999999E-2</v>
      </c>
      <c r="N101" s="7"/>
      <c r="O101" s="7"/>
      <c r="P101" s="32">
        <v>5.5058832101917696</v>
      </c>
      <c r="Q101" s="32">
        <v>93.180166268126996</v>
      </c>
      <c r="R101" s="40">
        <v>4.2617672487049202E-2</v>
      </c>
      <c r="S101" s="36" t="s">
        <v>146</v>
      </c>
    </row>
    <row r="102" spans="1:19">
      <c r="A102" s="36" t="s">
        <v>146</v>
      </c>
      <c r="B102" s="36"/>
      <c r="C102" s="38">
        <v>15</v>
      </c>
      <c r="D102" s="7">
        <v>0.95</v>
      </c>
      <c r="E102" s="7">
        <v>0.41</v>
      </c>
      <c r="F102" s="40">
        <v>0.38950000000000001</v>
      </c>
      <c r="G102" s="40">
        <v>4.2617672487049202E-2</v>
      </c>
      <c r="H102" s="40">
        <v>0.43211767248704902</v>
      </c>
      <c r="I102" s="38">
        <v>8.9</v>
      </c>
      <c r="J102" s="7">
        <v>4.53</v>
      </c>
      <c r="K102" s="32">
        <v>1.95749305636633</v>
      </c>
      <c r="L102" s="7">
        <v>5.0999999999999997E-2</v>
      </c>
      <c r="M102" s="7">
        <v>0.05</v>
      </c>
      <c r="N102" s="7"/>
      <c r="O102" s="7"/>
      <c r="P102" s="32">
        <v>3.7360644678766302</v>
      </c>
      <c r="Q102" s="32">
        <v>96.851265620306293</v>
      </c>
      <c r="R102" s="40">
        <v>1.3606237714331801E-2</v>
      </c>
      <c r="S102" s="36" t="s">
        <v>147</v>
      </c>
    </row>
    <row r="103" spans="1:19">
      <c r="A103" s="36" t="s">
        <v>148</v>
      </c>
      <c r="B103" s="36"/>
      <c r="C103" s="38">
        <v>15</v>
      </c>
      <c r="D103" s="7">
        <v>1.01</v>
      </c>
      <c r="E103" s="7">
        <v>0.51</v>
      </c>
      <c r="F103" s="40">
        <v>0.5151</v>
      </c>
      <c r="G103" s="40">
        <v>0</v>
      </c>
      <c r="H103" s="40">
        <v>0.5151</v>
      </c>
      <c r="I103" s="38">
        <v>10.5</v>
      </c>
      <c r="J103" s="7">
        <v>4.2699999999999996</v>
      </c>
      <c r="K103" s="32">
        <v>2.1994769999999999</v>
      </c>
      <c r="L103" s="7">
        <v>6.5000000000000002E-2</v>
      </c>
      <c r="M103" s="7">
        <v>4.4999999999999998E-2</v>
      </c>
      <c r="N103" s="7"/>
      <c r="O103" s="7"/>
      <c r="P103" s="32">
        <v>3.4202364803929699</v>
      </c>
      <c r="Q103" s="32">
        <v>98.8934652596555</v>
      </c>
      <c r="R103" s="40">
        <v>5.6997604475143701E-3</v>
      </c>
      <c r="S103" s="36" t="s">
        <v>147</v>
      </c>
    </row>
    <row r="104" spans="1:19">
      <c r="A104" s="36" t="s">
        <v>149</v>
      </c>
      <c r="B104" s="36"/>
      <c r="C104" s="38">
        <v>10</v>
      </c>
      <c r="D104" s="7">
        <v>0.2</v>
      </c>
      <c r="E104" s="7">
        <v>0.86</v>
      </c>
      <c r="F104" s="40">
        <v>0.17199999999999999</v>
      </c>
      <c r="G104" s="40">
        <v>0</v>
      </c>
      <c r="H104" s="40">
        <v>0.17199999999999999</v>
      </c>
      <c r="I104" s="38">
        <v>5</v>
      </c>
      <c r="J104" s="7">
        <v>5.38</v>
      </c>
      <c r="K104" s="32">
        <v>0.92535999999999996</v>
      </c>
      <c r="L104" s="7">
        <v>2.9000000000000001E-2</v>
      </c>
      <c r="M104" s="7">
        <v>4.7E-2</v>
      </c>
      <c r="N104" s="7"/>
      <c r="O104" s="7"/>
      <c r="P104" s="32">
        <v>4.0637048590953597</v>
      </c>
      <c r="Q104" s="32">
        <v>89.653330864124698</v>
      </c>
      <c r="R104" s="40">
        <v>1.77962709137055E-2</v>
      </c>
      <c r="S104" s="36" t="s">
        <v>150</v>
      </c>
    </row>
    <row r="105" spans="1:19">
      <c r="A105" s="36" t="s">
        <v>150</v>
      </c>
      <c r="B105" s="36"/>
      <c r="C105" s="38">
        <v>20</v>
      </c>
      <c r="D105" s="7">
        <v>0.43</v>
      </c>
      <c r="E105" s="7">
        <v>0.86</v>
      </c>
      <c r="F105" s="40">
        <v>0.36980000000000002</v>
      </c>
      <c r="G105" s="40">
        <v>1.77962709137055E-2</v>
      </c>
      <c r="H105" s="40">
        <v>0.38759627091370502</v>
      </c>
      <c r="I105" s="38">
        <v>5</v>
      </c>
      <c r="J105" s="7">
        <v>5.38</v>
      </c>
      <c r="K105" s="32">
        <v>2.0852679375157401</v>
      </c>
      <c r="L105" s="7">
        <v>1.7999999999999999E-2</v>
      </c>
      <c r="M105" s="7">
        <v>0.03</v>
      </c>
      <c r="N105" s="7"/>
      <c r="O105" s="7"/>
      <c r="P105" s="32">
        <v>8.0744634014334</v>
      </c>
      <c r="Q105" s="32">
        <v>93.625413967820407</v>
      </c>
      <c r="R105" s="40">
        <v>2.4707657746914299E-2</v>
      </c>
      <c r="S105" s="36" t="s">
        <v>151</v>
      </c>
    </row>
    <row r="106" spans="1:19">
      <c r="A106" s="36" t="s">
        <v>147</v>
      </c>
      <c r="B106" s="36"/>
      <c r="C106" s="38">
        <v>20</v>
      </c>
      <c r="D106" s="7">
        <v>0.72</v>
      </c>
      <c r="E106" s="7">
        <v>0.86</v>
      </c>
      <c r="F106" s="40">
        <v>0.61919999999999997</v>
      </c>
      <c r="G106" s="40">
        <v>1.9305998161846201E-2</v>
      </c>
      <c r="H106" s="40">
        <v>0.63850599816184594</v>
      </c>
      <c r="I106" s="38">
        <v>5</v>
      </c>
      <c r="J106" s="7">
        <v>5.38</v>
      </c>
      <c r="K106" s="32">
        <v>3.4351622701107298</v>
      </c>
      <c r="L106" s="7">
        <v>2.4E-2</v>
      </c>
      <c r="M106" s="7">
        <v>2.5000000000000001E-2</v>
      </c>
      <c r="N106" s="7"/>
      <c r="O106" s="7"/>
      <c r="P106" s="32">
        <v>8.4137175351745501</v>
      </c>
      <c r="Q106" s="32">
        <v>86.756539073019297</v>
      </c>
      <c r="R106" s="40">
        <v>8.4560292382992494E-2</v>
      </c>
      <c r="S106" s="36" t="s">
        <v>141</v>
      </c>
    </row>
    <row r="107" spans="1:19">
      <c r="A107" s="36" t="s">
        <v>151</v>
      </c>
      <c r="B107" s="36"/>
      <c r="C107" s="38">
        <v>15</v>
      </c>
      <c r="D107" s="7">
        <v>0.44</v>
      </c>
      <c r="E107" s="7">
        <v>0.45</v>
      </c>
      <c r="F107" s="40">
        <v>0.19800000000000001</v>
      </c>
      <c r="G107" s="40">
        <v>2.4707657746914299E-2</v>
      </c>
      <c r="H107" s="40">
        <v>0.22270765774691401</v>
      </c>
      <c r="I107" s="38">
        <v>5.35</v>
      </c>
      <c r="J107" s="7">
        <v>5.3</v>
      </c>
      <c r="K107" s="32">
        <v>1.1803505860586501</v>
      </c>
      <c r="L107" s="7">
        <v>2.1999999999999999E-2</v>
      </c>
      <c r="M107" s="7">
        <v>3.2000000000000001E-2</v>
      </c>
      <c r="N107" s="7"/>
      <c r="O107" s="7"/>
      <c r="P107" s="32">
        <v>5.6859400061749099</v>
      </c>
      <c r="Q107" s="32">
        <v>99.173204319338495</v>
      </c>
      <c r="R107" s="40">
        <v>1.84133729475393E-3</v>
      </c>
      <c r="S107" s="36" t="s">
        <v>141</v>
      </c>
    </row>
    <row r="108" spans="1:19">
      <c r="A108" s="36" t="s">
        <v>152</v>
      </c>
      <c r="B108" s="36"/>
      <c r="C108" s="38">
        <v>15</v>
      </c>
      <c r="D108" s="7">
        <v>0.25</v>
      </c>
      <c r="E108" s="7">
        <v>0.51</v>
      </c>
      <c r="F108" s="40">
        <v>0.1275</v>
      </c>
      <c r="G108" s="40">
        <v>0</v>
      </c>
      <c r="H108" s="40">
        <v>0.1275</v>
      </c>
      <c r="I108" s="38">
        <v>5</v>
      </c>
      <c r="J108" s="7">
        <v>5.38</v>
      </c>
      <c r="K108" s="32">
        <v>0.68594999999999995</v>
      </c>
      <c r="L108" s="7">
        <v>1.4999999999999999E-2</v>
      </c>
      <c r="M108" s="7">
        <v>5.5E-2</v>
      </c>
      <c r="N108" s="7"/>
      <c r="O108" s="7"/>
      <c r="P108" s="32">
        <v>5.3273135452583897</v>
      </c>
      <c r="Q108" s="32">
        <v>100</v>
      </c>
      <c r="R108" s="40">
        <v>0</v>
      </c>
      <c r="S108" s="36" t="s">
        <v>141</v>
      </c>
    </row>
    <row r="109" spans="1:19">
      <c r="F109" s="41" t="s">
        <v>7</v>
      </c>
      <c r="G109" s="41" t="s">
        <v>7</v>
      </c>
      <c r="H109" s="41" t="s">
        <v>7</v>
      </c>
      <c r="K109" s="22" t="s">
        <v>7</v>
      </c>
      <c r="P109" s="22" t="s">
        <v>7</v>
      </c>
      <c r="Q109" s="22" t="s">
        <v>7</v>
      </c>
      <c r="R109" s="41" t="s">
        <v>7</v>
      </c>
      <c r="S109" s="36" t="s">
        <v>7</v>
      </c>
    </row>
  </sheetData>
  <mergeCells count="1">
    <mergeCell ref="A10:S10"/>
  </mergeCells>
  <printOptions gridLinesSet="0"/>
  <pageMargins left="0.5" right="0.5" top="0.5" bottom="0.55000000000000004" header="0.5" footer="0.5"/>
  <pageSetup scale="52" orientation="landscape" horizontalDpi="2400" verticalDpi="2400" r:id="rId1"/>
  <headerFooter alignWithMargins="0">
    <oddFooter>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51D2-A924-45D7-BA96-56A409DE1657}">
  <sheetPr>
    <tabColor rgb="FF00B050"/>
    <pageSetUpPr fitToPage="1"/>
  </sheetPr>
  <dimension ref="A1:AY54"/>
  <sheetViews>
    <sheetView view="pageBreakPreview" topLeftCell="A8" zoomScale="80" zoomScaleNormal="90" zoomScaleSheetLayoutView="80" workbookViewId="0">
      <selection activeCell="J15" sqref="J15"/>
    </sheetView>
  </sheetViews>
  <sheetFormatPr defaultRowHeight="12.75"/>
  <cols>
    <col min="1" max="1" width="14.73046875" style="235" bestFit="1" customWidth="1"/>
    <col min="2" max="2" width="18.1328125" style="235" customWidth="1"/>
    <col min="3" max="3" width="9.265625" style="147" customWidth="1"/>
    <col min="4" max="5" width="10.265625" style="147" customWidth="1"/>
    <col min="6" max="7" width="8.1328125" style="148" customWidth="1"/>
    <col min="8" max="9" width="8.265625" style="147" customWidth="1"/>
    <col min="10" max="10" width="10.59765625" style="147" customWidth="1"/>
    <col min="11" max="11" width="12.73046875" style="147" customWidth="1"/>
    <col min="12" max="12" width="9.3984375" style="147" customWidth="1"/>
    <col min="13" max="13" width="9.1328125" style="147" customWidth="1"/>
    <col min="14" max="14" width="8.73046875" style="147" customWidth="1"/>
    <col min="15" max="15" width="13.3984375" style="147" customWidth="1"/>
    <col min="16" max="17" width="10.73046875" style="153" customWidth="1"/>
    <col min="18" max="18" width="8.3984375" style="153" customWidth="1"/>
    <col min="19" max="22" width="10.73046875" style="147" customWidth="1"/>
    <col min="23" max="23" width="12.1328125" style="147" customWidth="1"/>
    <col min="24" max="24" width="14" style="147" customWidth="1"/>
    <col min="25" max="25" width="11.3984375" style="147" customWidth="1"/>
    <col min="26" max="26" width="10.73046875" style="147" customWidth="1"/>
    <col min="27" max="31" width="9.1328125" style="147"/>
    <col min="32" max="32" width="11.59765625" style="147" customWidth="1"/>
    <col min="33" max="260" width="9.1328125" style="147"/>
    <col min="261" max="261" width="11.59765625" style="147" customWidth="1"/>
    <col min="262" max="262" width="11.73046875" style="147" customWidth="1"/>
    <col min="263" max="263" width="9.265625" style="147" customWidth="1"/>
    <col min="264" max="264" width="9" style="147" customWidth="1"/>
    <col min="265" max="265" width="10.265625" style="147" customWidth="1"/>
    <col min="266" max="267" width="8.1328125" style="147" customWidth="1"/>
    <col min="268" max="269" width="8.265625" style="147" customWidth="1"/>
    <col min="270" max="270" width="10.59765625" style="147" customWidth="1"/>
    <col min="271" max="271" width="12.73046875" style="147" customWidth="1"/>
    <col min="272" max="272" width="9.3984375" style="147" customWidth="1"/>
    <col min="273" max="273" width="7.59765625" style="147" customWidth="1"/>
    <col min="274" max="274" width="8.73046875" style="147" customWidth="1"/>
    <col min="275" max="275" width="13.3984375" style="147" customWidth="1"/>
    <col min="276" max="278" width="10.73046875" style="147" customWidth="1"/>
    <col min="279" max="279" width="12.1328125" style="147" customWidth="1"/>
    <col min="280" max="280" width="14" style="147" customWidth="1"/>
    <col min="281" max="281" width="11.3984375" style="147" customWidth="1"/>
    <col min="282" max="282" width="10.73046875" style="147" customWidth="1"/>
    <col min="283" max="516" width="9.1328125" style="147"/>
    <col min="517" max="517" width="11.59765625" style="147" customWidth="1"/>
    <col min="518" max="518" width="11.73046875" style="147" customWidth="1"/>
    <col min="519" max="519" width="9.265625" style="147" customWidth="1"/>
    <col min="520" max="520" width="9" style="147" customWidth="1"/>
    <col min="521" max="521" width="10.265625" style="147" customWidth="1"/>
    <col min="522" max="523" width="8.1328125" style="147" customWidth="1"/>
    <col min="524" max="525" width="8.265625" style="147" customWidth="1"/>
    <col min="526" max="526" width="10.59765625" style="147" customWidth="1"/>
    <col min="527" max="527" width="12.73046875" style="147" customWidth="1"/>
    <col min="528" max="528" width="9.3984375" style="147" customWidth="1"/>
    <col min="529" max="529" width="7.59765625" style="147" customWidth="1"/>
    <col min="530" max="530" width="8.73046875" style="147" customWidth="1"/>
    <col min="531" max="531" width="13.3984375" style="147" customWidth="1"/>
    <col min="532" max="534" width="10.73046875" style="147" customWidth="1"/>
    <col min="535" max="535" width="12.1328125" style="147" customWidth="1"/>
    <col min="536" max="536" width="14" style="147" customWidth="1"/>
    <col min="537" max="537" width="11.3984375" style="147" customWidth="1"/>
    <col min="538" max="538" width="10.73046875" style="147" customWidth="1"/>
    <col min="539" max="772" width="9.1328125" style="147"/>
    <col min="773" max="773" width="11.59765625" style="147" customWidth="1"/>
    <col min="774" max="774" width="11.73046875" style="147" customWidth="1"/>
    <col min="775" max="775" width="9.265625" style="147" customWidth="1"/>
    <col min="776" max="776" width="9" style="147" customWidth="1"/>
    <col min="777" max="777" width="10.265625" style="147" customWidth="1"/>
    <col min="778" max="779" width="8.1328125" style="147" customWidth="1"/>
    <col min="780" max="781" width="8.265625" style="147" customWidth="1"/>
    <col min="782" max="782" width="10.59765625" style="147" customWidth="1"/>
    <col min="783" max="783" width="12.73046875" style="147" customWidth="1"/>
    <col min="784" max="784" width="9.3984375" style="147" customWidth="1"/>
    <col min="785" max="785" width="7.59765625" style="147" customWidth="1"/>
    <col min="786" max="786" width="8.73046875" style="147" customWidth="1"/>
    <col min="787" max="787" width="13.3984375" style="147" customWidth="1"/>
    <col min="788" max="790" width="10.73046875" style="147" customWidth="1"/>
    <col min="791" max="791" width="12.1328125" style="147" customWidth="1"/>
    <col min="792" max="792" width="14" style="147" customWidth="1"/>
    <col min="793" max="793" width="11.3984375" style="147" customWidth="1"/>
    <col min="794" max="794" width="10.73046875" style="147" customWidth="1"/>
    <col min="795" max="1028" width="9.1328125" style="147"/>
    <col min="1029" max="1029" width="11.59765625" style="147" customWidth="1"/>
    <col min="1030" max="1030" width="11.73046875" style="147" customWidth="1"/>
    <col min="1031" max="1031" width="9.265625" style="147" customWidth="1"/>
    <col min="1032" max="1032" width="9" style="147" customWidth="1"/>
    <col min="1033" max="1033" width="10.265625" style="147" customWidth="1"/>
    <col min="1034" max="1035" width="8.1328125" style="147" customWidth="1"/>
    <col min="1036" max="1037" width="8.265625" style="147" customWidth="1"/>
    <col min="1038" max="1038" width="10.59765625" style="147" customWidth="1"/>
    <col min="1039" max="1039" width="12.73046875" style="147" customWidth="1"/>
    <col min="1040" max="1040" width="9.3984375" style="147" customWidth="1"/>
    <col min="1041" max="1041" width="7.59765625" style="147" customWidth="1"/>
    <col min="1042" max="1042" width="8.73046875" style="147" customWidth="1"/>
    <col min="1043" max="1043" width="13.3984375" style="147" customWidth="1"/>
    <col min="1044" max="1046" width="10.73046875" style="147" customWidth="1"/>
    <col min="1047" max="1047" width="12.1328125" style="147" customWidth="1"/>
    <col min="1048" max="1048" width="14" style="147" customWidth="1"/>
    <col min="1049" max="1049" width="11.3984375" style="147" customWidth="1"/>
    <col min="1050" max="1050" width="10.73046875" style="147" customWidth="1"/>
    <col min="1051" max="1284" width="9.1328125" style="147"/>
    <col min="1285" max="1285" width="11.59765625" style="147" customWidth="1"/>
    <col min="1286" max="1286" width="11.73046875" style="147" customWidth="1"/>
    <col min="1287" max="1287" width="9.265625" style="147" customWidth="1"/>
    <col min="1288" max="1288" width="9" style="147" customWidth="1"/>
    <col min="1289" max="1289" width="10.265625" style="147" customWidth="1"/>
    <col min="1290" max="1291" width="8.1328125" style="147" customWidth="1"/>
    <col min="1292" max="1293" width="8.265625" style="147" customWidth="1"/>
    <col min="1294" max="1294" width="10.59765625" style="147" customWidth="1"/>
    <col min="1295" max="1295" width="12.73046875" style="147" customWidth="1"/>
    <col min="1296" max="1296" width="9.3984375" style="147" customWidth="1"/>
    <col min="1297" max="1297" width="7.59765625" style="147" customWidth="1"/>
    <col min="1298" max="1298" width="8.73046875" style="147" customWidth="1"/>
    <col min="1299" max="1299" width="13.3984375" style="147" customWidth="1"/>
    <col min="1300" max="1302" width="10.73046875" style="147" customWidth="1"/>
    <col min="1303" max="1303" width="12.1328125" style="147" customWidth="1"/>
    <col min="1304" max="1304" width="14" style="147" customWidth="1"/>
    <col min="1305" max="1305" width="11.3984375" style="147" customWidth="1"/>
    <col min="1306" max="1306" width="10.73046875" style="147" customWidth="1"/>
    <col min="1307" max="1540" width="9.1328125" style="147"/>
    <col min="1541" max="1541" width="11.59765625" style="147" customWidth="1"/>
    <col min="1542" max="1542" width="11.73046875" style="147" customWidth="1"/>
    <col min="1543" max="1543" width="9.265625" style="147" customWidth="1"/>
    <col min="1544" max="1544" width="9" style="147" customWidth="1"/>
    <col min="1545" max="1545" width="10.265625" style="147" customWidth="1"/>
    <col min="1546" max="1547" width="8.1328125" style="147" customWidth="1"/>
    <col min="1548" max="1549" width="8.265625" style="147" customWidth="1"/>
    <col min="1550" max="1550" width="10.59765625" style="147" customWidth="1"/>
    <col min="1551" max="1551" width="12.73046875" style="147" customWidth="1"/>
    <col min="1552" max="1552" width="9.3984375" style="147" customWidth="1"/>
    <col min="1553" max="1553" width="7.59765625" style="147" customWidth="1"/>
    <col min="1554" max="1554" width="8.73046875" style="147" customWidth="1"/>
    <col min="1555" max="1555" width="13.3984375" style="147" customWidth="1"/>
    <col min="1556" max="1558" width="10.73046875" style="147" customWidth="1"/>
    <col min="1559" max="1559" width="12.1328125" style="147" customWidth="1"/>
    <col min="1560" max="1560" width="14" style="147" customWidth="1"/>
    <col min="1561" max="1561" width="11.3984375" style="147" customWidth="1"/>
    <col min="1562" max="1562" width="10.73046875" style="147" customWidth="1"/>
    <col min="1563" max="1796" width="9.1328125" style="147"/>
    <col min="1797" max="1797" width="11.59765625" style="147" customWidth="1"/>
    <col min="1798" max="1798" width="11.73046875" style="147" customWidth="1"/>
    <col min="1799" max="1799" width="9.265625" style="147" customWidth="1"/>
    <col min="1800" max="1800" width="9" style="147" customWidth="1"/>
    <col min="1801" max="1801" width="10.265625" style="147" customWidth="1"/>
    <col min="1802" max="1803" width="8.1328125" style="147" customWidth="1"/>
    <col min="1804" max="1805" width="8.265625" style="147" customWidth="1"/>
    <col min="1806" max="1806" width="10.59765625" style="147" customWidth="1"/>
    <col min="1807" max="1807" width="12.73046875" style="147" customWidth="1"/>
    <col min="1808" max="1808" width="9.3984375" style="147" customWidth="1"/>
    <col min="1809" max="1809" width="7.59765625" style="147" customWidth="1"/>
    <col min="1810" max="1810" width="8.73046875" style="147" customWidth="1"/>
    <col min="1811" max="1811" width="13.3984375" style="147" customWidth="1"/>
    <col min="1812" max="1814" width="10.73046875" style="147" customWidth="1"/>
    <col min="1815" max="1815" width="12.1328125" style="147" customWidth="1"/>
    <col min="1816" max="1816" width="14" style="147" customWidth="1"/>
    <col min="1817" max="1817" width="11.3984375" style="147" customWidth="1"/>
    <col min="1818" max="1818" width="10.73046875" style="147" customWidth="1"/>
    <col min="1819" max="2052" width="9.1328125" style="147"/>
    <col min="2053" max="2053" width="11.59765625" style="147" customWidth="1"/>
    <col min="2054" max="2054" width="11.73046875" style="147" customWidth="1"/>
    <col min="2055" max="2055" width="9.265625" style="147" customWidth="1"/>
    <col min="2056" max="2056" width="9" style="147" customWidth="1"/>
    <col min="2057" max="2057" width="10.265625" style="147" customWidth="1"/>
    <col min="2058" max="2059" width="8.1328125" style="147" customWidth="1"/>
    <col min="2060" max="2061" width="8.265625" style="147" customWidth="1"/>
    <col min="2062" max="2062" width="10.59765625" style="147" customWidth="1"/>
    <col min="2063" max="2063" width="12.73046875" style="147" customWidth="1"/>
    <col min="2064" max="2064" width="9.3984375" style="147" customWidth="1"/>
    <col min="2065" max="2065" width="7.59765625" style="147" customWidth="1"/>
    <col min="2066" max="2066" width="8.73046875" style="147" customWidth="1"/>
    <col min="2067" max="2067" width="13.3984375" style="147" customWidth="1"/>
    <col min="2068" max="2070" width="10.73046875" style="147" customWidth="1"/>
    <col min="2071" max="2071" width="12.1328125" style="147" customWidth="1"/>
    <col min="2072" max="2072" width="14" style="147" customWidth="1"/>
    <col min="2073" max="2073" width="11.3984375" style="147" customWidth="1"/>
    <col min="2074" max="2074" width="10.73046875" style="147" customWidth="1"/>
    <col min="2075" max="2308" width="9.1328125" style="147"/>
    <col min="2309" max="2309" width="11.59765625" style="147" customWidth="1"/>
    <col min="2310" max="2310" width="11.73046875" style="147" customWidth="1"/>
    <col min="2311" max="2311" width="9.265625" style="147" customWidth="1"/>
    <col min="2312" max="2312" width="9" style="147" customWidth="1"/>
    <col min="2313" max="2313" width="10.265625" style="147" customWidth="1"/>
    <col min="2314" max="2315" width="8.1328125" style="147" customWidth="1"/>
    <col min="2316" max="2317" width="8.265625" style="147" customWidth="1"/>
    <col min="2318" max="2318" width="10.59765625" style="147" customWidth="1"/>
    <col min="2319" max="2319" width="12.73046875" style="147" customWidth="1"/>
    <col min="2320" max="2320" width="9.3984375" style="147" customWidth="1"/>
    <col min="2321" max="2321" width="7.59765625" style="147" customWidth="1"/>
    <col min="2322" max="2322" width="8.73046875" style="147" customWidth="1"/>
    <col min="2323" max="2323" width="13.3984375" style="147" customWidth="1"/>
    <col min="2324" max="2326" width="10.73046875" style="147" customWidth="1"/>
    <col min="2327" max="2327" width="12.1328125" style="147" customWidth="1"/>
    <col min="2328" max="2328" width="14" style="147" customWidth="1"/>
    <col min="2329" max="2329" width="11.3984375" style="147" customWidth="1"/>
    <col min="2330" max="2330" width="10.73046875" style="147" customWidth="1"/>
    <col min="2331" max="2564" width="9.1328125" style="147"/>
    <col min="2565" max="2565" width="11.59765625" style="147" customWidth="1"/>
    <col min="2566" max="2566" width="11.73046875" style="147" customWidth="1"/>
    <col min="2567" max="2567" width="9.265625" style="147" customWidth="1"/>
    <col min="2568" max="2568" width="9" style="147" customWidth="1"/>
    <col min="2569" max="2569" width="10.265625" style="147" customWidth="1"/>
    <col min="2570" max="2571" width="8.1328125" style="147" customWidth="1"/>
    <col min="2572" max="2573" width="8.265625" style="147" customWidth="1"/>
    <col min="2574" max="2574" width="10.59765625" style="147" customWidth="1"/>
    <col min="2575" max="2575" width="12.73046875" style="147" customWidth="1"/>
    <col min="2576" max="2576" width="9.3984375" style="147" customWidth="1"/>
    <col min="2577" max="2577" width="7.59765625" style="147" customWidth="1"/>
    <col min="2578" max="2578" width="8.73046875" style="147" customWidth="1"/>
    <col min="2579" max="2579" width="13.3984375" style="147" customWidth="1"/>
    <col min="2580" max="2582" width="10.73046875" style="147" customWidth="1"/>
    <col min="2583" max="2583" width="12.1328125" style="147" customWidth="1"/>
    <col min="2584" max="2584" width="14" style="147" customWidth="1"/>
    <col min="2585" max="2585" width="11.3984375" style="147" customWidth="1"/>
    <col min="2586" max="2586" width="10.73046875" style="147" customWidth="1"/>
    <col min="2587" max="2820" width="9.1328125" style="147"/>
    <col min="2821" max="2821" width="11.59765625" style="147" customWidth="1"/>
    <col min="2822" max="2822" width="11.73046875" style="147" customWidth="1"/>
    <col min="2823" max="2823" width="9.265625" style="147" customWidth="1"/>
    <col min="2824" max="2824" width="9" style="147" customWidth="1"/>
    <col min="2825" max="2825" width="10.265625" style="147" customWidth="1"/>
    <col min="2826" max="2827" width="8.1328125" style="147" customWidth="1"/>
    <col min="2828" max="2829" width="8.265625" style="147" customWidth="1"/>
    <col min="2830" max="2830" width="10.59765625" style="147" customWidth="1"/>
    <col min="2831" max="2831" width="12.73046875" style="147" customWidth="1"/>
    <col min="2832" max="2832" width="9.3984375" style="147" customWidth="1"/>
    <col min="2833" max="2833" width="7.59765625" style="147" customWidth="1"/>
    <col min="2834" max="2834" width="8.73046875" style="147" customWidth="1"/>
    <col min="2835" max="2835" width="13.3984375" style="147" customWidth="1"/>
    <col min="2836" max="2838" width="10.73046875" style="147" customWidth="1"/>
    <col min="2839" max="2839" width="12.1328125" style="147" customWidth="1"/>
    <col min="2840" max="2840" width="14" style="147" customWidth="1"/>
    <col min="2841" max="2841" width="11.3984375" style="147" customWidth="1"/>
    <col min="2842" max="2842" width="10.73046875" style="147" customWidth="1"/>
    <col min="2843" max="3076" width="9.1328125" style="147"/>
    <col min="3077" max="3077" width="11.59765625" style="147" customWidth="1"/>
    <col min="3078" max="3078" width="11.73046875" style="147" customWidth="1"/>
    <col min="3079" max="3079" width="9.265625" style="147" customWidth="1"/>
    <col min="3080" max="3080" width="9" style="147" customWidth="1"/>
    <col min="3081" max="3081" width="10.265625" style="147" customWidth="1"/>
    <col min="3082" max="3083" width="8.1328125" style="147" customWidth="1"/>
    <col min="3084" max="3085" width="8.265625" style="147" customWidth="1"/>
    <col min="3086" max="3086" width="10.59765625" style="147" customWidth="1"/>
    <col min="3087" max="3087" width="12.73046875" style="147" customWidth="1"/>
    <col min="3088" max="3088" width="9.3984375" style="147" customWidth="1"/>
    <col min="3089" max="3089" width="7.59765625" style="147" customWidth="1"/>
    <col min="3090" max="3090" width="8.73046875" style="147" customWidth="1"/>
    <col min="3091" max="3091" width="13.3984375" style="147" customWidth="1"/>
    <col min="3092" max="3094" width="10.73046875" style="147" customWidth="1"/>
    <col min="3095" max="3095" width="12.1328125" style="147" customWidth="1"/>
    <col min="3096" max="3096" width="14" style="147" customWidth="1"/>
    <col min="3097" max="3097" width="11.3984375" style="147" customWidth="1"/>
    <col min="3098" max="3098" width="10.73046875" style="147" customWidth="1"/>
    <col min="3099" max="3332" width="9.1328125" style="147"/>
    <col min="3333" max="3333" width="11.59765625" style="147" customWidth="1"/>
    <col min="3334" max="3334" width="11.73046875" style="147" customWidth="1"/>
    <col min="3335" max="3335" width="9.265625" style="147" customWidth="1"/>
    <col min="3336" max="3336" width="9" style="147" customWidth="1"/>
    <col min="3337" max="3337" width="10.265625" style="147" customWidth="1"/>
    <col min="3338" max="3339" width="8.1328125" style="147" customWidth="1"/>
    <col min="3340" max="3341" width="8.265625" style="147" customWidth="1"/>
    <col min="3342" max="3342" width="10.59765625" style="147" customWidth="1"/>
    <col min="3343" max="3343" width="12.73046875" style="147" customWidth="1"/>
    <col min="3344" max="3344" width="9.3984375" style="147" customWidth="1"/>
    <col min="3345" max="3345" width="7.59765625" style="147" customWidth="1"/>
    <col min="3346" max="3346" width="8.73046875" style="147" customWidth="1"/>
    <col min="3347" max="3347" width="13.3984375" style="147" customWidth="1"/>
    <col min="3348" max="3350" width="10.73046875" style="147" customWidth="1"/>
    <col min="3351" max="3351" width="12.1328125" style="147" customWidth="1"/>
    <col min="3352" max="3352" width="14" style="147" customWidth="1"/>
    <col min="3353" max="3353" width="11.3984375" style="147" customWidth="1"/>
    <col min="3354" max="3354" width="10.73046875" style="147" customWidth="1"/>
    <col min="3355" max="3588" width="9.1328125" style="147"/>
    <col min="3589" max="3589" width="11.59765625" style="147" customWidth="1"/>
    <col min="3590" max="3590" width="11.73046875" style="147" customWidth="1"/>
    <col min="3591" max="3591" width="9.265625" style="147" customWidth="1"/>
    <col min="3592" max="3592" width="9" style="147" customWidth="1"/>
    <col min="3593" max="3593" width="10.265625" style="147" customWidth="1"/>
    <col min="3594" max="3595" width="8.1328125" style="147" customWidth="1"/>
    <col min="3596" max="3597" width="8.265625" style="147" customWidth="1"/>
    <col min="3598" max="3598" width="10.59765625" style="147" customWidth="1"/>
    <col min="3599" max="3599" width="12.73046875" style="147" customWidth="1"/>
    <col min="3600" max="3600" width="9.3984375" style="147" customWidth="1"/>
    <col min="3601" max="3601" width="7.59765625" style="147" customWidth="1"/>
    <col min="3602" max="3602" width="8.73046875" style="147" customWidth="1"/>
    <col min="3603" max="3603" width="13.3984375" style="147" customWidth="1"/>
    <col min="3604" max="3606" width="10.73046875" style="147" customWidth="1"/>
    <col min="3607" max="3607" width="12.1328125" style="147" customWidth="1"/>
    <col min="3608" max="3608" width="14" style="147" customWidth="1"/>
    <col min="3609" max="3609" width="11.3984375" style="147" customWidth="1"/>
    <col min="3610" max="3610" width="10.73046875" style="147" customWidth="1"/>
    <col min="3611" max="3844" width="9.1328125" style="147"/>
    <col min="3845" max="3845" width="11.59765625" style="147" customWidth="1"/>
    <col min="3846" max="3846" width="11.73046875" style="147" customWidth="1"/>
    <col min="3847" max="3847" width="9.265625" style="147" customWidth="1"/>
    <col min="3848" max="3848" width="9" style="147" customWidth="1"/>
    <col min="3849" max="3849" width="10.265625" style="147" customWidth="1"/>
    <col min="3850" max="3851" width="8.1328125" style="147" customWidth="1"/>
    <col min="3852" max="3853" width="8.265625" style="147" customWidth="1"/>
    <col min="3854" max="3854" width="10.59765625" style="147" customWidth="1"/>
    <col min="3855" max="3855" width="12.73046875" style="147" customWidth="1"/>
    <col min="3856" max="3856" width="9.3984375" style="147" customWidth="1"/>
    <col min="3857" max="3857" width="7.59765625" style="147" customWidth="1"/>
    <col min="3858" max="3858" width="8.73046875" style="147" customWidth="1"/>
    <col min="3859" max="3859" width="13.3984375" style="147" customWidth="1"/>
    <col min="3860" max="3862" width="10.73046875" style="147" customWidth="1"/>
    <col min="3863" max="3863" width="12.1328125" style="147" customWidth="1"/>
    <col min="3864" max="3864" width="14" style="147" customWidth="1"/>
    <col min="3865" max="3865" width="11.3984375" style="147" customWidth="1"/>
    <col min="3866" max="3866" width="10.73046875" style="147" customWidth="1"/>
    <col min="3867" max="4100" width="9.1328125" style="147"/>
    <col min="4101" max="4101" width="11.59765625" style="147" customWidth="1"/>
    <col min="4102" max="4102" width="11.73046875" style="147" customWidth="1"/>
    <col min="4103" max="4103" width="9.265625" style="147" customWidth="1"/>
    <col min="4104" max="4104" width="9" style="147" customWidth="1"/>
    <col min="4105" max="4105" width="10.265625" style="147" customWidth="1"/>
    <col min="4106" max="4107" width="8.1328125" style="147" customWidth="1"/>
    <col min="4108" max="4109" width="8.265625" style="147" customWidth="1"/>
    <col min="4110" max="4110" width="10.59765625" style="147" customWidth="1"/>
    <col min="4111" max="4111" width="12.73046875" style="147" customWidth="1"/>
    <col min="4112" max="4112" width="9.3984375" style="147" customWidth="1"/>
    <col min="4113" max="4113" width="7.59765625" style="147" customWidth="1"/>
    <col min="4114" max="4114" width="8.73046875" style="147" customWidth="1"/>
    <col min="4115" max="4115" width="13.3984375" style="147" customWidth="1"/>
    <col min="4116" max="4118" width="10.73046875" style="147" customWidth="1"/>
    <col min="4119" max="4119" width="12.1328125" style="147" customWidth="1"/>
    <col min="4120" max="4120" width="14" style="147" customWidth="1"/>
    <col min="4121" max="4121" width="11.3984375" style="147" customWidth="1"/>
    <col min="4122" max="4122" width="10.73046875" style="147" customWidth="1"/>
    <col min="4123" max="4356" width="9.1328125" style="147"/>
    <col min="4357" max="4357" width="11.59765625" style="147" customWidth="1"/>
    <col min="4358" max="4358" width="11.73046875" style="147" customWidth="1"/>
    <col min="4359" max="4359" width="9.265625" style="147" customWidth="1"/>
    <col min="4360" max="4360" width="9" style="147" customWidth="1"/>
    <col min="4361" max="4361" width="10.265625" style="147" customWidth="1"/>
    <col min="4362" max="4363" width="8.1328125" style="147" customWidth="1"/>
    <col min="4364" max="4365" width="8.265625" style="147" customWidth="1"/>
    <col min="4366" max="4366" width="10.59765625" style="147" customWidth="1"/>
    <col min="4367" max="4367" width="12.73046875" style="147" customWidth="1"/>
    <col min="4368" max="4368" width="9.3984375" style="147" customWidth="1"/>
    <col min="4369" max="4369" width="7.59765625" style="147" customWidth="1"/>
    <col min="4370" max="4370" width="8.73046875" style="147" customWidth="1"/>
    <col min="4371" max="4371" width="13.3984375" style="147" customWidth="1"/>
    <col min="4372" max="4374" width="10.73046875" style="147" customWidth="1"/>
    <col min="4375" max="4375" width="12.1328125" style="147" customWidth="1"/>
    <col min="4376" max="4376" width="14" style="147" customWidth="1"/>
    <col min="4377" max="4377" width="11.3984375" style="147" customWidth="1"/>
    <col min="4378" max="4378" width="10.73046875" style="147" customWidth="1"/>
    <col min="4379" max="4612" width="9.1328125" style="147"/>
    <col min="4613" max="4613" width="11.59765625" style="147" customWidth="1"/>
    <col min="4614" max="4614" width="11.73046875" style="147" customWidth="1"/>
    <col min="4615" max="4615" width="9.265625" style="147" customWidth="1"/>
    <col min="4616" max="4616" width="9" style="147" customWidth="1"/>
    <col min="4617" max="4617" width="10.265625" style="147" customWidth="1"/>
    <col min="4618" max="4619" width="8.1328125" style="147" customWidth="1"/>
    <col min="4620" max="4621" width="8.265625" style="147" customWidth="1"/>
    <col min="4622" max="4622" width="10.59765625" style="147" customWidth="1"/>
    <col min="4623" max="4623" width="12.73046875" style="147" customWidth="1"/>
    <col min="4624" max="4624" width="9.3984375" style="147" customWidth="1"/>
    <col min="4625" max="4625" width="7.59765625" style="147" customWidth="1"/>
    <col min="4626" max="4626" width="8.73046875" style="147" customWidth="1"/>
    <col min="4627" max="4627" width="13.3984375" style="147" customWidth="1"/>
    <col min="4628" max="4630" width="10.73046875" style="147" customWidth="1"/>
    <col min="4631" max="4631" width="12.1328125" style="147" customWidth="1"/>
    <col min="4632" max="4632" width="14" style="147" customWidth="1"/>
    <col min="4633" max="4633" width="11.3984375" style="147" customWidth="1"/>
    <col min="4634" max="4634" width="10.73046875" style="147" customWidth="1"/>
    <col min="4635" max="4868" width="9.1328125" style="147"/>
    <col min="4869" max="4869" width="11.59765625" style="147" customWidth="1"/>
    <col min="4870" max="4870" width="11.73046875" style="147" customWidth="1"/>
    <col min="4871" max="4871" width="9.265625" style="147" customWidth="1"/>
    <col min="4872" max="4872" width="9" style="147" customWidth="1"/>
    <col min="4873" max="4873" width="10.265625" style="147" customWidth="1"/>
    <col min="4874" max="4875" width="8.1328125" style="147" customWidth="1"/>
    <col min="4876" max="4877" width="8.265625" style="147" customWidth="1"/>
    <col min="4878" max="4878" width="10.59765625" style="147" customWidth="1"/>
    <col min="4879" max="4879" width="12.73046875" style="147" customWidth="1"/>
    <col min="4880" max="4880" width="9.3984375" style="147" customWidth="1"/>
    <col min="4881" max="4881" width="7.59765625" style="147" customWidth="1"/>
    <col min="4882" max="4882" width="8.73046875" style="147" customWidth="1"/>
    <col min="4883" max="4883" width="13.3984375" style="147" customWidth="1"/>
    <col min="4884" max="4886" width="10.73046875" style="147" customWidth="1"/>
    <col min="4887" max="4887" width="12.1328125" style="147" customWidth="1"/>
    <col min="4888" max="4888" width="14" style="147" customWidth="1"/>
    <col min="4889" max="4889" width="11.3984375" style="147" customWidth="1"/>
    <col min="4890" max="4890" width="10.73046875" style="147" customWidth="1"/>
    <col min="4891" max="5124" width="9.1328125" style="147"/>
    <col min="5125" max="5125" width="11.59765625" style="147" customWidth="1"/>
    <col min="5126" max="5126" width="11.73046875" style="147" customWidth="1"/>
    <col min="5127" max="5127" width="9.265625" style="147" customWidth="1"/>
    <col min="5128" max="5128" width="9" style="147" customWidth="1"/>
    <col min="5129" max="5129" width="10.265625" style="147" customWidth="1"/>
    <col min="5130" max="5131" width="8.1328125" style="147" customWidth="1"/>
    <col min="5132" max="5133" width="8.265625" style="147" customWidth="1"/>
    <col min="5134" max="5134" width="10.59765625" style="147" customWidth="1"/>
    <col min="5135" max="5135" width="12.73046875" style="147" customWidth="1"/>
    <col min="5136" max="5136" width="9.3984375" style="147" customWidth="1"/>
    <col min="5137" max="5137" width="7.59765625" style="147" customWidth="1"/>
    <col min="5138" max="5138" width="8.73046875" style="147" customWidth="1"/>
    <col min="5139" max="5139" width="13.3984375" style="147" customWidth="1"/>
    <col min="5140" max="5142" width="10.73046875" style="147" customWidth="1"/>
    <col min="5143" max="5143" width="12.1328125" style="147" customWidth="1"/>
    <col min="5144" max="5144" width="14" style="147" customWidth="1"/>
    <col min="5145" max="5145" width="11.3984375" style="147" customWidth="1"/>
    <col min="5146" max="5146" width="10.73046875" style="147" customWidth="1"/>
    <col min="5147" max="5380" width="9.1328125" style="147"/>
    <col min="5381" max="5381" width="11.59765625" style="147" customWidth="1"/>
    <col min="5382" max="5382" width="11.73046875" style="147" customWidth="1"/>
    <col min="5383" max="5383" width="9.265625" style="147" customWidth="1"/>
    <col min="5384" max="5384" width="9" style="147" customWidth="1"/>
    <col min="5385" max="5385" width="10.265625" style="147" customWidth="1"/>
    <col min="5386" max="5387" width="8.1328125" style="147" customWidth="1"/>
    <col min="5388" max="5389" width="8.265625" style="147" customWidth="1"/>
    <col min="5390" max="5390" width="10.59765625" style="147" customWidth="1"/>
    <col min="5391" max="5391" width="12.73046875" style="147" customWidth="1"/>
    <col min="5392" max="5392" width="9.3984375" style="147" customWidth="1"/>
    <col min="5393" max="5393" width="7.59765625" style="147" customWidth="1"/>
    <col min="5394" max="5394" width="8.73046875" style="147" customWidth="1"/>
    <col min="5395" max="5395" width="13.3984375" style="147" customWidth="1"/>
    <col min="5396" max="5398" width="10.73046875" style="147" customWidth="1"/>
    <col min="5399" max="5399" width="12.1328125" style="147" customWidth="1"/>
    <col min="5400" max="5400" width="14" style="147" customWidth="1"/>
    <col min="5401" max="5401" width="11.3984375" style="147" customWidth="1"/>
    <col min="5402" max="5402" width="10.73046875" style="147" customWidth="1"/>
    <col min="5403" max="5636" width="9.1328125" style="147"/>
    <col min="5637" max="5637" width="11.59765625" style="147" customWidth="1"/>
    <col min="5638" max="5638" width="11.73046875" style="147" customWidth="1"/>
    <col min="5639" max="5639" width="9.265625" style="147" customWidth="1"/>
    <col min="5640" max="5640" width="9" style="147" customWidth="1"/>
    <col min="5641" max="5641" width="10.265625" style="147" customWidth="1"/>
    <col min="5642" max="5643" width="8.1328125" style="147" customWidth="1"/>
    <col min="5644" max="5645" width="8.265625" style="147" customWidth="1"/>
    <col min="5646" max="5646" width="10.59765625" style="147" customWidth="1"/>
    <col min="5647" max="5647" width="12.73046875" style="147" customWidth="1"/>
    <col min="5648" max="5648" width="9.3984375" style="147" customWidth="1"/>
    <col min="5649" max="5649" width="7.59765625" style="147" customWidth="1"/>
    <col min="5650" max="5650" width="8.73046875" style="147" customWidth="1"/>
    <col min="5651" max="5651" width="13.3984375" style="147" customWidth="1"/>
    <col min="5652" max="5654" width="10.73046875" style="147" customWidth="1"/>
    <col min="5655" max="5655" width="12.1328125" style="147" customWidth="1"/>
    <col min="5656" max="5656" width="14" style="147" customWidth="1"/>
    <col min="5657" max="5657" width="11.3984375" style="147" customWidth="1"/>
    <col min="5658" max="5658" width="10.73046875" style="147" customWidth="1"/>
    <col min="5659" max="5892" width="9.1328125" style="147"/>
    <col min="5893" max="5893" width="11.59765625" style="147" customWidth="1"/>
    <col min="5894" max="5894" width="11.73046875" style="147" customWidth="1"/>
    <col min="5895" max="5895" width="9.265625" style="147" customWidth="1"/>
    <col min="5896" max="5896" width="9" style="147" customWidth="1"/>
    <col min="5897" max="5897" width="10.265625" style="147" customWidth="1"/>
    <col min="5898" max="5899" width="8.1328125" style="147" customWidth="1"/>
    <col min="5900" max="5901" width="8.265625" style="147" customWidth="1"/>
    <col min="5902" max="5902" width="10.59765625" style="147" customWidth="1"/>
    <col min="5903" max="5903" width="12.73046875" style="147" customWidth="1"/>
    <col min="5904" max="5904" width="9.3984375" style="147" customWidth="1"/>
    <col min="5905" max="5905" width="7.59765625" style="147" customWidth="1"/>
    <col min="5906" max="5906" width="8.73046875" style="147" customWidth="1"/>
    <col min="5907" max="5907" width="13.3984375" style="147" customWidth="1"/>
    <col min="5908" max="5910" width="10.73046875" style="147" customWidth="1"/>
    <col min="5911" max="5911" width="12.1328125" style="147" customWidth="1"/>
    <col min="5912" max="5912" width="14" style="147" customWidth="1"/>
    <col min="5913" max="5913" width="11.3984375" style="147" customWidth="1"/>
    <col min="5914" max="5914" width="10.73046875" style="147" customWidth="1"/>
    <col min="5915" max="6148" width="9.1328125" style="147"/>
    <col min="6149" max="6149" width="11.59765625" style="147" customWidth="1"/>
    <col min="6150" max="6150" width="11.73046875" style="147" customWidth="1"/>
    <col min="6151" max="6151" width="9.265625" style="147" customWidth="1"/>
    <col min="6152" max="6152" width="9" style="147" customWidth="1"/>
    <col min="6153" max="6153" width="10.265625" style="147" customWidth="1"/>
    <col min="6154" max="6155" width="8.1328125" style="147" customWidth="1"/>
    <col min="6156" max="6157" width="8.265625" style="147" customWidth="1"/>
    <col min="6158" max="6158" width="10.59765625" style="147" customWidth="1"/>
    <col min="6159" max="6159" width="12.73046875" style="147" customWidth="1"/>
    <col min="6160" max="6160" width="9.3984375" style="147" customWidth="1"/>
    <col min="6161" max="6161" width="7.59765625" style="147" customWidth="1"/>
    <col min="6162" max="6162" width="8.73046875" style="147" customWidth="1"/>
    <col min="6163" max="6163" width="13.3984375" style="147" customWidth="1"/>
    <col min="6164" max="6166" width="10.73046875" style="147" customWidth="1"/>
    <col min="6167" max="6167" width="12.1328125" style="147" customWidth="1"/>
    <col min="6168" max="6168" width="14" style="147" customWidth="1"/>
    <col min="6169" max="6169" width="11.3984375" style="147" customWidth="1"/>
    <col min="6170" max="6170" width="10.73046875" style="147" customWidth="1"/>
    <col min="6171" max="6404" width="9.1328125" style="147"/>
    <col min="6405" max="6405" width="11.59765625" style="147" customWidth="1"/>
    <col min="6406" max="6406" width="11.73046875" style="147" customWidth="1"/>
    <col min="6407" max="6407" width="9.265625" style="147" customWidth="1"/>
    <col min="6408" max="6408" width="9" style="147" customWidth="1"/>
    <col min="6409" max="6409" width="10.265625" style="147" customWidth="1"/>
    <col min="6410" max="6411" width="8.1328125" style="147" customWidth="1"/>
    <col min="6412" max="6413" width="8.265625" style="147" customWidth="1"/>
    <col min="6414" max="6414" width="10.59765625" style="147" customWidth="1"/>
    <col min="6415" max="6415" width="12.73046875" style="147" customWidth="1"/>
    <col min="6416" max="6416" width="9.3984375" style="147" customWidth="1"/>
    <col min="6417" max="6417" width="7.59765625" style="147" customWidth="1"/>
    <col min="6418" max="6418" width="8.73046875" style="147" customWidth="1"/>
    <col min="6419" max="6419" width="13.3984375" style="147" customWidth="1"/>
    <col min="6420" max="6422" width="10.73046875" style="147" customWidth="1"/>
    <col min="6423" max="6423" width="12.1328125" style="147" customWidth="1"/>
    <col min="6424" max="6424" width="14" style="147" customWidth="1"/>
    <col min="6425" max="6425" width="11.3984375" style="147" customWidth="1"/>
    <col min="6426" max="6426" width="10.73046875" style="147" customWidth="1"/>
    <col min="6427" max="6660" width="9.1328125" style="147"/>
    <col min="6661" max="6661" width="11.59765625" style="147" customWidth="1"/>
    <col min="6662" max="6662" width="11.73046875" style="147" customWidth="1"/>
    <col min="6663" max="6663" width="9.265625" style="147" customWidth="1"/>
    <col min="6664" max="6664" width="9" style="147" customWidth="1"/>
    <col min="6665" max="6665" width="10.265625" style="147" customWidth="1"/>
    <col min="6666" max="6667" width="8.1328125" style="147" customWidth="1"/>
    <col min="6668" max="6669" width="8.265625" style="147" customWidth="1"/>
    <col min="6670" max="6670" width="10.59765625" style="147" customWidth="1"/>
    <col min="6671" max="6671" width="12.73046875" style="147" customWidth="1"/>
    <col min="6672" max="6672" width="9.3984375" style="147" customWidth="1"/>
    <col min="6673" max="6673" width="7.59765625" style="147" customWidth="1"/>
    <col min="6674" max="6674" width="8.73046875" style="147" customWidth="1"/>
    <col min="6675" max="6675" width="13.3984375" style="147" customWidth="1"/>
    <col min="6676" max="6678" width="10.73046875" style="147" customWidth="1"/>
    <col min="6679" max="6679" width="12.1328125" style="147" customWidth="1"/>
    <col min="6680" max="6680" width="14" style="147" customWidth="1"/>
    <col min="6681" max="6681" width="11.3984375" style="147" customWidth="1"/>
    <col min="6682" max="6682" width="10.73046875" style="147" customWidth="1"/>
    <col min="6683" max="6916" width="9.1328125" style="147"/>
    <col min="6917" max="6917" width="11.59765625" style="147" customWidth="1"/>
    <col min="6918" max="6918" width="11.73046875" style="147" customWidth="1"/>
    <col min="6919" max="6919" width="9.265625" style="147" customWidth="1"/>
    <col min="6920" max="6920" width="9" style="147" customWidth="1"/>
    <col min="6921" max="6921" width="10.265625" style="147" customWidth="1"/>
    <col min="6922" max="6923" width="8.1328125" style="147" customWidth="1"/>
    <col min="6924" max="6925" width="8.265625" style="147" customWidth="1"/>
    <col min="6926" max="6926" width="10.59765625" style="147" customWidth="1"/>
    <col min="6927" max="6927" width="12.73046875" style="147" customWidth="1"/>
    <col min="6928" max="6928" width="9.3984375" style="147" customWidth="1"/>
    <col min="6929" max="6929" width="7.59765625" style="147" customWidth="1"/>
    <col min="6930" max="6930" width="8.73046875" style="147" customWidth="1"/>
    <col min="6931" max="6931" width="13.3984375" style="147" customWidth="1"/>
    <col min="6932" max="6934" width="10.73046875" style="147" customWidth="1"/>
    <col min="6935" max="6935" width="12.1328125" style="147" customWidth="1"/>
    <col min="6936" max="6936" width="14" style="147" customWidth="1"/>
    <col min="6937" max="6937" width="11.3984375" style="147" customWidth="1"/>
    <col min="6938" max="6938" width="10.73046875" style="147" customWidth="1"/>
    <col min="6939" max="7172" width="9.1328125" style="147"/>
    <col min="7173" max="7173" width="11.59765625" style="147" customWidth="1"/>
    <col min="7174" max="7174" width="11.73046875" style="147" customWidth="1"/>
    <col min="7175" max="7175" width="9.265625" style="147" customWidth="1"/>
    <col min="7176" max="7176" width="9" style="147" customWidth="1"/>
    <col min="7177" max="7177" width="10.265625" style="147" customWidth="1"/>
    <col min="7178" max="7179" width="8.1328125" style="147" customWidth="1"/>
    <col min="7180" max="7181" width="8.265625" style="147" customWidth="1"/>
    <col min="7182" max="7182" width="10.59765625" style="147" customWidth="1"/>
    <col min="7183" max="7183" width="12.73046875" style="147" customWidth="1"/>
    <col min="7184" max="7184" width="9.3984375" style="147" customWidth="1"/>
    <col min="7185" max="7185" width="7.59765625" style="147" customWidth="1"/>
    <col min="7186" max="7186" width="8.73046875" style="147" customWidth="1"/>
    <col min="7187" max="7187" width="13.3984375" style="147" customWidth="1"/>
    <col min="7188" max="7190" width="10.73046875" style="147" customWidth="1"/>
    <col min="7191" max="7191" width="12.1328125" style="147" customWidth="1"/>
    <col min="7192" max="7192" width="14" style="147" customWidth="1"/>
    <col min="7193" max="7193" width="11.3984375" style="147" customWidth="1"/>
    <col min="7194" max="7194" width="10.73046875" style="147" customWidth="1"/>
    <col min="7195" max="7428" width="9.1328125" style="147"/>
    <col min="7429" max="7429" width="11.59765625" style="147" customWidth="1"/>
    <col min="7430" max="7430" width="11.73046875" style="147" customWidth="1"/>
    <col min="7431" max="7431" width="9.265625" style="147" customWidth="1"/>
    <col min="7432" max="7432" width="9" style="147" customWidth="1"/>
    <col min="7433" max="7433" width="10.265625" style="147" customWidth="1"/>
    <col min="7434" max="7435" width="8.1328125" style="147" customWidth="1"/>
    <col min="7436" max="7437" width="8.265625" style="147" customWidth="1"/>
    <col min="7438" max="7438" width="10.59765625" style="147" customWidth="1"/>
    <col min="7439" max="7439" width="12.73046875" style="147" customWidth="1"/>
    <col min="7440" max="7440" width="9.3984375" style="147" customWidth="1"/>
    <col min="7441" max="7441" width="7.59765625" style="147" customWidth="1"/>
    <col min="7442" max="7442" width="8.73046875" style="147" customWidth="1"/>
    <col min="7443" max="7443" width="13.3984375" style="147" customWidth="1"/>
    <col min="7444" max="7446" width="10.73046875" style="147" customWidth="1"/>
    <col min="7447" max="7447" width="12.1328125" style="147" customWidth="1"/>
    <col min="7448" max="7448" width="14" style="147" customWidth="1"/>
    <col min="7449" max="7449" width="11.3984375" style="147" customWidth="1"/>
    <col min="7450" max="7450" width="10.73046875" style="147" customWidth="1"/>
    <col min="7451" max="7684" width="9.1328125" style="147"/>
    <col min="7685" max="7685" width="11.59765625" style="147" customWidth="1"/>
    <col min="7686" max="7686" width="11.73046875" style="147" customWidth="1"/>
    <col min="7687" max="7687" width="9.265625" style="147" customWidth="1"/>
    <col min="7688" max="7688" width="9" style="147" customWidth="1"/>
    <col min="7689" max="7689" width="10.265625" style="147" customWidth="1"/>
    <col min="7690" max="7691" width="8.1328125" style="147" customWidth="1"/>
    <col min="7692" max="7693" width="8.265625" style="147" customWidth="1"/>
    <col min="7694" max="7694" width="10.59765625" style="147" customWidth="1"/>
    <col min="7695" max="7695" width="12.73046875" style="147" customWidth="1"/>
    <col min="7696" max="7696" width="9.3984375" style="147" customWidth="1"/>
    <col min="7697" max="7697" width="7.59765625" style="147" customWidth="1"/>
    <col min="7698" max="7698" width="8.73046875" style="147" customWidth="1"/>
    <col min="7699" max="7699" width="13.3984375" style="147" customWidth="1"/>
    <col min="7700" max="7702" width="10.73046875" style="147" customWidth="1"/>
    <col min="7703" max="7703" width="12.1328125" style="147" customWidth="1"/>
    <col min="7704" max="7704" width="14" style="147" customWidth="1"/>
    <col min="7705" max="7705" width="11.3984375" style="147" customWidth="1"/>
    <col min="7706" max="7706" width="10.73046875" style="147" customWidth="1"/>
    <col min="7707" max="7940" width="9.1328125" style="147"/>
    <col min="7941" max="7941" width="11.59765625" style="147" customWidth="1"/>
    <col min="7942" max="7942" width="11.73046875" style="147" customWidth="1"/>
    <col min="7943" max="7943" width="9.265625" style="147" customWidth="1"/>
    <col min="7944" max="7944" width="9" style="147" customWidth="1"/>
    <col min="7945" max="7945" width="10.265625" style="147" customWidth="1"/>
    <col min="7946" max="7947" width="8.1328125" style="147" customWidth="1"/>
    <col min="7948" max="7949" width="8.265625" style="147" customWidth="1"/>
    <col min="7950" max="7950" width="10.59765625" style="147" customWidth="1"/>
    <col min="7951" max="7951" width="12.73046875" style="147" customWidth="1"/>
    <col min="7952" max="7952" width="9.3984375" style="147" customWidth="1"/>
    <col min="7953" max="7953" width="7.59765625" style="147" customWidth="1"/>
    <col min="7954" max="7954" width="8.73046875" style="147" customWidth="1"/>
    <col min="7955" max="7955" width="13.3984375" style="147" customWidth="1"/>
    <col min="7956" max="7958" width="10.73046875" style="147" customWidth="1"/>
    <col min="7959" max="7959" width="12.1328125" style="147" customWidth="1"/>
    <col min="7960" max="7960" width="14" style="147" customWidth="1"/>
    <col min="7961" max="7961" width="11.3984375" style="147" customWidth="1"/>
    <col min="7962" max="7962" width="10.73046875" style="147" customWidth="1"/>
    <col min="7963" max="8196" width="9.1328125" style="147"/>
    <col min="8197" max="8197" width="11.59765625" style="147" customWidth="1"/>
    <col min="8198" max="8198" width="11.73046875" style="147" customWidth="1"/>
    <col min="8199" max="8199" width="9.265625" style="147" customWidth="1"/>
    <col min="8200" max="8200" width="9" style="147" customWidth="1"/>
    <col min="8201" max="8201" width="10.265625" style="147" customWidth="1"/>
    <col min="8202" max="8203" width="8.1328125" style="147" customWidth="1"/>
    <col min="8204" max="8205" width="8.265625" style="147" customWidth="1"/>
    <col min="8206" max="8206" width="10.59765625" style="147" customWidth="1"/>
    <col min="8207" max="8207" width="12.73046875" style="147" customWidth="1"/>
    <col min="8208" max="8208" width="9.3984375" style="147" customWidth="1"/>
    <col min="8209" max="8209" width="7.59765625" style="147" customWidth="1"/>
    <col min="8210" max="8210" width="8.73046875" style="147" customWidth="1"/>
    <col min="8211" max="8211" width="13.3984375" style="147" customWidth="1"/>
    <col min="8212" max="8214" width="10.73046875" style="147" customWidth="1"/>
    <col min="8215" max="8215" width="12.1328125" style="147" customWidth="1"/>
    <col min="8216" max="8216" width="14" style="147" customWidth="1"/>
    <col min="8217" max="8217" width="11.3984375" style="147" customWidth="1"/>
    <col min="8218" max="8218" width="10.73046875" style="147" customWidth="1"/>
    <col min="8219" max="8452" width="9.1328125" style="147"/>
    <col min="8453" max="8453" width="11.59765625" style="147" customWidth="1"/>
    <col min="8454" max="8454" width="11.73046875" style="147" customWidth="1"/>
    <col min="8455" max="8455" width="9.265625" style="147" customWidth="1"/>
    <col min="8456" max="8456" width="9" style="147" customWidth="1"/>
    <col min="8457" max="8457" width="10.265625" style="147" customWidth="1"/>
    <col min="8458" max="8459" width="8.1328125" style="147" customWidth="1"/>
    <col min="8460" max="8461" width="8.265625" style="147" customWidth="1"/>
    <col min="8462" max="8462" width="10.59765625" style="147" customWidth="1"/>
    <col min="8463" max="8463" width="12.73046875" style="147" customWidth="1"/>
    <col min="8464" max="8464" width="9.3984375" style="147" customWidth="1"/>
    <col min="8465" max="8465" width="7.59765625" style="147" customWidth="1"/>
    <col min="8466" max="8466" width="8.73046875" style="147" customWidth="1"/>
    <col min="8467" max="8467" width="13.3984375" style="147" customWidth="1"/>
    <col min="8468" max="8470" width="10.73046875" style="147" customWidth="1"/>
    <col min="8471" max="8471" width="12.1328125" style="147" customWidth="1"/>
    <col min="8472" max="8472" width="14" style="147" customWidth="1"/>
    <col min="8473" max="8473" width="11.3984375" style="147" customWidth="1"/>
    <col min="8474" max="8474" width="10.73046875" style="147" customWidth="1"/>
    <col min="8475" max="8708" width="9.1328125" style="147"/>
    <col min="8709" max="8709" width="11.59765625" style="147" customWidth="1"/>
    <col min="8710" max="8710" width="11.73046875" style="147" customWidth="1"/>
    <col min="8711" max="8711" width="9.265625" style="147" customWidth="1"/>
    <col min="8712" max="8712" width="9" style="147" customWidth="1"/>
    <col min="8713" max="8713" width="10.265625" style="147" customWidth="1"/>
    <col min="8714" max="8715" width="8.1328125" style="147" customWidth="1"/>
    <col min="8716" max="8717" width="8.265625" style="147" customWidth="1"/>
    <col min="8718" max="8718" width="10.59765625" style="147" customWidth="1"/>
    <col min="8719" max="8719" width="12.73046875" style="147" customWidth="1"/>
    <col min="8720" max="8720" width="9.3984375" style="147" customWidth="1"/>
    <col min="8721" max="8721" width="7.59765625" style="147" customWidth="1"/>
    <col min="8722" max="8722" width="8.73046875" style="147" customWidth="1"/>
    <col min="8723" max="8723" width="13.3984375" style="147" customWidth="1"/>
    <col min="8724" max="8726" width="10.73046875" style="147" customWidth="1"/>
    <col min="8727" max="8727" width="12.1328125" style="147" customWidth="1"/>
    <col min="8728" max="8728" width="14" style="147" customWidth="1"/>
    <col min="8729" max="8729" width="11.3984375" style="147" customWidth="1"/>
    <col min="8730" max="8730" width="10.73046875" style="147" customWidth="1"/>
    <col min="8731" max="8964" width="9.1328125" style="147"/>
    <col min="8965" max="8965" width="11.59765625" style="147" customWidth="1"/>
    <col min="8966" max="8966" width="11.73046875" style="147" customWidth="1"/>
    <col min="8967" max="8967" width="9.265625" style="147" customWidth="1"/>
    <col min="8968" max="8968" width="9" style="147" customWidth="1"/>
    <col min="8969" max="8969" width="10.265625" style="147" customWidth="1"/>
    <col min="8970" max="8971" width="8.1328125" style="147" customWidth="1"/>
    <col min="8972" max="8973" width="8.265625" style="147" customWidth="1"/>
    <col min="8974" max="8974" width="10.59765625" style="147" customWidth="1"/>
    <col min="8975" max="8975" width="12.73046875" style="147" customWidth="1"/>
    <col min="8976" max="8976" width="9.3984375" style="147" customWidth="1"/>
    <col min="8977" max="8977" width="7.59765625" style="147" customWidth="1"/>
    <col min="8978" max="8978" width="8.73046875" style="147" customWidth="1"/>
    <col min="8979" max="8979" width="13.3984375" style="147" customWidth="1"/>
    <col min="8980" max="8982" width="10.73046875" style="147" customWidth="1"/>
    <col min="8983" max="8983" width="12.1328125" style="147" customWidth="1"/>
    <col min="8984" max="8984" width="14" style="147" customWidth="1"/>
    <col min="8985" max="8985" width="11.3984375" style="147" customWidth="1"/>
    <col min="8986" max="8986" width="10.73046875" style="147" customWidth="1"/>
    <col min="8987" max="9220" width="9.1328125" style="147"/>
    <col min="9221" max="9221" width="11.59765625" style="147" customWidth="1"/>
    <col min="9222" max="9222" width="11.73046875" style="147" customWidth="1"/>
    <col min="9223" max="9223" width="9.265625" style="147" customWidth="1"/>
    <col min="9224" max="9224" width="9" style="147" customWidth="1"/>
    <col min="9225" max="9225" width="10.265625" style="147" customWidth="1"/>
    <col min="9226" max="9227" width="8.1328125" style="147" customWidth="1"/>
    <col min="9228" max="9229" width="8.265625" style="147" customWidth="1"/>
    <col min="9230" max="9230" width="10.59765625" style="147" customWidth="1"/>
    <col min="9231" max="9231" width="12.73046875" style="147" customWidth="1"/>
    <col min="9232" max="9232" width="9.3984375" style="147" customWidth="1"/>
    <col min="9233" max="9233" width="7.59765625" style="147" customWidth="1"/>
    <col min="9234" max="9234" width="8.73046875" style="147" customWidth="1"/>
    <col min="9235" max="9235" width="13.3984375" style="147" customWidth="1"/>
    <col min="9236" max="9238" width="10.73046875" style="147" customWidth="1"/>
    <col min="9239" max="9239" width="12.1328125" style="147" customWidth="1"/>
    <col min="9240" max="9240" width="14" style="147" customWidth="1"/>
    <col min="9241" max="9241" width="11.3984375" style="147" customWidth="1"/>
    <col min="9242" max="9242" width="10.73046875" style="147" customWidth="1"/>
    <col min="9243" max="9476" width="9.1328125" style="147"/>
    <col min="9477" max="9477" width="11.59765625" style="147" customWidth="1"/>
    <col min="9478" max="9478" width="11.73046875" style="147" customWidth="1"/>
    <col min="9479" max="9479" width="9.265625" style="147" customWidth="1"/>
    <col min="9480" max="9480" width="9" style="147" customWidth="1"/>
    <col min="9481" max="9481" width="10.265625" style="147" customWidth="1"/>
    <col min="9482" max="9483" width="8.1328125" style="147" customWidth="1"/>
    <col min="9484" max="9485" width="8.265625" style="147" customWidth="1"/>
    <col min="9486" max="9486" width="10.59765625" style="147" customWidth="1"/>
    <col min="9487" max="9487" width="12.73046875" style="147" customWidth="1"/>
    <col min="9488" max="9488" width="9.3984375" style="147" customWidth="1"/>
    <col min="9489" max="9489" width="7.59765625" style="147" customWidth="1"/>
    <col min="9490" max="9490" width="8.73046875" style="147" customWidth="1"/>
    <col min="9491" max="9491" width="13.3984375" style="147" customWidth="1"/>
    <col min="9492" max="9494" width="10.73046875" style="147" customWidth="1"/>
    <col min="9495" max="9495" width="12.1328125" style="147" customWidth="1"/>
    <col min="9496" max="9496" width="14" style="147" customWidth="1"/>
    <col min="9497" max="9497" width="11.3984375" style="147" customWidth="1"/>
    <col min="9498" max="9498" width="10.73046875" style="147" customWidth="1"/>
    <col min="9499" max="9732" width="9.1328125" style="147"/>
    <col min="9733" max="9733" width="11.59765625" style="147" customWidth="1"/>
    <col min="9734" max="9734" width="11.73046875" style="147" customWidth="1"/>
    <col min="9735" max="9735" width="9.265625" style="147" customWidth="1"/>
    <col min="9736" max="9736" width="9" style="147" customWidth="1"/>
    <col min="9737" max="9737" width="10.265625" style="147" customWidth="1"/>
    <col min="9738" max="9739" width="8.1328125" style="147" customWidth="1"/>
    <col min="9740" max="9741" width="8.265625" style="147" customWidth="1"/>
    <col min="9742" max="9742" width="10.59765625" style="147" customWidth="1"/>
    <col min="9743" max="9743" width="12.73046875" style="147" customWidth="1"/>
    <col min="9744" max="9744" width="9.3984375" style="147" customWidth="1"/>
    <col min="9745" max="9745" width="7.59765625" style="147" customWidth="1"/>
    <col min="9746" max="9746" width="8.73046875" style="147" customWidth="1"/>
    <col min="9747" max="9747" width="13.3984375" style="147" customWidth="1"/>
    <col min="9748" max="9750" width="10.73046875" style="147" customWidth="1"/>
    <col min="9751" max="9751" width="12.1328125" style="147" customWidth="1"/>
    <col min="9752" max="9752" width="14" style="147" customWidth="1"/>
    <col min="9753" max="9753" width="11.3984375" style="147" customWidth="1"/>
    <col min="9754" max="9754" width="10.73046875" style="147" customWidth="1"/>
    <col min="9755" max="9988" width="9.1328125" style="147"/>
    <col min="9989" max="9989" width="11.59765625" style="147" customWidth="1"/>
    <col min="9990" max="9990" width="11.73046875" style="147" customWidth="1"/>
    <col min="9991" max="9991" width="9.265625" style="147" customWidth="1"/>
    <col min="9992" max="9992" width="9" style="147" customWidth="1"/>
    <col min="9993" max="9993" width="10.265625" style="147" customWidth="1"/>
    <col min="9994" max="9995" width="8.1328125" style="147" customWidth="1"/>
    <col min="9996" max="9997" width="8.265625" style="147" customWidth="1"/>
    <col min="9998" max="9998" width="10.59765625" style="147" customWidth="1"/>
    <col min="9999" max="9999" width="12.73046875" style="147" customWidth="1"/>
    <col min="10000" max="10000" width="9.3984375" style="147" customWidth="1"/>
    <col min="10001" max="10001" width="7.59765625" style="147" customWidth="1"/>
    <col min="10002" max="10002" width="8.73046875" style="147" customWidth="1"/>
    <col min="10003" max="10003" width="13.3984375" style="147" customWidth="1"/>
    <col min="10004" max="10006" width="10.73046875" style="147" customWidth="1"/>
    <col min="10007" max="10007" width="12.1328125" style="147" customWidth="1"/>
    <col min="10008" max="10008" width="14" style="147" customWidth="1"/>
    <col min="10009" max="10009" width="11.3984375" style="147" customWidth="1"/>
    <col min="10010" max="10010" width="10.73046875" style="147" customWidth="1"/>
    <col min="10011" max="10244" width="9.1328125" style="147"/>
    <col min="10245" max="10245" width="11.59765625" style="147" customWidth="1"/>
    <col min="10246" max="10246" width="11.73046875" style="147" customWidth="1"/>
    <col min="10247" max="10247" width="9.265625" style="147" customWidth="1"/>
    <col min="10248" max="10248" width="9" style="147" customWidth="1"/>
    <col min="10249" max="10249" width="10.265625" style="147" customWidth="1"/>
    <col min="10250" max="10251" width="8.1328125" style="147" customWidth="1"/>
    <col min="10252" max="10253" width="8.265625" style="147" customWidth="1"/>
    <col min="10254" max="10254" width="10.59765625" style="147" customWidth="1"/>
    <col min="10255" max="10255" width="12.73046875" style="147" customWidth="1"/>
    <col min="10256" max="10256" width="9.3984375" style="147" customWidth="1"/>
    <col min="10257" max="10257" width="7.59765625" style="147" customWidth="1"/>
    <col min="10258" max="10258" width="8.73046875" style="147" customWidth="1"/>
    <col min="10259" max="10259" width="13.3984375" style="147" customWidth="1"/>
    <col min="10260" max="10262" width="10.73046875" style="147" customWidth="1"/>
    <col min="10263" max="10263" width="12.1328125" style="147" customWidth="1"/>
    <col min="10264" max="10264" width="14" style="147" customWidth="1"/>
    <col min="10265" max="10265" width="11.3984375" style="147" customWidth="1"/>
    <col min="10266" max="10266" width="10.73046875" style="147" customWidth="1"/>
    <col min="10267" max="10500" width="9.1328125" style="147"/>
    <col min="10501" max="10501" width="11.59765625" style="147" customWidth="1"/>
    <col min="10502" max="10502" width="11.73046875" style="147" customWidth="1"/>
    <col min="10503" max="10503" width="9.265625" style="147" customWidth="1"/>
    <col min="10504" max="10504" width="9" style="147" customWidth="1"/>
    <col min="10505" max="10505" width="10.265625" style="147" customWidth="1"/>
    <col min="10506" max="10507" width="8.1328125" style="147" customWidth="1"/>
    <col min="10508" max="10509" width="8.265625" style="147" customWidth="1"/>
    <col min="10510" max="10510" width="10.59765625" style="147" customWidth="1"/>
    <col min="10511" max="10511" width="12.73046875" style="147" customWidth="1"/>
    <col min="10512" max="10512" width="9.3984375" style="147" customWidth="1"/>
    <col min="10513" max="10513" width="7.59765625" style="147" customWidth="1"/>
    <col min="10514" max="10514" width="8.73046875" style="147" customWidth="1"/>
    <col min="10515" max="10515" width="13.3984375" style="147" customWidth="1"/>
    <col min="10516" max="10518" width="10.73046875" style="147" customWidth="1"/>
    <col min="10519" max="10519" width="12.1328125" style="147" customWidth="1"/>
    <col min="10520" max="10520" width="14" style="147" customWidth="1"/>
    <col min="10521" max="10521" width="11.3984375" style="147" customWidth="1"/>
    <col min="10522" max="10522" width="10.73046875" style="147" customWidth="1"/>
    <col min="10523" max="10756" width="9.1328125" style="147"/>
    <col min="10757" max="10757" width="11.59765625" style="147" customWidth="1"/>
    <col min="10758" max="10758" width="11.73046875" style="147" customWidth="1"/>
    <col min="10759" max="10759" width="9.265625" style="147" customWidth="1"/>
    <col min="10760" max="10760" width="9" style="147" customWidth="1"/>
    <col min="10761" max="10761" width="10.265625" style="147" customWidth="1"/>
    <col min="10762" max="10763" width="8.1328125" style="147" customWidth="1"/>
    <col min="10764" max="10765" width="8.265625" style="147" customWidth="1"/>
    <col min="10766" max="10766" width="10.59765625" style="147" customWidth="1"/>
    <col min="10767" max="10767" width="12.73046875" style="147" customWidth="1"/>
    <col min="10768" max="10768" width="9.3984375" style="147" customWidth="1"/>
    <col min="10769" max="10769" width="7.59765625" style="147" customWidth="1"/>
    <col min="10770" max="10770" width="8.73046875" style="147" customWidth="1"/>
    <col min="10771" max="10771" width="13.3984375" style="147" customWidth="1"/>
    <col min="10772" max="10774" width="10.73046875" style="147" customWidth="1"/>
    <col min="10775" max="10775" width="12.1328125" style="147" customWidth="1"/>
    <col min="10776" max="10776" width="14" style="147" customWidth="1"/>
    <col min="10777" max="10777" width="11.3984375" style="147" customWidth="1"/>
    <col min="10778" max="10778" width="10.73046875" style="147" customWidth="1"/>
    <col min="10779" max="11012" width="9.1328125" style="147"/>
    <col min="11013" max="11013" width="11.59765625" style="147" customWidth="1"/>
    <col min="11014" max="11014" width="11.73046875" style="147" customWidth="1"/>
    <col min="11015" max="11015" width="9.265625" style="147" customWidth="1"/>
    <col min="11016" max="11016" width="9" style="147" customWidth="1"/>
    <col min="11017" max="11017" width="10.265625" style="147" customWidth="1"/>
    <col min="11018" max="11019" width="8.1328125" style="147" customWidth="1"/>
    <col min="11020" max="11021" width="8.265625" style="147" customWidth="1"/>
    <col min="11022" max="11022" width="10.59765625" style="147" customWidth="1"/>
    <col min="11023" max="11023" width="12.73046875" style="147" customWidth="1"/>
    <col min="11024" max="11024" width="9.3984375" style="147" customWidth="1"/>
    <col min="11025" max="11025" width="7.59765625" style="147" customWidth="1"/>
    <col min="11026" max="11026" width="8.73046875" style="147" customWidth="1"/>
    <col min="11027" max="11027" width="13.3984375" style="147" customWidth="1"/>
    <col min="11028" max="11030" width="10.73046875" style="147" customWidth="1"/>
    <col min="11031" max="11031" width="12.1328125" style="147" customWidth="1"/>
    <col min="11032" max="11032" width="14" style="147" customWidth="1"/>
    <col min="11033" max="11033" width="11.3984375" style="147" customWidth="1"/>
    <col min="11034" max="11034" width="10.73046875" style="147" customWidth="1"/>
    <col min="11035" max="11268" width="9.1328125" style="147"/>
    <col min="11269" max="11269" width="11.59765625" style="147" customWidth="1"/>
    <col min="11270" max="11270" width="11.73046875" style="147" customWidth="1"/>
    <col min="11271" max="11271" width="9.265625" style="147" customWidth="1"/>
    <col min="11272" max="11272" width="9" style="147" customWidth="1"/>
    <col min="11273" max="11273" width="10.265625" style="147" customWidth="1"/>
    <col min="11274" max="11275" width="8.1328125" style="147" customWidth="1"/>
    <col min="11276" max="11277" width="8.265625" style="147" customWidth="1"/>
    <col min="11278" max="11278" width="10.59765625" style="147" customWidth="1"/>
    <col min="11279" max="11279" width="12.73046875" style="147" customWidth="1"/>
    <col min="11280" max="11280" width="9.3984375" style="147" customWidth="1"/>
    <col min="11281" max="11281" width="7.59765625" style="147" customWidth="1"/>
    <col min="11282" max="11282" width="8.73046875" style="147" customWidth="1"/>
    <col min="11283" max="11283" width="13.3984375" style="147" customWidth="1"/>
    <col min="11284" max="11286" width="10.73046875" style="147" customWidth="1"/>
    <col min="11287" max="11287" width="12.1328125" style="147" customWidth="1"/>
    <col min="11288" max="11288" width="14" style="147" customWidth="1"/>
    <col min="11289" max="11289" width="11.3984375" style="147" customWidth="1"/>
    <col min="11290" max="11290" width="10.73046875" style="147" customWidth="1"/>
    <col min="11291" max="11524" width="9.1328125" style="147"/>
    <col min="11525" max="11525" width="11.59765625" style="147" customWidth="1"/>
    <col min="11526" max="11526" width="11.73046875" style="147" customWidth="1"/>
    <col min="11527" max="11527" width="9.265625" style="147" customWidth="1"/>
    <col min="11528" max="11528" width="9" style="147" customWidth="1"/>
    <col min="11529" max="11529" width="10.265625" style="147" customWidth="1"/>
    <col min="11530" max="11531" width="8.1328125" style="147" customWidth="1"/>
    <col min="11532" max="11533" width="8.265625" style="147" customWidth="1"/>
    <col min="11534" max="11534" width="10.59765625" style="147" customWidth="1"/>
    <col min="11535" max="11535" width="12.73046875" style="147" customWidth="1"/>
    <col min="11536" max="11536" width="9.3984375" style="147" customWidth="1"/>
    <col min="11537" max="11537" width="7.59765625" style="147" customWidth="1"/>
    <col min="11538" max="11538" width="8.73046875" style="147" customWidth="1"/>
    <col min="11539" max="11539" width="13.3984375" style="147" customWidth="1"/>
    <col min="11540" max="11542" width="10.73046875" style="147" customWidth="1"/>
    <col min="11543" max="11543" width="12.1328125" style="147" customWidth="1"/>
    <col min="11544" max="11544" width="14" style="147" customWidth="1"/>
    <col min="11545" max="11545" width="11.3984375" style="147" customWidth="1"/>
    <col min="11546" max="11546" width="10.73046875" style="147" customWidth="1"/>
    <col min="11547" max="11780" width="9.1328125" style="147"/>
    <col min="11781" max="11781" width="11.59765625" style="147" customWidth="1"/>
    <col min="11782" max="11782" width="11.73046875" style="147" customWidth="1"/>
    <col min="11783" max="11783" width="9.265625" style="147" customWidth="1"/>
    <col min="11784" max="11784" width="9" style="147" customWidth="1"/>
    <col min="11785" max="11785" width="10.265625" style="147" customWidth="1"/>
    <col min="11786" max="11787" width="8.1328125" style="147" customWidth="1"/>
    <col min="11788" max="11789" width="8.265625" style="147" customWidth="1"/>
    <col min="11790" max="11790" width="10.59765625" style="147" customWidth="1"/>
    <col min="11791" max="11791" width="12.73046875" style="147" customWidth="1"/>
    <col min="11792" max="11792" width="9.3984375" style="147" customWidth="1"/>
    <col min="11793" max="11793" width="7.59765625" style="147" customWidth="1"/>
    <col min="11794" max="11794" width="8.73046875" style="147" customWidth="1"/>
    <col min="11795" max="11795" width="13.3984375" style="147" customWidth="1"/>
    <col min="11796" max="11798" width="10.73046875" style="147" customWidth="1"/>
    <col min="11799" max="11799" width="12.1328125" style="147" customWidth="1"/>
    <col min="11800" max="11800" width="14" style="147" customWidth="1"/>
    <col min="11801" max="11801" width="11.3984375" style="147" customWidth="1"/>
    <col min="11802" max="11802" width="10.73046875" style="147" customWidth="1"/>
    <col min="11803" max="12036" width="9.1328125" style="147"/>
    <col min="12037" max="12037" width="11.59765625" style="147" customWidth="1"/>
    <col min="12038" max="12038" width="11.73046875" style="147" customWidth="1"/>
    <col min="12039" max="12039" width="9.265625" style="147" customWidth="1"/>
    <col min="12040" max="12040" width="9" style="147" customWidth="1"/>
    <col min="12041" max="12041" width="10.265625" style="147" customWidth="1"/>
    <col min="12042" max="12043" width="8.1328125" style="147" customWidth="1"/>
    <col min="12044" max="12045" width="8.265625" style="147" customWidth="1"/>
    <col min="12046" max="12046" width="10.59765625" style="147" customWidth="1"/>
    <col min="12047" max="12047" width="12.73046875" style="147" customWidth="1"/>
    <col min="12048" max="12048" width="9.3984375" style="147" customWidth="1"/>
    <col min="12049" max="12049" width="7.59765625" style="147" customWidth="1"/>
    <col min="12050" max="12050" width="8.73046875" style="147" customWidth="1"/>
    <col min="12051" max="12051" width="13.3984375" style="147" customWidth="1"/>
    <col min="12052" max="12054" width="10.73046875" style="147" customWidth="1"/>
    <col min="12055" max="12055" width="12.1328125" style="147" customWidth="1"/>
    <col min="12056" max="12056" width="14" style="147" customWidth="1"/>
    <col min="12057" max="12057" width="11.3984375" style="147" customWidth="1"/>
    <col min="12058" max="12058" width="10.73046875" style="147" customWidth="1"/>
    <col min="12059" max="12292" width="9.1328125" style="147"/>
    <col min="12293" max="12293" width="11.59765625" style="147" customWidth="1"/>
    <col min="12294" max="12294" width="11.73046875" style="147" customWidth="1"/>
    <col min="12295" max="12295" width="9.265625" style="147" customWidth="1"/>
    <col min="12296" max="12296" width="9" style="147" customWidth="1"/>
    <col min="12297" max="12297" width="10.265625" style="147" customWidth="1"/>
    <col min="12298" max="12299" width="8.1328125" style="147" customWidth="1"/>
    <col min="12300" max="12301" width="8.265625" style="147" customWidth="1"/>
    <col min="12302" max="12302" width="10.59765625" style="147" customWidth="1"/>
    <col min="12303" max="12303" width="12.73046875" style="147" customWidth="1"/>
    <col min="12304" max="12304" width="9.3984375" style="147" customWidth="1"/>
    <col min="12305" max="12305" width="7.59765625" style="147" customWidth="1"/>
    <col min="12306" max="12306" width="8.73046875" style="147" customWidth="1"/>
    <col min="12307" max="12307" width="13.3984375" style="147" customWidth="1"/>
    <col min="12308" max="12310" width="10.73046875" style="147" customWidth="1"/>
    <col min="12311" max="12311" width="12.1328125" style="147" customWidth="1"/>
    <col min="12312" max="12312" width="14" style="147" customWidth="1"/>
    <col min="12313" max="12313" width="11.3984375" style="147" customWidth="1"/>
    <col min="12314" max="12314" width="10.73046875" style="147" customWidth="1"/>
    <col min="12315" max="12548" width="9.1328125" style="147"/>
    <col min="12549" max="12549" width="11.59765625" style="147" customWidth="1"/>
    <col min="12550" max="12550" width="11.73046875" style="147" customWidth="1"/>
    <col min="12551" max="12551" width="9.265625" style="147" customWidth="1"/>
    <col min="12552" max="12552" width="9" style="147" customWidth="1"/>
    <col min="12553" max="12553" width="10.265625" style="147" customWidth="1"/>
    <col min="12554" max="12555" width="8.1328125" style="147" customWidth="1"/>
    <col min="12556" max="12557" width="8.265625" style="147" customWidth="1"/>
    <col min="12558" max="12558" width="10.59765625" style="147" customWidth="1"/>
    <col min="12559" max="12559" width="12.73046875" style="147" customWidth="1"/>
    <col min="12560" max="12560" width="9.3984375" style="147" customWidth="1"/>
    <col min="12561" max="12561" width="7.59765625" style="147" customWidth="1"/>
    <col min="12562" max="12562" width="8.73046875" style="147" customWidth="1"/>
    <col min="12563" max="12563" width="13.3984375" style="147" customWidth="1"/>
    <col min="12564" max="12566" width="10.73046875" style="147" customWidth="1"/>
    <col min="12567" max="12567" width="12.1328125" style="147" customWidth="1"/>
    <col min="12568" max="12568" width="14" style="147" customWidth="1"/>
    <col min="12569" max="12569" width="11.3984375" style="147" customWidth="1"/>
    <col min="12570" max="12570" width="10.73046875" style="147" customWidth="1"/>
    <col min="12571" max="12804" width="9.1328125" style="147"/>
    <col min="12805" max="12805" width="11.59765625" style="147" customWidth="1"/>
    <col min="12806" max="12806" width="11.73046875" style="147" customWidth="1"/>
    <col min="12807" max="12807" width="9.265625" style="147" customWidth="1"/>
    <col min="12808" max="12808" width="9" style="147" customWidth="1"/>
    <col min="12809" max="12809" width="10.265625" style="147" customWidth="1"/>
    <col min="12810" max="12811" width="8.1328125" style="147" customWidth="1"/>
    <col min="12812" max="12813" width="8.265625" style="147" customWidth="1"/>
    <col min="12814" max="12814" width="10.59765625" style="147" customWidth="1"/>
    <col min="12815" max="12815" width="12.73046875" style="147" customWidth="1"/>
    <col min="12816" max="12816" width="9.3984375" style="147" customWidth="1"/>
    <col min="12817" max="12817" width="7.59765625" style="147" customWidth="1"/>
    <col min="12818" max="12818" width="8.73046875" style="147" customWidth="1"/>
    <col min="12819" max="12819" width="13.3984375" style="147" customWidth="1"/>
    <col min="12820" max="12822" width="10.73046875" style="147" customWidth="1"/>
    <col min="12823" max="12823" width="12.1328125" style="147" customWidth="1"/>
    <col min="12824" max="12824" width="14" style="147" customWidth="1"/>
    <col min="12825" max="12825" width="11.3984375" style="147" customWidth="1"/>
    <col min="12826" max="12826" width="10.73046875" style="147" customWidth="1"/>
    <col min="12827" max="13060" width="9.1328125" style="147"/>
    <col min="13061" max="13061" width="11.59765625" style="147" customWidth="1"/>
    <col min="13062" max="13062" width="11.73046875" style="147" customWidth="1"/>
    <col min="13063" max="13063" width="9.265625" style="147" customWidth="1"/>
    <col min="13064" max="13064" width="9" style="147" customWidth="1"/>
    <col min="13065" max="13065" width="10.265625" style="147" customWidth="1"/>
    <col min="13066" max="13067" width="8.1328125" style="147" customWidth="1"/>
    <col min="13068" max="13069" width="8.265625" style="147" customWidth="1"/>
    <col min="13070" max="13070" width="10.59765625" style="147" customWidth="1"/>
    <col min="13071" max="13071" width="12.73046875" style="147" customWidth="1"/>
    <col min="13072" max="13072" width="9.3984375" style="147" customWidth="1"/>
    <col min="13073" max="13073" width="7.59765625" style="147" customWidth="1"/>
    <col min="13074" max="13074" width="8.73046875" style="147" customWidth="1"/>
    <col min="13075" max="13075" width="13.3984375" style="147" customWidth="1"/>
    <col min="13076" max="13078" width="10.73046875" style="147" customWidth="1"/>
    <col min="13079" max="13079" width="12.1328125" style="147" customWidth="1"/>
    <col min="13080" max="13080" width="14" style="147" customWidth="1"/>
    <col min="13081" max="13081" width="11.3984375" style="147" customWidth="1"/>
    <col min="13082" max="13082" width="10.73046875" style="147" customWidth="1"/>
    <col min="13083" max="13316" width="9.1328125" style="147"/>
    <col min="13317" max="13317" width="11.59765625" style="147" customWidth="1"/>
    <col min="13318" max="13318" width="11.73046875" style="147" customWidth="1"/>
    <col min="13319" max="13319" width="9.265625" style="147" customWidth="1"/>
    <col min="13320" max="13320" width="9" style="147" customWidth="1"/>
    <col min="13321" max="13321" width="10.265625" style="147" customWidth="1"/>
    <col min="13322" max="13323" width="8.1328125" style="147" customWidth="1"/>
    <col min="13324" max="13325" width="8.265625" style="147" customWidth="1"/>
    <col min="13326" max="13326" width="10.59765625" style="147" customWidth="1"/>
    <col min="13327" max="13327" width="12.73046875" style="147" customWidth="1"/>
    <col min="13328" max="13328" width="9.3984375" style="147" customWidth="1"/>
    <col min="13329" max="13329" width="7.59765625" style="147" customWidth="1"/>
    <col min="13330" max="13330" width="8.73046875" style="147" customWidth="1"/>
    <col min="13331" max="13331" width="13.3984375" style="147" customWidth="1"/>
    <col min="13332" max="13334" width="10.73046875" style="147" customWidth="1"/>
    <col min="13335" max="13335" width="12.1328125" style="147" customWidth="1"/>
    <col min="13336" max="13336" width="14" style="147" customWidth="1"/>
    <col min="13337" max="13337" width="11.3984375" style="147" customWidth="1"/>
    <col min="13338" max="13338" width="10.73046875" style="147" customWidth="1"/>
    <col min="13339" max="13572" width="9.1328125" style="147"/>
    <col min="13573" max="13573" width="11.59765625" style="147" customWidth="1"/>
    <col min="13574" max="13574" width="11.73046875" style="147" customWidth="1"/>
    <col min="13575" max="13575" width="9.265625" style="147" customWidth="1"/>
    <col min="13576" max="13576" width="9" style="147" customWidth="1"/>
    <col min="13577" max="13577" width="10.265625" style="147" customWidth="1"/>
    <col min="13578" max="13579" width="8.1328125" style="147" customWidth="1"/>
    <col min="13580" max="13581" width="8.265625" style="147" customWidth="1"/>
    <col min="13582" max="13582" width="10.59765625" style="147" customWidth="1"/>
    <col min="13583" max="13583" width="12.73046875" style="147" customWidth="1"/>
    <col min="13584" max="13584" width="9.3984375" style="147" customWidth="1"/>
    <col min="13585" max="13585" width="7.59765625" style="147" customWidth="1"/>
    <col min="13586" max="13586" width="8.73046875" style="147" customWidth="1"/>
    <col min="13587" max="13587" width="13.3984375" style="147" customWidth="1"/>
    <col min="13588" max="13590" width="10.73046875" style="147" customWidth="1"/>
    <col min="13591" max="13591" width="12.1328125" style="147" customWidth="1"/>
    <col min="13592" max="13592" width="14" style="147" customWidth="1"/>
    <col min="13593" max="13593" width="11.3984375" style="147" customWidth="1"/>
    <col min="13594" max="13594" width="10.73046875" style="147" customWidth="1"/>
    <col min="13595" max="13828" width="9.1328125" style="147"/>
    <col min="13829" max="13829" width="11.59765625" style="147" customWidth="1"/>
    <col min="13830" max="13830" width="11.73046875" style="147" customWidth="1"/>
    <col min="13831" max="13831" width="9.265625" style="147" customWidth="1"/>
    <col min="13832" max="13832" width="9" style="147" customWidth="1"/>
    <col min="13833" max="13833" width="10.265625" style="147" customWidth="1"/>
    <col min="13834" max="13835" width="8.1328125" style="147" customWidth="1"/>
    <col min="13836" max="13837" width="8.265625" style="147" customWidth="1"/>
    <col min="13838" max="13838" width="10.59765625" style="147" customWidth="1"/>
    <col min="13839" max="13839" width="12.73046875" style="147" customWidth="1"/>
    <col min="13840" max="13840" width="9.3984375" style="147" customWidth="1"/>
    <col min="13841" max="13841" width="7.59765625" style="147" customWidth="1"/>
    <col min="13842" max="13842" width="8.73046875" style="147" customWidth="1"/>
    <col min="13843" max="13843" width="13.3984375" style="147" customWidth="1"/>
    <col min="13844" max="13846" width="10.73046875" style="147" customWidth="1"/>
    <col min="13847" max="13847" width="12.1328125" style="147" customWidth="1"/>
    <col min="13848" max="13848" width="14" style="147" customWidth="1"/>
    <col min="13849" max="13849" width="11.3984375" style="147" customWidth="1"/>
    <col min="13850" max="13850" width="10.73046875" style="147" customWidth="1"/>
    <col min="13851" max="14084" width="9.1328125" style="147"/>
    <col min="14085" max="14085" width="11.59765625" style="147" customWidth="1"/>
    <col min="14086" max="14086" width="11.73046875" style="147" customWidth="1"/>
    <col min="14087" max="14087" width="9.265625" style="147" customWidth="1"/>
    <col min="14088" max="14088" width="9" style="147" customWidth="1"/>
    <col min="14089" max="14089" width="10.265625" style="147" customWidth="1"/>
    <col min="14090" max="14091" width="8.1328125" style="147" customWidth="1"/>
    <col min="14092" max="14093" width="8.265625" style="147" customWidth="1"/>
    <col min="14094" max="14094" width="10.59765625" style="147" customWidth="1"/>
    <col min="14095" max="14095" width="12.73046875" style="147" customWidth="1"/>
    <col min="14096" max="14096" width="9.3984375" style="147" customWidth="1"/>
    <col min="14097" max="14097" width="7.59765625" style="147" customWidth="1"/>
    <col min="14098" max="14098" width="8.73046875" style="147" customWidth="1"/>
    <col min="14099" max="14099" width="13.3984375" style="147" customWidth="1"/>
    <col min="14100" max="14102" width="10.73046875" style="147" customWidth="1"/>
    <col min="14103" max="14103" width="12.1328125" style="147" customWidth="1"/>
    <col min="14104" max="14104" width="14" style="147" customWidth="1"/>
    <col min="14105" max="14105" width="11.3984375" style="147" customWidth="1"/>
    <col min="14106" max="14106" width="10.73046875" style="147" customWidth="1"/>
    <col min="14107" max="14340" width="9.1328125" style="147"/>
    <col min="14341" max="14341" width="11.59765625" style="147" customWidth="1"/>
    <col min="14342" max="14342" width="11.73046875" style="147" customWidth="1"/>
    <col min="14343" max="14343" width="9.265625" style="147" customWidth="1"/>
    <col min="14344" max="14344" width="9" style="147" customWidth="1"/>
    <col min="14345" max="14345" width="10.265625" style="147" customWidth="1"/>
    <col min="14346" max="14347" width="8.1328125" style="147" customWidth="1"/>
    <col min="14348" max="14349" width="8.265625" style="147" customWidth="1"/>
    <col min="14350" max="14350" width="10.59765625" style="147" customWidth="1"/>
    <col min="14351" max="14351" width="12.73046875" style="147" customWidth="1"/>
    <col min="14352" max="14352" width="9.3984375" style="147" customWidth="1"/>
    <col min="14353" max="14353" width="7.59765625" style="147" customWidth="1"/>
    <col min="14354" max="14354" width="8.73046875" style="147" customWidth="1"/>
    <col min="14355" max="14355" width="13.3984375" style="147" customWidth="1"/>
    <col min="14356" max="14358" width="10.73046875" style="147" customWidth="1"/>
    <col min="14359" max="14359" width="12.1328125" style="147" customWidth="1"/>
    <col min="14360" max="14360" width="14" style="147" customWidth="1"/>
    <col min="14361" max="14361" width="11.3984375" style="147" customWidth="1"/>
    <col min="14362" max="14362" width="10.73046875" style="147" customWidth="1"/>
    <col min="14363" max="14596" width="9.1328125" style="147"/>
    <col min="14597" max="14597" width="11.59765625" style="147" customWidth="1"/>
    <col min="14598" max="14598" width="11.73046875" style="147" customWidth="1"/>
    <col min="14599" max="14599" width="9.265625" style="147" customWidth="1"/>
    <col min="14600" max="14600" width="9" style="147" customWidth="1"/>
    <col min="14601" max="14601" width="10.265625" style="147" customWidth="1"/>
    <col min="14602" max="14603" width="8.1328125" style="147" customWidth="1"/>
    <col min="14604" max="14605" width="8.265625" style="147" customWidth="1"/>
    <col min="14606" max="14606" width="10.59765625" style="147" customWidth="1"/>
    <col min="14607" max="14607" width="12.73046875" style="147" customWidth="1"/>
    <col min="14608" max="14608" width="9.3984375" style="147" customWidth="1"/>
    <col min="14609" max="14609" width="7.59765625" style="147" customWidth="1"/>
    <col min="14610" max="14610" width="8.73046875" style="147" customWidth="1"/>
    <col min="14611" max="14611" width="13.3984375" style="147" customWidth="1"/>
    <col min="14612" max="14614" width="10.73046875" style="147" customWidth="1"/>
    <col min="14615" max="14615" width="12.1328125" style="147" customWidth="1"/>
    <col min="14616" max="14616" width="14" style="147" customWidth="1"/>
    <col min="14617" max="14617" width="11.3984375" style="147" customWidth="1"/>
    <col min="14618" max="14618" width="10.73046875" style="147" customWidth="1"/>
    <col min="14619" max="14852" width="9.1328125" style="147"/>
    <col min="14853" max="14853" width="11.59765625" style="147" customWidth="1"/>
    <col min="14854" max="14854" width="11.73046875" style="147" customWidth="1"/>
    <col min="14855" max="14855" width="9.265625" style="147" customWidth="1"/>
    <col min="14856" max="14856" width="9" style="147" customWidth="1"/>
    <col min="14857" max="14857" width="10.265625" style="147" customWidth="1"/>
    <col min="14858" max="14859" width="8.1328125" style="147" customWidth="1"/>
    <col min="14860" max="14861" width="8.265625" style="147" customWidth="1"/>
    <col min="14862" max="14862" width="10.59765625" style="147" customWidth="1"/>
    <col min="14863" max="14863" width="12.73046875" style="147" customWidth="1"/>
    <col min="14864" max="14864" width="9.3984375" style="147" customWidth="1"/>
    <col min="14865" max="14865" width="7.59765625" style="147" customWidth="1"/>
    <col min="14866" max="14866" width="8.73046875" style="147" customWidth="1"/>
    <col min="14867" max="14867" width="13.3984375" style="147" customWidth="1"/>
    <col min="14868" max="14870" width="10.73046875" style="147" customWidth="1"/>
    <col min="14871" max="14871" width="12.1328125" style="147" customWidth="1"/>
    <col min="14872" max="14872" width="14" style="147" customWidth="1"/>
    <col min="14873" max="14873" width="11.3984375" style="147" customWidth="1"/>
    <col min="14874" max="14874" width="10.73046875" style="147" customWidth="1"/>
    <col min="14875" max="15108" width="9.1328125" style="147"/>
    <col min="15109" max="15109" width="11.59765625" style="147" customWidth="1"/>
    <col min="15110" max="15110" width="11.73046875" style="147" customWidth="1"/>
    <col min="15111" max="15111" width="9.265625" style="147" customWidth="1"/>
    <col min="15112" max="15112" width="9" style="147" customWidth="1"/>
    <col min="15113" max="15113" width="10.265625" style="147" customWidth="1"/>
    <col min="15114" max="15115" width="8.1328125" style="147" customWidth="1"/>
    <col min="15116" max="15117" width="8.265625" style="147" customWidth="1"/>
    <col min="15118" max="15118" width="10.59765625" style="147" customWidth="1"/>
    <col min="15119" max="15119" width="12.73046875" style="147" customWidth="1"/>
    <col min="15120" max="15120" width="9.3984375" style="147" customWidth="1"/>
    <col min="15121" max="15121" width="7.59765625" style="147" customWidth="1"/>
    <col min="15122" max="15122" width="8.73046875" style="147" customWidth="1"/>
    <col min="15123" max="15123" width="13.3984375" style="147" customWidth="1"/>
    <col min="15124" max="15126" width="10.73046875" style="147" customWidth="1"/>
    <col min="15127" max="15127" width="12.1328125" style="147" customWidth="1"/>
    <col min="15128" max="15128" width="14" style="147" customWidth="1"/>
    <col min="15129" max="15129" width="11.3984375" style="147" customWidth="1"/>
    <col min="15130" max="15130" width="10.73046875" style="147" customWidth="1"/>
    <col min="15131" max="15364" width="9.1328125" style="147"/>
    <col min="15365" max="15365" width="11.59765625" style="147" customWidth="1"/>
    <col min="15366" max="15366" width="11.73046875" style="147" customWidth="1"/>
    <col min="15367" max="15367" width="9.265625" style="147" customWidth="1"/>
    <col min="15368" max="15368" width="9" style="147" customWidth="1"/>
    <col min="15369" max="15369" width="10.265625" style="147" customWidth="1"/>
    <col min="15370" max="15371" width="8.1328125" style="147" customWidth="1"/>
    <col min="15372" max="15373" width="8.265625" style="147" customWidth="1"/>
    <col min="15374" max="15374" width="10.59765625" style="147" customWidth="1"/>
    <col min="15375" max="15375" width="12.73046875" style="147" customWidth="1"/>
    <col min="15376" max="15376" width="9.3984375" style="147" customWidth="1"/>
    <col min="15377" max="15377" width="7.59765625" style="147" customWidth="1"/>
    <col min="15378" max="15378" width="8.73046875" style="147" customWidth="1"/>
    <col min="15379" max="15379" width="13.3984375" style="147" customWidth="1"/>
    <col min="15380" max="15382" width="10.73046875" style="147" customWidth="1"/>
    <col min="15383" max="15383" width="12.1328125" style="147" customWidth="1"/>
    <col min="15384" max="15384" width="14" style="147" customWidth="1"/>
    <col min="15385" max="15385" width="11.3984375" style="147" customWidth="1"/>
    <col min="15386" max="15386" width="10.73046875" style="147" customWidth="1"/>
    <col min="15387" max="15620" width="9.1328125" style="147"/>
    <col min="15621" max="15621" width="11.59765625" style="147" customWidth="1"/>
    <col min="15622" max="15622" width="11.73046875" style="147" customWidth="1"/>
    <col min="15623" max="15623" width="9.265625" style="147" customWidth="1"/>
    <col min="15624" max="15624" width="9" style="147" customWidth="1"/>
    <col min="15625" max="15625" width="10.265625" style="147" customWidth="1"/>
    <col min="15626" max="15627" width="8.1328125" style="147" customWidth="1"/>
    <col min="15628" max="15629" width="8.265625" style="147" customWidth="1"/>
    <col min="15630" max="15630" width="10.59765625" style="147" customWidth="1"/>
    <col min="15631" max="15631" width="12.73046875" style="147" customWidth="1"/>
    <col min="15632" max="15632" width="9.3984375" style="147" customWidth="1"/>
    <col min="15633" max="15633" width="7.59765625" style="147" customWidth="1"/>
    <col min="15634" max="15634" width="8.73046875" style="147" customWidth="1"/>
    <col min="15635" max="15635" width="13.3984375" style="147" customWidth="1"/>
    <col min="15636" max="15638" width="10.73046875" style="147" customWidth="1"/>
    <col min="15639" max="15639" width="12.1328125" style="147" customWidth="1"/>
    <col min="15640" max="15640" width="14" style="147" customWidth="1"/>
    <col min="15641" max="15641" width="11.3984375" style="147" customWidth="1"/>
    <col min="15642" max="15642" width="10.73046875" style="147" customWidth="1"/>
    <col min="15643" max="15876" width="9.1328125" style="147"/>
    <col min="15877" max="15877" width="11.59765625" style="147" customWidth="1"/>
    <col min="15878" max="15878" width="11.73046875" style="147" customWidth="1"/>
    <col min="15879" max="15879" width="9.265625" style="147" customWidth="1"/>
    <col min="15880" max="15880" width="9" style="147" customWidth="1"/>
    <col min="15881" max="15881" width="10.265625" style="147" customWidth="1"/>
    <col min="15882" max="15883" width="8.1328125" style="147" customWidth="1"/>
    <col min="15884" max="15885" width="8.265625" style="147" customWidth="1"/>
    <col min="15886" max="15886" width="10.59765625" style="147" customWidth="1"/>
    <col min="15887" max="15887" width="12.73046875" style="147" customWidth="1"/>
    <col min="15888" max="15888" width="9.3984375" style="147" customWidth="1"/>
    <col min="15889" max="15889" width="7.59765625" style="147" customWidth="1"/>
    <col min="15890" max="15890" width="8.73046875" style="147" customWidth="1"/>
    <col min="15891" max="15891" width="13.3984375" style="147" customWidth="1"/>
    <col min="15892" max="15894" width="10.73046875" style="147" customWidth="1"/>
    <col min="15895" max="15895" width="12.1328125" style="147" customWidth="1"/>
    <col min="15896" max="15896" width="14" style="147" customWidth="1"/>
    <col min="15897" max="15897" width="11.3984375" style="147" customWidth="1"/>
    <col min="15898" max="15898" width="10.73046875" style="147" customWidth="1"/>
    <col min="15899" max="16132" width="9.1328125" style="147"/>
    <col min="16133" max="16133" width="11.59765625" style="147" customWidth="1"/>
    <col min="16134" max="16134" width="11.73046875" style="147" customWidth="1"/>
    <col min="16135" max="16135" width="9.265625" style="147" customWidth="1"/>
    <col min="16136" max="16136" width="9" style="147" customWidth="1"/>
    <col min="16137" max="16137" width="10.265625" style="147" customWidth="1"/>
    <col min="16138" max="16139" width="8.1328125" style="147" customWidth="1"/>
    <col min="16140" max="16141" width="8.265625" style="147" customWidth="1"/>
    <col min="16142" max="16142" width="10.59765625" style="147" customWidth="1"/>
    <col min="16143" max="16143" width="12.73046875" style="147" customWidth="1"/>
    <col min="16144" max="16144" width="9.3984375" style="147" customWidth="1"/>
    <col min="16145" max="16145" width="7.59765625" style="147" customWidth="1"/>
    <col min="16146" max="16146" width="8.73046875" style="147" customWidth="1"/>
    <col min="16147" max="16147" width="13.3984375" style="147" customWidth="1"/>
    <col min="16148" max="16150" width="10.73046875" style="147" customWidth="1"/>
    <col min="16151" max="16151" width="12.1328125" style="147" customWidth="1"/>
    <col min="16152" max="16152" width="14" style="147" customWidth="1"/>
    <col min="16153" max="16153" width="11.3984375" style="147" customWidth="1"/>
    <col min="16154" max="16154" width="10.73046875" style="147" customWidth="1"/>
    <col min="16155" max="16383" width="9.1328125" style="147"/>
    <col min="16384" max="16384" width="9.1328125" style="147" customWidth="1"/>
  </cols>
  <sheetData>
    <row r="1" spans="1:51" ht="21" hidden="1" thickBot="1">
      <c r="A1" s="232" t="s">
        <v>306</v>
      </c>
      <c r="B1" s="233"/>
      <c r="C1" s="144"/>
      <c r="D1" s="144"/>
      <c r="E1" s="144"/>
      <c r="F1" s="145"/>
      <c r="G1" s="145"/>
      <c r="H1" s="144"/>
      <c r="I1" s="144"/>
      <c r="J1" s="144"/>
      <c r="K1" s="144"/>
      <c r="L1" s="144"/>
      <c r="M1" s="144"/>
      <c r="N1" s="144"/>
      <c r="O1" s="144"/>
      <c r="P1" s="240"/>
      <c r="Q1" s="240"/>
      <c r="R1" s="240"/>
      <c r="S1" s="144"/>
      <c r="T1" s="144"/>
      <c r="U1" s="144"/>
      <c r="V1" s="144"/>
      <c r="W1" s="144"/>
      <c r="X1" s="144"/>
      <c r="Y1" s="144"/>
      <c r="Z1" s="144"/>
      <c r="AA1" s="146"/>
    </row>
    <row r="2" spans="1:51" ht="15.4" hidden="1" thickBot="1">
      <c r="B2" s="233"/>
      <c r="W2" s="147" t="s">
        <v>307</v>
      </c>
      <c r="X2" s="149" t="s">
        <v>308</v>
      </c>
    </row>
    <row r="3" spans="1:51" ht="25.5" hidden="1" thickBot="1">
      <c r="A3" s="234" t="s">
        <v>309</v>
      </c>
      <c r="C3" s="144"/>
      <c r="D3" s="144"/>
      <c r="E3" s="144"/>
      <c r="F3" s="145"/>
      <c r="G3" s="145"/>
      <c r="H3" s="144"/>
      <c r="I3" s="144"/>
      <c r="J3" s="144"/>
      <c r="K3" s="144"/>
      <c r="L3" s="144"/>
      <c r="M3" s="144"/>
      <c r="N3" s="144"/>
      <c r="O3" s="144"/>
      <c r="P3" s="240"/>
      <c r="Q3" s="240"/>
      <c r="R3" s="240"/>
      <c r="S3" s="144"/>
      <c r="T3" s="144"/>
      <c r="U3" s="144"/>
      <c r="V3" s="144"/>
      <c r="W3" s="144"/>
      <c r="X3" s="144"/>
      <c r="Y3" s="144"/>
      <c r="Z3" s="144"/>
    </row>
    <row r="4" spans="1:51" ht="24.95" hidden="1" customHeight="1">
      <c r="A4" s="236"/>
      <c r="C4" s="144"/>
      <c r="D4" s="144"/>
      <c r="E4" s="144"/>
      <c r="F4" s="145"/>
      <c r="G4" s="145"/>
      <c r="H4" s="144"/>
      <c r="I4" s="144"/>
      <c r="J4" s="144"/>
      <c r="K4" s="144"/>
      <c r="L4" s="144"/>
      <c r="M4" s="144"/>
      <c r="N4" s="144"/>
      <c r="O4" s="150"/>
      <c r="P4" s="241"/>
      <c r="Q4" s="241"/>
      <c r="R4" s="241"/>
      <c r="S4" s="150"/>
      <c r="T4" s="150"/>
      <c r="U4" s="150"/>
      <c r="V4" s="150"/>
      <c r="W4" s="150"/>
      <c r="X4" s="150"/>
      <c r="Y4" s="150"/>
      <c r="Z4" s="144"/>
    </row>
    <row r="5" spans="1:51" ht="14.25" hidden="1" thickBot="1">
      <c r="A5" s="237" t="s">
        <v>310</v>
      </c>
      <c r="E5" s="151"/>
      <c r="I5" s="152" t="s">
        <v>311</v>
      </c>
      <c r="J5" s="153"/>
      <c r="O5" s="150"/>
      <c r="P5" s="241"/>
      <c r="Q5" s="241"/>
      <c r="R5" s="241"/>
      <c r="S5" s="150"/>
      <c r="T5" s="150"/>
      <c r="U5" s="150"/>
      <c r="V5" s="150"/>
      <c r="W5" s="150"/>
      <c r="X5" s="150"/>
      <c r="Y5" s="150"/>
    </row>
    <row r="6" spans="1:51" ht="14.25" hidden="1" thickBot="1">
      <c r="A6" s="237" t="s">
        <v>312</v>
      </c>
      <c r="B6" s="238"/>
      <c r="E6" s="151"/>
      <c r="I6" s="152" t="s">
        <v>313</v>
      </c>
      <c r="J6" s="438"/>
      <c r="K6" s="438"/>
      <c r="L6" s="438"/>
      <c r="M6" s="438"/>
      <c r="N6" s="438"/>
      <c r="O6" s="438"/>
    </row>
    <row r="7" spans="1:51" ht="13.15" hidden="1" thickBot="1">
      <c r="J7" s="438"/>
      <c r="K7" s="438"/>
      <c r="L7" s="438"/>
      <c r="M7" s="438"/>
      <c r="N7" s="438"/>
      <c r="O7" s="438"/>
    </row>
    <row r="8" spans="1:51" s="154" customFormat="1" ht="15">
      <c r="A8" s="230" t="s">
        <v>314</v>
      </c>
      <c r="B8" s="231"/>
      <c r="C8" s="187" t="s">
        <v>315</v>
      </c>
      <c r="D8" s="189"/>
      <c r="E8" s="189"/>
      <c r="F8" s="190"/>
      <c r="G8" s="191"/>
      <c r="H8" s="187" t="s">
        <v>316</v>
      </c>
      <c r="I8" s="189"/>
      <c r="J8" s="189"/>
      <c r="K8" s="189"/>
      <c r="L8" s="188"/>
      <c r="M8" s="187" t="s">
        <v>317</v>
      </c>
      <c r="N8" s="189"/>
      <c r="O8" s="189"/>
      <c r="P8" s="242"/>
      <c r="Q8" s="242"/>
      <c r="R8" s="242"/>
      <c r="S8" s="189"/>
      <c r="T8" s="189"/>
      <c r="U8" s="189"/>
      <c r="V8" s="189"/>
      <c r="W8" s="189"/>
      <c r="X8" s="188"/>
      <c r="Y8" s="439" t="s">
        <v>318</v>
      </c>
      <c r="Z8" s="440"/>
    </row>
    <row r="9" spans="1:51" s="154" customFormat="1" ht="24.95" customHeight="1">
      <c r="A9" s="192"/>
      <c r="B9" s="193"/>
      <c r="C9" s="192"/>
      <c r="D9" s="194"/>
      <c r="E9" s="194"/>
      <c r="F9" s="195"/>
      <c r="G9" s="196"/>
      <c r="H9" s="192"/>
      <c r="I9" s="194"/>
      <c r="J9" s="194" t="s">
        <v>319</v>
      </c>
      <c r="K9" s="194" t="s">
        <v>320</v>
      </c>
      <c r="L9" s="193"/>
      <c r="M9" s="192"/>
      <c r="N9" s="194"/>
      <c r="O9" s="194"/>
      <c r="P9" s="243"/>
      <c r="Q9" s="243"/>
      <c r="R9" s="243"/>
      <c r="S9" s="194"/>
      <c r="T9" s="194"/>
      <c r="U9" s="194"/>
      <c r="V9" s="194"/>
      <c r="W9" s="194"/>
      <c r="X9" s="193"/>
      <c r="Y9" s="192"/>
      <c r="Z9" s="193"/>
    </row>
    <row r="10" spans="1:51" s="154" customFormat="1" ht="24.95" customHeight="1">
      <c r="A10" s="197"/>
      <c r="B10" s="198"/>
      <c r="C10" s="197" t="s">
        <v>79</v>
      </c>
      <c r="D10" s="199" t="s">
        <v>321</v>
      </c>
      <c r="E10" s="199" t="s">
        <v>79</v>
      </c>
      <c r="F10" s="200"/>
      <c r="G10" s="201" t="s">
        <v>322</v>
      </c>
      <c r="H10" s="197"/>
      <c r="I10" s="199"/>
      <c r="J10" s="199" t="s">
        <v>323</v>
      </c>
      <c r="K10" s="199" t="s">
        <v>324</v>
      </c>
      <c r="L10" s="198"/>
      <c r="M10" s="197"/>
      <c r="N10" s="199"/>
      <c r="O10" s="202" t="s">
        <v>325</v>
      </c>
      <c r="P10" s="244"/>
      <c r="Q10" s="244"/>
      <c r="R10" s="244"/>
      <c r="S10" s="202" t="s">
        <v>327</v>
      </c>
      <c r="T10" s="199" t="s">
        <v>326</v>
      </c>
      <c r="U10" s="199" t="s">
        <v>328</v>
      </c>
      <c r="V10" s="199" t="s">
        <v>176</v>
      </c>
      <c r="W10" s="199" t="s">
        <v>329</v>
      </c>
      <c r="X10" s="198" t="s">
        <v>330</v>
      </c>
      <c r="Y10" s="197" t="s">
        <v>331</v>
      </c>
      <c r="Z10" s="198" t="s">
        <v>86</v>
      </c>
      <c r="AB10" s="155"/>
    </row>
    <row r="11" spans="1:51" s="154" customFormat="1" ht="25.9" thickBot="1">
      <c r="A11" s="197" t="s">
        <v>0</v>
      </c>
      <c r="B11" s="198" t="s">
        <v>8</v>
      </c>
      <c r="C11" s="197" t="s">
        <v>21</v>
      </c>
      <c r="D11" s="199" t="s">
        <v>21</v>
      </c>
      <c r="E11" s="199" t="s">
        <v>3</v>
      </c>
      <c r="F11" s="203" t="s">
        <v>332</v>
      </c>
      <c r="G11" s="204" t="s">
        <v>332</v>
      </c>
      <c r="H11" s="205" t="s">
        <v>333</v>
      </c>
      <c r="I11" s="206" t="s">
        <v>334</v>
      </c>
      <c r="J11" s="199" t="s">
        <v>335</v>
      </c>
      <c r="K11" s="199" t="s">
        <v>336</v>
      </c>
      <c r="L11" s="198" t="s">
        <v>45</v>
      </c>
      <c r="M11" s="207" t="s">
        <v>156</v>
      </c>
      <c r="N11" s="202" t="s">
        <v>337</v>
      </c>
      <c r="O11" s="202" t="s">
        <v>338</v>
      </c>
      <c r="P11" s="247" t="s">
        <v>398</v>
      </c>
      <c r="Q11" s="247" t="s">
        <v>399</v>
      </c>
      <c r="R11" s="244" t="s">
        <v>35</v>
      </c>
      <c r="S11" s="202" t="s">
        <v>48</v>
      </c>
      <c r="T11" s="199" t="s">
        <v>339</v>
      </c>
      <c r="U11" s="199" t="s">
        <v>340</v>
      </c>
      <c r="V11" s="199" t="s">
        <v>400</v>
      </c>
      <c r="W11" s="199" t="s">
        <v>317</v>
      </c>
      <c r="X11" s="198" t="s">
        <v>169</v>
      </c>
      <c r="Y11" s="197" t="s">
        <v>43</v>
      </c>
      <c r="Z11" s="198" t="s">
        <v>6</v>
      </c>
      <c r="AB11" s="155"/>
      <c r="AC11" s="156"/>
      <c r="AD11" s="156"/>
      <c r="AE11" s="156"/>
      <c r="AF11" s="156"/>
      <c r="AG11" s="156"/>
      <c r="AH11" s="156"/>
      <c r="AI11" s="156"/>
    </row>
    <row r="12" spans="1:51" s="154" customFormat="1" ht="27" thickTop="1" thickBot="1">
      <c r="A12" s="208"/>
      <c r="B12" s="209"/>
      <c r="C12" s="208" t="s">
        <v>341</v>
      </c>
      <c r="D12" s="210" t="s">
        <v>342</v>
      </c>
      <c r="E12" s="210" t="s">
        <v>343</v>
      </c>
      <c r="F12" s="211"/>
      <c r="G12" s="212"/>
      <c r="H12" s="208"/>
      <c r="I12" s="210"/>
      <c r="J12" s="210" t="s">
        <v>81</v>
      </c>
      <c r="K12" s="210" t="s">
        <v>82</v>
      </c>
      <c r="L12" s="209" t="s">
        <v>83</v>
      </c>
      <c r="M12" s="213" t="s">
        <v>344</v>
      </c>
      <c r="N12" s="210"/>
      <c r="O12" s="214" t="s">
        <v>345</v>
      </c>
      <c r="P12" s="245"/>
      <c r="Q12" s="245"/>
      <c r="R12" s="245"/>
      <c r="S12" s="214" t="s">
        <v>85</v>
      </c>
      <c r="T12" s="210" t="s">
        <v>346</v>
      </c>
      <c r="U12" s="210" t="s">
        <v>347</v>
      </c>
      <c r="V12" s="210" t="s">
        <v>347</v>
      </c>
      <c r="W12" s="210" t="s">
        <v>81</v>
      </c>
      <c r="X12" s="209" t="s">
        <v>83</v>
      </c>
      <c r="Y12" s="208" t="s">
        <v>344</v>
      </c>
      <c r="Z12" s="209"/>
      <c r="AA12" s="157" t="s">
        <v>348</v>
      </c>
      <c r="AB12" s="158" t="s">
        <v>349</v>
      </c>
      <c r="AC12" s="158" t="s">
        <v>350</v>
      </c>
      <c r="AD12" s="158" t="s">
        <v>45</v>
      </c>
      <c r="AE12" s="158" t="s">
        <v>289</v>
      </c>
      <c r="AF12" s="251" t="s">
        <v>409</v>
      </c>
      <c r="AG12" s="158" t="s">
        <v>351</v>
      </c>
      <c r="AH12" s="158" t="s">
        <v>352</v>
      </c>
      <c r="AI12" s="158" t="s">
        <v>353</v>
      </c>
      <c r="AJ12" s="158" t="s">
        <v>354</v>
      </c>
      <c r="AK12" s="158" t="s">
        <v>321</v>
      </c>
      <c r="AL12" s="158" t="s">
        <v>170</v>
      </c>
    </row>
    <row r="13" spans="1:51" s="154" customFormat="1" ht="12" customHeight="1" thickTop="1">
      <c r="A13" s="139"/>
      <c r="B13" s="140"/>
      <c r="C13" s="159"/>
      <c r="D13" s="160"/>
      <c r="E13" s="160"/>
      <c r="F13" s="161"/>
      <c r="G13" s="162"/>
      <c r="H13" s="215"/>
      <c r="I13" s="216"/>
      <c r="J13" s="217"/>
      <c r="K13" s="163"/>
      <c r="L13" s="164"/>
      <c r="M13" s="141"/>
      <c r="N13" s="142"/>
      <c r="O13" s="142"/>
      <c r="P13" s="246"/>
      <c r="Q13" s="246"/>
      <c r="R13" s="246"/>
      <c r="S13" s="142"/>
      <c r="T13" s="165"/>
      <c r="U13" s="165"/>
      <c r="V13" s="165"/>
      <c r="W13" s="165"/>
      <c r="X13" s="166"/>
      <c r="Y13" s="167"/>
      <c r="Z13" s="168"/>
      <c r="AA13" s="169"/>
      <c r="AB13" s="170"/>
      <c r="AC13" s="171"/>
      <c r="AD13" s="172"/>
      <c r="AE13" s="170"/>
      <c r="AF13" s="171"/>
      <c r="AG13" s="171"/>
      <c r="AH13" s="156"/>
      <c r="AI13" s="173"/>
      <c r="AJ13" s="156"/>
      <c r="AK13" s="171"/>
      <c r="AL13" s="171"/>
      <c r="AM13" s="174"/>
      <c r="AN13" s="175"/>
      <c r="AO13" s="174"/>
      <c r="AP13" s="174"/>
      <c r="AQ13" s="174"/>
      <c r="AR13" s="174"/>
      <c r="AS13" s="174"/>
      <c r="AT13" s="174"/>
      <c r="AU13" s="176"/>
      <c r="AV13" s="177"/>
      <c r="AW13" s="177"/>
      <c r="AX13" s="177"/>
      <c r="AY13" s="177"/>
    </row>
    <row r="14" spans="1:51" s="154" customFormat="1" ht="12" customHeight="1">
      <c r="A14" s="139" t="s">
        <v>134</v>
      </c>
      <c r="B14" s="329" t="s">
        <v>557</v>
      </c>
      <c r="C14" s="159"/>
      <c r="D14" s="226">
        <f>'Rationals-MCDOT'!L50/43560</f>
        <v>0.33150298438934805</v>
      </c>
      <c r="E14" s="179">
        <f>'Rationals-MCDOT'!L52</f>
        <v>0.55880968984651957</v>
      </c>
      <c r="F14" s="178">
        <f>D14*E14</f>
        <v>0.18524707988980721</v>
      </c>
      <c r="G14" s="162"/>
      <c r="H14" s="228">
        <f>D14</f>
        <v>0.33150298438934805</v>
      </c>
      <c r="I14" s="216">
        <f>F14</f>
        <v>0.18524707988980721</v>
      </c>
      <c r="J14" s="217">
        <f>'Rationals-MCDOT'!J58</f>
        <v>10</v>
      </c>
      <c r="K14" s="163">
        <f>VLOOKUP(ROUND(J14,1),MoCoIntensity!$B$3:$C$183,2,TRUE)</f>
        <v>5.34</v>
      </c>
      <c r="L14" s="180">
        <f>I14*K14</f>
        <v>0.98921940661157048</v>
      </c>
      <c r="M14" s="141">
        <v>12</v>
      </c>
      <c r="N14" s="322" t="s">
        <v>22</v>
      </c>
      <c r="O14" s="142">
        <v>1.2999999999999999E-2</v>
      </c>
      <c r="P14" s="246">
        <v>70</v>
      </c>
      <c r="Q14" s="246">
        <v>69.77</v>
      </c>
      <c r="R14" s="246">
        <v>313.12</v>
      </c>
      <c r="S14" s="142">
        <v>23.411999999999999</v>
      </c>
      <c r="T14" s="470">
        <f>(P14-Q14)/S14</f>
        <v>9.8240218691271145E-3</v>
      </c>
      <c r="U14" s="181">
        <f t="shared" ref="U14:U21" si="0">AL14</f>
        <v>3.885386514578046</v>
      </c>
      <c r="V14" s="181">
        <f>X14*576/(3.14159*M14^2)</f>
        <v>4.5082979322627423</v>
      </c>
      <c r="W14" s="181">
        <f>S14/U14/(60)</f>
        <v>0.10042758900201099</v>
      </c>
      <c r="X14" s="182">
        <f>PI()*(((M14/2)/12)^2*(1.49/O14)*(M14/48)^0.66667*(T14^0.5))</f>
        <v>3.5408059252543271</v>
      </c>
      <c r="Y14" s="183">
        <f t="shared" ref="Y14:Y21" si="1">AI14*12</f>
        <v>4.32</v>
      </c>
      <c r="Z14" s="184">
        <f>L14/X14</f>
        <v>0.27937690669688919</v>
      </c>
      <c r="AA14" s="169"/>
      <c r="AB14" s="170">
        <f>O14</f>
        <v>1.2999999999999999E-2</v>
      </c>
      <c r="AC14" s="171">
        <f>T14</f>
        <v>9.8240218691271145E-3</v>
      </c>
      <c r="AD14" s="172">
        <f>L14</f>
        <v>0.98921940661157048</v>
      </c>
      <c r="AE14" s="170">
        <f>M14</f>
        <v>12</v>
      </c>
      <c r="AF14" s="171"/>
      <c r="AG14" s="171">
        <f t="shared" ref="AG14:AG21" si="2">((AD14*AB14)/(1.49*(AC14)^0.5))/(AE14/12)^2.66666667</f>
        <v>8.7077319444184523E-2</v>
      </c>
      <c r="AH14" s="156">
        <f>VLOOKUP(AG14,TABLES!$A$2:$D$101,2)</f>
        <v>0.36</v>
      </c>
      <c r="AI14" s="173">
        <f t="shared" ref="AI14:AI21" si="3">AH14*AE14/12</f>
        <v>0.36000000000000004</v>
      </c>
      <c r="AJ14" s="156">
        <f>VLOOKUP(AG14,TABLES!$A$2:$D$101,3)</f>
        <v>0.25459999999999999</v>
      </c>
      <c r="AK14" s="171">
        <f t="shared" ref="AK14:AK21" si="4">AJ14*(AE14/12)^2</f>
        <v>0.25459999999999999</v>
      </c>
      <c r="AL14" s="171">
        <f t="shared" ref="AL14:AL21" si="5">AD14/AK14</f>
        <v>3.885386514578046</v>
      </c>
      <c r="AM14" s="174"/>
      <c r="AN14" s="175"/>
      <c r="AO14" s="174"/>
      <c r="AP14" s="174"/>
      <c r="AQ14" s="174"/>
      <c r="AR14" s="174"/>
      <c r="AS14" s="174"/>
      <c r="AT14" s="174"/>
      <c r="AU14" s="176"/>
      <c r="AV14" s="177"/>
      <c r="AW14" s="177"/>
      <c r="AX14" s="177"/>
      <c r="AY14" s="177"/>
    </row>
    <row r="15" spans="1:51" s="154" customFormat="1" ht="12" customHeight="1">
      <c r="A15" s="139" t="s">
        <v>557</v>
      </c>
      <c r="B15" s="414" t="s">
        <v>555</v>
      </c>
      <c r="C15" s="159"/>
      <c r="D15" s="226">
        <v>0</v>
      </c>
      <c r="E15" s="179">
        <v>0</v>
      </c>
      <c r="F15" s="178">
        <v>0</v>
      </c>
      <c r="G15" s="162"/>
      <c r="H15" s="228">
        <f>H14+D15</f>
        <v>0.33150298438934805</v>
      </c>
      <c r="I15" s="216">
        <f>I14+F15</f>
        <v>0.18524707988980721</v>
      </c>
      <c r="J15" s="217">
        <f>J14+W14</f>
        <v>10.100427589002011</v>
      </c>
      <c r="K15" s="163">
        <f>VLOOKUP(ROUND(J15,1),MoCoIntensity!$B$3:$C$183,2,TRUE)</f>
        <v>5.3720000000000061</v>
      </c>
      <c r="L15" s="180">
        <f t="shared" ref="L15:L28" si="6">I15*K15</f>
        <v>0.9951473131680455</v>
      </c>
      <c r="M15" s="141">
        <v>12</v>
      </c>
      <c r="N15" s="322" t="s">
        <v>22</v>
      </c>
      <c r="O15" s="142">
        <v>1.2999999999999999E-2</v>
      </c>
      <c r="P15" s="246">
        <v>69.67</v>
      </c>
      <c r="Q15" s="246">
        <v>69.11</v>
      </c>
      <c r="R15" s="246">
        <v>300</v>
      </c>
      <c r="S15" s="142">
        <v>56.27</v>
      </c>
      <c r="T15" s="470">
        <f>(P15-Q15)/S15</f>
        <v>9.9520170606007159E-3</v>
      </c>
      <c r="U15" s="181">
        <f t="shared" si="0"/>
        <v>3.9086697296466832</v>
      </c>
      <c r="V15" s="181">
        <f>X15*576/(3.14159*M15^2)</f>
        <v>4.5375717405945348</v>
      </c>
      <c r="W15" s="181">
        <f>S15/U15/(60)</f>
        <v>0.23993670435238001</v>
      </c>
      <c r="X15" s="182">
        <f>PI()*(((M15/2)/12)^2*(1.49/O15)*(M15/48)^0.66667*(T15^0.5))</f>
        <v>3.5637975011335965</v>
      </c>
      <c r="Y15" s="183">
        <f t="shared" si="1"/>
        <v>4.32</v>
      </c>
      <c r="Z15" s="184">
        <f>L15/X15</f>
        <v>0.27923789520911396</v>
      </c>
      <c r="AA15" s="169"/>
      <c r="AB15" s="170">
        <f>O15</f>
        <v>1.2999999999999999E-2</v>
      </c>
      <c r="AC15" s="171">
        <f>T15</f>
        <v>9.9520170606007159E-3</v>
      </c>
      <c r="AD15" s="172">
        <f>L15</f>
        <v>0.9951473131680455</v>
      </c>
      <c r="AE15" s="170">
        <f>M15</f>
        <v>12</v>
      </c>
      <c r="AF15" s="171"/>
      <c r="AG15" s="171">
        <f t="shared" si="2"/>
        <v>8.7033991783818737E-2</v>
      </c>
      <c r="AH15" s="156">
        <f>VLOOKUP(AG15,TABLES!$A$2:$D$101,2)</f>
        <v>0.36</v>
      </c>
      <c r="AI15" s="173">
        <f t="shared" si="3"/>
        <v>0.36000000000000004</v>
      </c>
      <c r="AJ15" s="156">
        <f>VLOOKUP(AG15,TABLES!$A$2:$D$101,3)</f>
        <v>0.25459999999999999</v>
      </c>
      <c r="AK15" s="171">
        <f t="shared" si="4"/>
        <v>0.25459999999999999</v>
      </c>
      <c r="AL15" s="171">
        <f t="shared" si="5"/>
        <v>3.9086697296466832</v>
      </c>
      <c r="AM15" s="174"/>
      <c r="AN15" s="175"/>
      <c r="AO15" s="174"/>
      <c r="AP15" s="174"/>
      <c r="AQ15" s="174"/>
      <c r="AR15" s="174"/>
      <c r="AS15" s="174"/>
      <c r="AT15" s="174"/>
      <c r="AU15" s="176"/>
      <c r="AV15" s="177"/>
      <c r="AW15" s="177"/>
      <c r="AX15" s="177"/>
      <c r="AY15" s="177"/>
    </row>
    <row r="16" spans="1:51" s="154" customFormat="1" ht="12" customHeight="1">
      <c r="A16" s="139" t="s">
        <v>555</v>
      </c>
      <c r="B16" s="140" t="s">
        <v>133</v>
      </c>
      <c r="C16" s="159"/>
      <c r="D16" s="225">
        <v>0</v>
      </c>
      <c r="E16" s="179">
        <v>0</v>
      </c>
      <c r="F16" s="178">
        <v>0</v>
      </c>
      <c r="G16" s="162"/>
      <c r="H16" s="228">
        <f>H15+D16</f>
        <v>0.33150298438934805</v>
      </c>
      <c r="I16" s="216">
        <f>I15+F16</f>
        <v>0.18524707988980721</v>
      </c>
      <c r="J16" s="217">
        <f>J15+W15</f>
        <v>10.340364293354391</v>
      </c>
      <c r="K16" s="163">
        <f>VLOOKUP(ROUND(J16,1),MoCoIntensity!$B$3:$C$183,2,TRUE)</f>
        <v>5.4360000000000062</v>
      </c>
      <c r="L16" s="180">
        <f t="shared" si="6"/>
        <v>1.0070031262809931</v>
      </c>
      <c r="M16" s="141">
        <v>12</v>
      </c>
      <c r="N16" s="322" t="s">
        <v>22</v>
      </c>
      <c r="O16" s="142">
        <v>1.2999999999999999E-2</v>
      </c>
      <c r="P16" s="246">
        <v>69.010000000000005</v>
      </c>
      <c r="Q16" s="246">
        <v>68.3</v>
      </c>
      <c r="R16" s="246">
        <v>300</v>
      </c>
      <c r="S16" s="142">
        <v>71.209999999999994</v>
      </c>
      <c r="T16" s="470">
        <f>(P16-Q16)/S16</f>
        <v>9.9705097598652998E-3</v>
      </c>
      <c r="U16" s="181">
        <f t="shared" ref="U16" si="7">AL16</f>
        <v>3.9552361597839476</v>
      </c>
      <c r="V16" s="181">
        <f>X16*576/(3.14159*M16^2)</f>
        <v>4.5417856102176986</v>
      </c>
      <c r="W16" s="181">
        <f>S16/U16/(60)</f>
        <v>0.30006636402670916</v>
      </c>
      <c r="X16" s="182">
        <f>PI()*(((M16/2)/12)^2*(1.49/O16)*(M16/48)^0.66667*(T16^0.5))</f>
        <v>3.5671070638009548</v>
      </c>
      <c r="Y16" s="183">
        <f t="shared" ref="Y16" si="8">AI16*12</f>
        <v>4.32</v>
      </c>
      <c r="Z16" s="184">
        <f>L16/X16</f>
        <v>0.28230246759343808</v>
      </c>
      <c r="AA16" s="169"/>
      <c r="AB16" s="170">
        <f>O16</f>
        <v>1.2999999999999999E-2</v>
      </c>
      <c r="AC16" s="171">
        <f>T16</f>
        <v>9.9705097598652998E-3</v>
      </c>
      <c r="AD16" s="172">
        <f>L16</f>
        <v>1.0070031262809931</v>
      </c>
      <c r="AE16" s="170">
        <f>M16</f>
        <v>12</v>
      </c>
      <c r="AF16" s="171"/>
      <c r="AG16" s="171">
        <f t="shared" ref="AG16" si="9">((AD16*AB16)/(1.49*(AC16)^0.5))/(AE16/12)^2.66666667</f>
        <v>8.7989170046849391E-2</v>
      </c>
      <c r="AH16" s="156">
        <f>VLOOKUP(AG16,TABLES!$A$2:$D$101,2)</f>
        <v>0.36</v>
      </c>
      <c r="AI16" s="173">
        <f t="shared" ref="AI16" si="10">AH16*AE16/12</f>
        <v>0.36000000000000004</v>
      </c>
      <c r="AJ16" s="156">
        <f>VLOOKUP(AG16,TABLES!$A$2:$D$101,3)</f>
        <v>0.25459999999999999</v>
      </c>
      <c r="AK16" s="171">
        <f t="shared" ref="AK16" si="11">AJ16*(AE16/12)^2</f>
        <v>0.25459999999999999</v>
      </c>
      <c r="AL16" s="171">
        <f t="shared" ref="AL16" si="12">AD16/AK16</f>
        <v>3.9552361597839476</v>
      </c>
      <c r="AM16" s="174"/>
      <c r="AN16" s="175"/>
      <c r="AO16" s="174"/>
      <c r="AP16" s="174"/>
      <c r="AQ16" s="174"/>
      <c r="AR16" s="174"/>
      <c r="AS16" s="174"/>
      <c r="AT16" s="174"/>
      <c r="AU16" s="176"/>
      <c r="AV16" s="177"/>
      <c r="AW16" s="177"/>
      <c r="AX16" s="177"/>
      <c r="AY16" s="177"/>
    </row>
    <row r="17" spans="1:51" s="154" customFormat="1" ht="12" customHeight="1">
      <c r="A17" s="139" t="s">
        <v>91</v>
      </c>
      <c r="B17" s="329" t="s">
        <v>133</v>
      </c>
      <c r="C17" s="159"/>
      <c r="D17" s="225">
        <f>'Rationals-MCDOT'!V20/43560</f>
        <v>0.1859176675849403</v>
      </c>
      <c r="E17" s="163">
        <f>'Rationals-MCDOT'!V22</f>
        <v>0.76855344798002456</v>
      </c>
      <c r="F17" s="178">
        <f>D17*E17</f>
        <v>0.14288766446280993</v>
      </c>
      <c r="G17" s="162"/>
      <c r="H17" s="228">
        <f>D17</f>
        <v>0.1859176675849403</v>
      </c>
      <c r="I17" s="216">
        <f>F17</f>
        <v>0.14288766446280993</v>
      </c>
      <c r="J17" s="217">
        <f>'Rationals-MCDOT'!B58</f>
        <v>5</v>
      </c>
      <c r="K17" s="163">
        <f>VLOOKUP(ROUND(J17,1),MoCoIntensity!$B$3:$C$183,2,TRUE)</f>
        <v>6.67</v>
      </c>
      <c r="L17" s="180">
        <f t="shared" si="6"/>
        <v>0.95306072196694225</v>
      </c>
      <c r="M17" s="141">
        <v>12</v>
      </c>
      <c r="N17" s="322" t="s">
        <v>22</v>
      </c>
      <c r="O17" s="142">
        <v>1.2999999999999999E-2</v>
      </c>
      <c r="P17" s="246">
        <v>68.510000000000005</v>
      </c>
      <c r="Q17" s="246">
        <v>68.3</v>
      </c>
      <c r="R17" s="246">
        <v>314.19</v>
      </c>
      <c r="S17" s="142">
        <v>21.53</v>
      </c>
      <c r="T17" s="470">
        <f>(P17-Q17)/S17</f>
        <v>9.7538318625177874E-3</v>
      </c>
      <c r="U17" s="181">
        <f t="shared" si="0"/>
        <v>3.8900437631303766</v>
      </c>
      <c r="V17" s="181">
        <f>X17*576/(3.14159*M17^2)</f>
        <v>4.4921637710534501</v>
      </c>
      <c r="W17" s="181">
        <f>S17/U17/(60)</f>
        <v>9.2244035075989675E-2</v>
      </c>
      <c r="X17" s="182">
        <f>PI()*(((M17/2)/12)^2*(1.49/O17)*(M17/48)^0.66667*(T17^0.5))</f>
        <v>3.528134195375952</v>
      </c>
      <c r="Y17" s="183">
        <f t="shared" si="1"/>
        <v>4.1999999999999993</v>
      </c>
      <c r="Z17" s="184">
        <f>L17/X17</f>
        <v>0.27013165293316904</v>
      </c>
      <c r="AA17" s="169"/>
      <c r="AB17" s="170">
        <f>O17</f>
        <v>1.2999999999999999E-2</v>
      </c>
      <c r="AC17" s="171">
        <f>T17</f>
        <v>9.7538318625177874E-3</v>
      </c>
      <c r="AD17" s="172">
        <f>L17</f>
        <v>0.95306072196694225</v>
      </c>
      <c r="AE17" s="170">
        <f>M17</f>
        <v>12</v>
      </c>
      <c r="AF17" s="171"/>
      <c r="AG17" s="171">
        <f t="shared" si="2"/>
        <v>8.419572151669566E-2</v>
      </c>
      <c r="AH17" s="156">
        <f>VLOOKUP(AG17,TABLES!$A$2:$D$101,2)</f>
        <v>0.35</v>
      </c>
      <c r="AI17" s="173">
        <f t="shared" si="3"/>
        <v>0.34999999999999992</v>
      </c>
      <c r="AJ17" s="156">
        <f>VLOOKUP(AG17,TABLES!$A$2:$D$101,3)</f>
        <v>0.245</v>
      </c>
      <c r="AK17" s="171">
        <f t="shared" si="4"/>
        <v>0.245</v>
      </c>
      <c r="AL17" s="171">
        <f t="shared" si="5"/>
        <v>3.8900437631303766</v>
      </c>
      <c r="AM17" s="174"/>
      <c r="AN17" s="175"/>
      <c r="AO17" s="174"/>
      <c r="AP17" s="174"/>
      <c r="AQ17" s="174"/>
      <c r="AR17" s="174"/>
      <c r="AS17" s="174"/>
      <c r="AT17" s="174"/>
      <c r="AU17" s="176"/>
      <c r="AV17" s="177"/>
      <c r="AW17" s="177"/>
      <c r="AX17" s="177"/>
      <c r="AY17" s="177"/>
    </row>
    <row r="18" spans="1:51" s="154" customFormat="1" ht="12" customHeight="1">
      <c r="A18" s="139" t="s">
        <v>133</v>
      </c>
      <c r="B18" s="140" t="s">
        <v>556</v>
      </c>
      <c r="C18" s="159"/>
      <c r="D18" s="226">
        <f>'Rationals-MCDOT'!D50/43560</f>
        <v>0.21433746556473826</v>
      </c>
      <c r="E18" s="179">
        <f>'Rationals-MCDOT'!D52</f>
        <v>0.84040974493763221</v>
      </c>
      <c r="F18" s="178">
        <f>E18*D18</f>
        <v>0.18013129476584022</v>
      </c>
      <c r="G18" s="162"/>
      <c r="H18" s="326">
        <f>D18+H17+H16</f>
        <v>0.73175811753902664</v>
      </c>
      <c r="I18" s="327">
        <f>F18+F17+F14</f>
        <v>0.50826603911845736</v>
      </c>
      <c r="J18" s="217">
        <f>J17+W17</f>
        <v>5.0922440350759901</v>
      </c>
      <c r="K18" s="163">
        <f>VLOOKUP(ROUND(J18,1),MoCoIntensity!$B$3:$C$183,2,TRUE)</f>
        <v>6.681</v>
      </c>
      <c r="L18" s="180">
        <f t="shared" si="6"/>
        <v>3.3957254073504135</v>
      </c>
      <c r="M18" s="141">
        <v>15</v>
      </c>
      <c r="N18" s="322" t="s">
        <v>22</v>
      </c>
      <c r="O18" s="142">
        <v>1.2999999999999999E-2</v>
      </c>
      <c r="P18" s="246">
        <v>68.2</v>
      </c>
      <c r="Q18" s="246">
        <v>67.400000000000006</v>
      </c>
      <c r="R18" s="246">
        <v>313.18</v>
      </c>
      <c r="S18" s="142">
        <v>80.02</v>
      </c>
      <c r="T18" s="470">
        <f>(P18-Q18)/S18</f>
        <v>9.9975006248437543E-3</v>
      </c>
      <c r="U18" s="181">
        <f t="shared" si="0"/>
        <v>5.3967327059951939</v>
      </c>
      <c r="V18" s="181">
        <f>X18*576/(3.14159*M18^2)</f>
        <v>5.2774079488378609</v>
      </c>
      <c r="W18" s="181">
        <f>S18/U18/(60)</f>
        <v>0.24712483262050486</v>
      </c>
      <c r="X18" s="182">
        <f>PI()*(((M18/2)/12)^2*(1.49/O18)*(M18/48)^0.66667*(T18^0.5))</f>
        <v>6.4763484523396624</v>
      </c>
      <c r="Y18" s="183">
        <f t="shared" si="1"/>
        <v>7.65</v>
      </c>
      <c r="Z18" s="184">
        <f>L18/X18</f>
        <v>0.52432716249596867</v>
      </c>
      <c r="AA18" s="169"/>
      <c r="AB18" s="170">
        <f>O18</f>
        <v>1.2999999999999999E-2</v>
      </c>
      <c r="AC18" s="171">
        <f>T18</f>
        <v>9.9975006248437543E-3</v>
      </c>
      <c r="AD18" s="172">
        <f>L18</f>
        <v>3.3957254073504135</v>
      </c>
      <c r="AE18" s="170">
        <f>M18</f>
        <v>15</v>
      </c>
      <c r="AF18" s="171"/>
      <c r="AG18" s="171">
        <f t="shared" si="2"/>
        <v>0.16342452312184971</v>
      </c>
      <c r="AH18" s="156">
        <f>VLOOKUP(AG18,TABLES!$A$2:$D$101,2)</f>
        <v>0.51</v>
      </c>
      <c r="AI18" s="173">
        <f t="shared" si="3"/>
        <v>0.63750000000000007</v>
      </c>
      <c r="AJ18" s="156">
        <f>VLOOKUP(AG18,TABLES!$A$2:$D$101,3)</f>
        <v>0.4027</v>
      </c>
      <c r="AK18" s="171">
        <f t="shared" si="4"/>
        <v>0.62921875000000005</v>
      </c>
      <c r="AL18" s="171">
        <f t="shared" si="5"/>
        <v>5.3967327059951939</v>
      </c>
      <c r="AM18" s="174"/>
      <c r="AN18" s="175"/>
      <c r="AO18" s="174"/>
      <c r="AP18" s="174"/>
      <c r="AQ18" s="174"/>
      <c r="AR18" s="174"/>
      <c r="AS18" s="174"/>
      <c r="AT18" s="174"/>
      <c r="AU18" s="176"/>
      <c r="AV18" s="177"/>
      <c r="AW18" s="177"/>
      <c r="AX18" s="177"/>
      <c r="AY18" s="177"/>
    </row>
    <row r="19" spans="1:51" s="154" customFormat="1" ht="12" customHeight="1">
      <c r="A19" s="139" t="s">
        <v>362</v>
      </c>
      <c r="B19" s="140" t="s">
        <v>556</v>
      </c>
      <c r="C19" s="159"/>
      <c r="D19" s="227">
        <f>'Rationals-MCDOT'!M20/43560</f>
        <v>2.0137199265381085</v>
      </c>
      <c r="E19" s="160">
        <f>'Rationals-MCDOT'!M22</f>
        <v>0.58212056548716995</v>
      </c>
      <c r="F19" s="178">
        <f>E19*D19</f>
        <v>1.172227782369146</v>
      </c>
      <c r="G19" s="162"/>
      <c r="H19" s="228">
        <f>D19</f>
        <v>2.0137199265381085</v>
      </c>
      <c r="I19" s="216">
        <f>F19</f>
        <v>1.172227782369146</v>
      </c>
      <c r="J19" s="217">
        <f>'Rationals-MCDOT'!K28</f>
        <v>10</v>
      </c>
      <c r="K19" s="163">
        <f>VLOOKUP(ROUND(J19,1),MoCoIntensity!$B$3:$C$183,2,TRUE)</f>
        <v>5.34</v>
      </c>
      <c r="L19" s="180">
        <f t="shared" si="6"/>
        <v>6.2596963578512401</v>
      </c>
      <c r="M19" s="141">
        <v>21</v>
      </c>
      <c r="N19" s="322" t="s">
        <v>22</v>
      </c>
      <c r="O19" s="142">
        <v>1.2999999999999999E-2</v>
      </c>
      <c r="P19" s="246">
        <v>67.459999999999994</v>
      </c>
      <c r="Q19" s="246">
        <v>67.400000000000006</v>
      </c>
      <c r="R19" s="246">
        <v>313.18</v>
      </c>
      <c r="S19" s="142">
        <v>5.92</v>
      </c>
      <c r="T19" s="470">
        <f>(P19-Q19)/S19</f>
        <v>1.0135135135133118E-2</v>
      </c>
      <c r="U19" s="181">
        <f t="shared" ref="U19" si="13">AL19</f>
        <v>6.3300789228749554</v>
      </c>
      <c r="V19" s="181">
        <f>X19*576/(3.14159*M19^2)</f>
        <v>6.64980478720405</v>
      </c>
      <c r="W19" s="181">
        <f>S19/U19/(60)</f>
        <v>1.5586956792926503E-2</v>
      </c>
      <c r="X19" s="182">
        <f>PI()*(((M19/2)/12)^2*(1.49/O19)*(M19/48)^0.66667*(T19^0.5))</f>
        <v>15.99464141953416</v>
      </c>
      <c r="Y19" s="183">
        <f t="shared" ref="Y19" si="14">AI19*12</f>
        <v>9.0299999999999994</v>
      </c>
      <c r="Z19" s="184">
        <f>L19/X19</f>
        <v>0.39136209394518279</v>
      </c>
      <c r="AA19" s="169"/>
      <c r="AB19" s="170">
        <f>O19</f>
        <v>1.2999999999999999E-2</v>
      </c>
      <c r="AC19" s="171">
        <f>T19</f>
        <v>1.0135135135133118E-2</v>
      </c>
      <c r="AD19" s="172">
        <f>L19</f>
        <v>6.2596963578512401</v>
      </c>
      <c r="AE19" s="170">
        <f>M19</f>
        <v>21</v>
      </c>
      <c r="AF19" s="171"/>
      <c r="AG19" s="171">
        <f t="shared" ref="AG19" si="15">((AD19*AB19)/(1.49*(AC19)^0.5))/(AE19/12)^2.66666667</f>
        <v>0.12198154093071471</v>
      </c>
      <c r="AH19" s="156">
        <f>VLOOKUP(AG19,TABLES!$A$2:$D$101,2)</f>
        <v>0.43</v>
      </c>
      <c r="AI19" s="173">
        <f t="shared" ref="AI19" si="16">AH19*AE19/12</f>
        <v>0.75249999999999995</v>
      </c>
      <c r="AJ19" s="156">
        <f>VLOOKUP(AG19,TABLES!$A$2:$D$101,3)</f>
        <v>0.32290000000000002</v>
      </c>
      <c r="AK19" s="171">
        <f t="shared" ref="AK19" si="17">AJ19*(AE19/12)^2</f>
        <v>0.98888125000000004</v>
      </c>
      <c r="AL19" s="171">
        <f t="shared" ref="AL19" si="18">AD19/AK19</f>
        <v>6.3300789228749554</v>
      </c>
      <c r="AM19" s="174"/>
      <c r="AN19" s="175"/>
      <c r="AO19" s="174"/>
      <c r="AP19" s="174"/>
      <c r="AQ19" s="174"/>
      <c r="AR19" s="174"/>
      <c r="AS19" s="174"/>
      <c r="AT19" s="174"/>
      <c r="AU19" s="176"/>
      <c r="AV19" s="177"/>
      <c r="AW19" s="177"/>
      <c r="AX19" s="177"/>
      <c r="AY19" s="177"/>
    </row>
    <row r="20" spans="1:51" s="154" customFormat="1" ht="12" customHeight="1">
      <c r="A20" s="139" t="s">
        <v>556</v>
      </c>
      <c r="B20" s="140" t="s">
        <v>359</v>
      </c>
      <c r="C20" s="159"/>
      <c r="D20" s="226" t="s">
        <v>286</v>
      </c>
      <c r="E20" s="179" t="s">
        <v>286</v>
      </c>
      <c r="F20" s="178" t="s">
        <v>286</v>
      </c>
      <c r="G20" s="162"/>
      <c r="H20" s="228">
        <f>D19+D18+D17+D14</f>
        <v>2.7454780440771351</v>
      </c>
      <c r="I20" s="216">
        <f>F19+F18+F17+F16+F15+F14</f>
        <v>1.6804938214876033</v>
      </c>
      <c r="J20" s="217">
        <f>'Rationals-MCDOT'!K88</f>
        <v>10</v>
      </c>
      <c r="K20" s="163">
        <f>VLOOKUP(ROUND(J20,1),MoCoIntensity!$B$3:$C$183,2,TRUE)</f>
        <v>5.34</v>
      </c>
      <c r="L20" s="180">
        <f t="shared" si="6"/>
        <v>8.9738370067438016</v>
      </c>
      <c r="M20" s="141">
        <v>24</v>
      </c>
      <c r="N20" s="322" t="s">
        <v>22</v>
      </c>
      <c r="O20" s="142">
        <v>1.2999999999999999E-2</v>
      </c>
      <c r="P20" s="246">
        <v>67.3</v>
      </c>
      <c r="Q20" s="246">
        <v>67.099999999999994</v>
      </c>
      <c r="R20" s="246">
        <v>315.20999999999998</v>
      </c>
      <c r="S20" s="142">
        <v>19.61</v>
      </c>
      <c r="T20" s="470">
        <f>(P20-Q20)/S20</f>
        <v>1.0198878123406571E-2</v>
      </c>
      <c r="U20" s="181">
        <f t="shared" si="0"/>
        <v>6.947845313366213</v>
      </c>
      <c r="V20" s="181">
        <f>X20*576/(3.14159*M20^2)</f>
        <v>7.291750779308952</v>
      </c>
      <c r="W20" s="181">
        <f>S20/U20/(60)</f>
        <v>4.7040962858596429E-2</v>
      </c>
      <c r="X20" s="182">
        <f>PI()*(((M20/2)/12)^2*(1.49/O20)*(M20/48)^0.66667*(T20^0.5))</f>
        <v>22.907691330769211</v>
      </c>
      <c r="Y20" s="183">
        <f t="shared" si="1"/>
        <v>10.32</v>
      </c>
      <c r="Z20" s="184">
        <f>L20/X20</f>
        <v>0.39173903983463843</v>
      </c>
      <c r="AA20" s="169"/>
      <c r="AB20" s="170">
        <f>O20</f>
        <v>1.2999999999999999E-2</v>
      </c>
      <c r="AC20" s="171">
        <f>T20</f>
        <v>1.0198878123406571E-2</v>
      </c>
      <c r="AD20" s="172">
        <f>L20</f>
        <v>8.9738370067438016</v>
      </c>
      <c r="AE20" s="170">
        <f>M20</f>
        <v>24</v>
      </c>
      <c r="AF20" s="171"/>
      <c r="AG20" s="171">
        <f>((AD20*AB20)/(1.49*(AC20)^0.5))/(AE20/12)^2.66666667</f>
        <v>0.12209908345510674</v>
      </c>
      <c r="AH20" s="156">
        <f>VLOOKUP(AG20,TABLES!$A$2:$D$101,2)</f>
        <v>0.43</v>
      </c>
      <c r="AI20" s="173">
        <f t="shared" si="3"/>
        <v>0.86</v>
      </c>
      <c r="AJ20" s="156">
        <f>VLOOKUP(AG20,TABLES!$A$2:$D$101,3)</f>
        <v>0.32290000000000002</v>
      </c>
      <c r="AK20" s="171">
        <f>AJ20*(AE20/12)^2</f>
        <v>1.2916000000000001</v>
      </c>
      <c r="AL20" s="171">
        <f t="shared" si="5"/>
        <v>6.947845313366213</v>
      </c>
      <c r="AM20" s="174"/>
      <c r="AN20" s="175"/>
      <c r="AO20" s="174"/>
      <c r="AP20" s="174"/>
      <c r="AQ20" s="174"/>
      <c r="AR20" s="174"/>
      <c r="AS20" s="174"/>
      <c r="AT20" s="174"/>
      <c r="AU20" s="176"/>
      <c r="AV20" s="177"/>
      <c r="AW20" s="177"/>
      <c r="AX20" s="177"/>
      <c r="AY20" s="177"/>
    </row>
    <row r="21" spans="1:51" s="154" customFormat="1" ht="12" customHeight="1">
      <c r="A21" s="139" t="s">
        <v>359</v>
      </c>
      <c r="B21" s="140" t="s">
        <v>554</v>
      </c>
      <c r="C21" s="159"/>
      <c r="D21" s="226">
        <f>'Rationals-MCDOT'!D20/43560</f>
        <v>5.4965105601469229E-2</v>
      </c>
      <c r="E21" s="179">
        <f>'Rationals-MCDOT'!D22</f>
        <v>0.84907512905758742</v>
      </c>
      <c r="F21" s="178">
        <f>D21*E21</f>
        <v>4.6669504132231407E-2</v>
      </c>
      <c r="G21" s="162"/>
      <c r="H21" s="228">
        <f>H20+D21</f>
        <v>2.8004431496786042</v>
      </c>
      <c r="I21" s="327">
        <f>I20+F21</f>
        <v>1.7271633256198347</v>
      </c>
      <c r="J21" s="217">
        <f>'Rationals-MCDOT'!B88</f>
        <v>7</v>
      </c>
      <c r="K21" s="163" t="str">
        <f>VLOOKUP(ROUND(J21,1),MoCoIntensity!$B$3:$C$183,2,TRUE)</f>
        <v>6.52</v>
      </c>
      <c r="L21" s="180">
        <f t="shared" si="6"/>
        <v>11.261104883041321</v>
      </c>
      <c r="M21" s="141">
        <v>24</v>
      </c>
      <c r="N21" s="322" t="s">
        <v>22</v>
      </c>
      <c r="O21" s="142">
        <v>1.2999999999999999E-2</v>
      </c>
      <c r="P21" s="324">
        <v>67</v>
      </c>
      <c r="Q21" s="324">
        <v>66.87</v>
      </c>
      <c r="R21" s="246">
        <v>312.48</v>
      </c>
      <c r="S21" s="142">
        <v>14.36</v>
      </c>
      <c r="T21" s="471">
        <v>0.01</v>
      </c>
      <c r="U21" s="181">
        <f t="shared" si="0"/>
        <v>7.3563528109755172</v>
      </c>
      <c r="V21" s="181">
        <f>X21*576/(3.14159*M21^2)</f>
        <v>7.2203062022129432</v>
      </c>
      <c r="W21" s="181">
        <f>S21/U21/(60)</f>
        <v>3.2534238022985142E-2</v>
      </c>
      <c r="X21" s="182">
        <f>PI()*(((M21/2)/12)^2*(1.49/O21)*(M21/48)^0.66667*(T21^0.5))</f>
        <v>22.683241761810159</v>
      </c>
      <c r="Y21" s="183">
        <f t="shared" si="1"/>
        <v>11.76</v>
      </c>
      <c r="Z21" s="184">
        <f>L21/X21</f>
        <v>0.49645041926946631</v>
      </c>
      <c r="AA21" s="169"/>
      <c r="AB21" s="170">
        <f>O21</f>
        <v>1.2999999999999999E-2</v>
      </c>
      <c r="AC21" s="171">
        <f>T21</f>
        <v>0.01</v>
      </c>
      <c r="AD21" s="172">
        <f>L21</f>
        <v>11.261104883041321</v>
      </c>
      <c r="AE21" s="170">
        <f>M21</f>
        <v>24</v>
      </c>
      <c r="AF21" s="171"/>
      <c r="AG21" s="171">
        <f t="shared" si="2"/>
        <v>0.15473602324469038</v>
      </c>
      <c r="AH21" s="156">
        <f>VLOOKUP(AG21,TABLES!$A$2:$D$101,2)</f>
        <v>0.49</v>
      </c>
      <c r="AI21" s="173">
        <f t="shared" si="3"/>
        <v>0.98</v>
      </c>
      <c r="AJ21" s="156">
        <f>VLOOKUP(AG21,TABLES!$A$2:$D$101,3)</f>
        <v>0.38269999999999998</v>
      </c>
      <c r="AK21" s="171">
        <f t="shared" si="4"/>
        <v>1.5307999999999999</v>
      </c>
      <c r="AL21" s="171">
        <f t="shared" si="5"/>
        <v>7.3563528109755172</v>
      </c>
      <c r="AM21" s="174"/>
      <c r="AN21" s="175"/>
      <c r="AO21" s="174"/>
      <c r="AP21" s="174"/>
      <c r="AQ21" s="174"/>
      <c r="AR21" s="174"/>
      <c r="AS21" s="174"/>
      <c r="AT21" s="174"/>
      <c r="AU21" s="176"/>
      <c r="AV21" s="177"/>
      <c r="AW21" s="177"/>
      <c r="AX21" s="177"/>
      <c r="AY21" s="177"/>
    </row>
    <row r="22" spans="1:51" s="154" customFormat="1" ht="12" customHeight="1">
      <c r="A22" s="139"/>
      <c r="B22" s="140"/>
      <c r="C22" s="159"/>
      <c r="D22" s="163"/>
      <c r="E22" s="163"/>
      <c r="F22" s="178"/>
      <c r="G22" s="162"/>
      <c r="H22" s="228"/>
      <c r="I22" s="327"/>
      <c r="J22" s="217"/>
      <c r="K22" s="163"/>
      <c r="L22" s="180"/>
      <c r="M22" s="141"/>
      <c r="N22" s="142"/>
      <c r="O22" s="142"/>
      <c r="P22" s="246"/>
      <c r="Q22" s="246"/>
      <c r="R22" s="246"/>
      <c r="S22" s="142"/>
      <c r="T22" s="470"/>
      <c r="U22" s="181"/>
      <c r="V22" s="181"/>
      <c r="W22" s="181"/>
      <c r="X22" s="182"/>
      <c r="Y22" s="183"/>
      <c r="Z22" s="184"/>
      <c r="AA22" s="169"/>
      <c r="AB22" s="170">
        <f>O22</f>
        <v>0</v>
      </c>
      <c r="AC22" s="171">
        <f>T22</f>
        <v>0</v>
      </c>
      <c r="AD22" s="172">
        <f>L22</f>
        <v>0</v>
      </c>
      <c r="AE22" s="170">
        <f>M22</f>
        <v>0</v>
      </c>
      <c r="AF22" s="171"/>
      <c r="AG22" s="171" t="e">
        <f t="shared" ref="AG22:AG23" si="19">((AD22*AB22)/(1.49*(AC22)^0.5))/(AE22/12)^2.66666667</f>
        <v>#DIV/0!</v>
      </c>
      <c r="AH22" s="156" t="e">
        <f>VLOOKUP(AG22,TABLES!$A$2:$D$101,2)</f>
        <v>#DIV/0!</v>
      </c>
      <c r="AI22" s="173" t="e">
        <f t="shared" ref="AI22:AI23" si="20">AH22*AE22/12</f>
        <v>#DIV/0!</v>
      </c>
      <c r="AJ22" s="156" t="e">
        <f>VLOOKUP(AG22,TABLES!$A$2:$D$101,3)</f>
        <v>#DIV/0!</v>
      </c>
      <c r="AK22" s="171" t="e">
        <f t="shared" ref="AK22:AK23" si="21">AJ22*(AE22/12)^2</f>
        <v>#DIV/0!</v>
      </c>
      <c r="AL22" s="171" t="e">
        <f t="shared" ref="AL22:AL23" si="22">AD22/AK22</f>
        <v>#DIV/0!</v>
      </c>
      <c r="AM22" s="174"/>
      <c r="AN22" s="175"/>
      <c r="AO22" s="174"/>
      <c r="AP22" s="174"/>
      <c r="AQ22" s="174"/>
      <c r="AR22" s="174"/>
      <c r="AS22" s="174"/>
      <c r="AT22" s="174"/>
      <c r="AU22" s="176"/>
      <c r="AV22" s="177"/>
      <c r="AW22" s="177"/>
      <c r="AX22" s="177"/>
      <c r="AY22" s="177"/>
    </row>
    <row r="23" spans="1:51" s="154" customFormat="1" ht="12" customHeight="1">
      <c r="A23" s="139" t="s">
        <v>138</v>
      </c>
      <c r="B23" s="140" t="s">
        <v>554</v>
      </c>
      <c r="C23" s="159"/>
      <c r="D23" s="226">
        <f>'Rationals-MCDOT'!V80/43560</f>
        <v>2.4603620293847563</v>
      </c>
      <c r="E23" s="179">
        <f>'Rationals-MCDOT'!V82</f>
        <v>0.57788517240803383</v>
      </c>
      <c r="F23" s="178">
        <f t="shared" ref="F23" si="23">D23*E23</f>
        <v>1.4218067355371899</v>
      </c>
      <c r="G23" s="162"/>
      <c r="H23" s="228">
        <f t="shared" ref="H23" si="24">D23</f>
        <v>2.4603620293847563</v>
      </c>
      <c r="I23" s="327">
        <f t="shared" ref="I23" si="25">F23</f>
        <v>1.4218067355371899</v>
      </c>
      <c r="J23" s="217">
        <f>'Rationals-MCDOT'!T88</f>
        <v>10</v>
      </c>
      <c r="K23" s="163">
        <f>VLOOKUP(ROUND(J23,1),MoCoIntensity!$B$3:$C$183,2,TRUE)</f>
        <v>5.34</v>
      </c>
      <c r="L23" s="180">
        <f t="shared" si="6"/>
        <v>7.5924479677685941</v>
      </c>
      <c r="M23" s="141">
        <v>24</v>
      </c>
      <c r="N23" s="322" t="s">
        <v>22</v>
      </c>
      <c r="O23" s="142">
        <v>1.2999999999999999E-2</v>
      </c>
      <c r="P23" s="246">
        <v>67.099999999999994</v>
      </c>
      <c r="Q23" s="246">
        <v>66.87</v>
      </c>
      <c r="R23" s="246">
        <v>312.08</v>
      </c>
      <c r="S23" s="142">
        <v>23.287800000000001</v>
      </c>
      <c r="T23" s="470">
        <f>(P23-Q23)/S23</f>
        <v>9.876415977464156E-3</v>
      </c>
      <c r="U23" s="181">
        <f t="shared" ref="U23" si="26">AL23</f>
        <v>6.6929195766648393</v>
      </c>
      <c r="V23" s="181">
        <f>X23*576/(3.14159*M23^2)</f>
        <v>7.1755517748186932</v>
      </c>
      <c r="W23" s="181">
        <f>S23/U23/(60)</f>
        <v>5.7991134594420117E-2</v>
      </c>
      <c r="X23" s="182">
        <f>PI()*(((M23/2)/12)^2*(1.49/O23)*(M23/48)^0.66667*(T23^0.5))</f>
        <v>22.542641700252659</v>
      </c>
      <c r="Y23" s="183">
        <f t="shared" ref="Y23" si="27">AI23*12</f>
        <v>9.36</v>
      </c>
      <c r="Z23" s="184">
        <f>L23/X23</f>
        <v>0.33680382577714918</v>
      </c>
      <c r="AA23" s="169"/>
      <c r="AB23" s="170">
        <f>O23</f>
        <v>1.2999999999999999E-2</v>
      </c>
      <c r="AC23" s="171">
        <f>T23</f>
        <v>9.876415977464156E-3</v>
      </c>
      <c r="AD23" s="172">
        <f>L23</f>
        <v>7.5924479677685941</v>
      </c>
      <c r="AE23" s="170">
        <f>M23</f>
        <v>24</v>
      </c>
      <c r="AF23" s="171"/>
      <c r="AG23" s="171">
        <f t="shared" si="19"/>
        <v>0.10497661516943131</v>
      </c>
      <c r="AH23" s="156">
        <f>VLOOKUP(AG23,TABLES!$A$2:$D$101,2)</f>
        <v>0.39</v>
      </c>
      <c r="AI23" s="173">
        <f t="shared" si="20"/>
        <v>0.77999999999999992</v>
      </c>
      <c r="AJ23" s="156">
        <f>VLOOKUP(AG23,TABLES!$A$2:$D$101,3)</f>
        <v>0.28360000000000002</v>
      </c>
      <c r="AK23" s="171">
        <f t="shared" si="21"/>
        <v>1.1344000000000001</v>
      </c>
      <c r="AL23" s="171">
        <f t="shared" si="22"/>
        <v>6.6929195766648393</v>
      </c>
      <c r="AM23" s="174"/>
      <c r="AN23" s="175"/>
      <c r="AO23" s="174"/>
      <c r="AP23" s="174"/>
      <c r="AQ23" s="174"/>
      <c r="AR23" s="174"/>
      <c r="AS23" s="174"/>
      <c r="AT23" s="174"/>
      <c r="AU23" s="176"/>
      <c r="AV23" s="177"/>
      <c r="AW23" s="177"/>
      <c r="AX23" s="177"/>
      <c r="AY23" s="177"/>
    </row>
    <row r="24" spans="1:51" s="154" customFormat="1" ht="12" customHeight="1">
      <c r="A24" s="139"/>
      <c r="B24" s="140"/>
      <c r="C24" s="159"/>
      <c r="D24" s="163"/>
      <c r="E24" s="163"/>
      <c r="F24" s="185"/>
      <c r="G24" s="239"/>
      <c r="H24" s="215"/>
      <c r="I24" s="216"/>
      <c r="J24" s="217"/>
      <c r="K24" s="163"/>
      <c r="L24" s="180"/>
      <c r="M24" s="141"/>
      <c r="N24" s="142"/>
      <c r="O24" s="142"/>
      <c r="P24" s="246"/>
      <c r="Q24" s="246"/>
      <c r="R24" s="246"/>
      <c r="S24" s="142"/>
      <c r="T24" s="470"/>
      <c r="U24" s="165"/>
      <c r="V24" s="181"/>
      <c r="W24" s="165"/>
      <c r="X24" s="166"/>
      <c r="Y24" s="167"/>
      <c r="Z24" s="168"/>
      <c r="AA24" s="169"/>
      <c r="AB24" s="170">
        <f>O24</f>
        <v>0</v>
      </c>
      <c r="AC24" s="171">
        <f>T24</f>
        <v>0</v>
      </c>
      <c r="AD24" s="172">
        <f>L24</f>
        <v>0</v>
      </c>
      <c r="AE24" s="170">
        <f>M24</f>
        <v>0</v>
      </c>
      <c r="AF24" s="171"/>
      <c r="AG24" s="171" t="e">
        <f t="shared" ref="AG24:AG25" si="28">((AD24*AB24)/(1.49*(AC24)^0.5))/(AE24/12)^2.66666667</f>
        <v>#DIV/0!</v>
      </c>
      <c r="AH24" s="156" t="e">
        <f>VLOOKUP(AG24,TABLES!$A$2:$D$101,2)</f>
        <v>#DIV/0!</v>
      </c>
      <c r="AI24" s="173" t="e">
        <f t="shared" ref="AI24:AI25" si="29">AH24*AE24/12</f>
        <v>#DIV/0!</v>
      </c>
      <c r="AJ24" s="156" t="e">
        <f>VLOOKUP(AG24,TABLES!$A$2:$D$101,3)</f>
        <v>#DIV/0!</v>
      </c>
      <c r="AK24" s="171" t="e">
        <f t="shared" ref="AK24:AK25" si="30">AJ24*(AE24/12)^2</f>
        <v>#DIV/0!</v>
      </c>
      <c r="AL24" s="171" t="e">
        <f t="shared" ref="AL24:AL25" si="31">AD24/AK24</f>
        <v>#DIV/0!</v>
      </c>
      <c r="AM24" s="174"/>
      <c r="AN24" s="175"/>
      <c r="AO24" s="174"/>
      <c r="AP24" s="174"/>
      <c r="AQ24" s="174"/>
      <c r="AR24" s="174"/>
      <c r="AS24" s="174"/>
      <c r="AT24" s="174"/>
      <c r="AU24" s="176"/>
      <c r="AV24" s="177"/>
      <c r="AW24" s="177"/>
      <c r="AX24" s="177"/>
      <c r="AY24" s="177"/>
    </row>
    <row r="25" spans="1:51" s="154" customFormat="1" ht="12" customHeight="1">
      <c r="A25" s="139" t="s">
        <v>137</v>
      </c>
      <c r="B25" s="140" t="s">
        <v>136</v>
      </c>
      <c r="C25" s="159"/>
      <c r="D25" s="163">
        <f>'Rationals-MCDOT'!M80/43560</f>
        <v>0.25763567493112949</v>
      </c>
      <c r="E25" s="163">
        <f>'Rationals-MCDOT'!M82</f>
        <v>0.60817317896639012</v>
      </c>
      <c r="F25" s="185">
        <f>D25*E25</f>
        <v>0.15668710743801653</v>
      </c>
      <c r="G25" s="239"/>
      <c r="H25" s="215">
        <f>D25</f>
        <v>0.25763567493112949</v>
      </c>
      <c r="I25" s="216">
        <f>F25</f>
        <v>0.15668710743801653</v>
      </c>
      <c r="J25" s="217">
        <f>'Rationals-MCDOT'!K88</f>
        <v>10</v>
      </c>
      <c r="K25" s="163">
        <f>VLOOKUP(ROUND(J25,1),MoCoIntensity!$B$3:$C$183,2,TRUE)</f>
        <v>5.34</v>
      </c>
      <c r="L25" s="180">
        <f t="shared" si="6"/>
        <v>0.83670915371900823</v>
      </c>
      <c r="M25" s="141">
        <v>12</v>
      </c>
      <c r="N25" s="142" t="s">
        <v>22</v>
      </c>
      <c r="O25" s="142">
        <v>1.2999999999999999E-2</v>
      </c>
      <c r="P25" s="246">
        <v>72.41</v>
      </c>
      <c r="Q25" s="246">
        <v>72.09</v>
      </c>
      <c r="R25" s="246">
        <v>313.37</v>
      </c>
      <c r="S25" s="142">
        <v>32.03</v>
      </c>
      <c r="T25" s="470">
        <f>(P25-Q25)/S25</f>
        <v>9.9906337808302586E-3</v>
      </c>
      <c r="U25" s="181">
        <f t="shared" ref="U25" si="32">AL25</f>
        <v>3.8611405340055756</v>
      </c>
      <c r="V25" s="181">
        <f>X25*576/(3.14159*M25^2)</f>
        <v>4.5463667659778935</v>
      </c>
      <c r="W25" s="181">
        <f>S25/U25/(60)</f>
        <v>0.13825793923629365</v>
      </c>
      <c r="X25" s="182">
        <f>PI()*(((M25/2)/12)^2*(1.49/O25)*(M25/48)^0.66667*(T25^0.5))</f>
        <v>3.5707050920821226</v>
      </c>
      <c r="Y25" s="183">
        <f t="shared" ref="Y25" si="33">AI25*12</f>
        <v>3.84</v>
      </c>
      <c r="Z25" s="184">
        <f>L25/X25</f>
        <v>0.23432603145366807</v>
      </c>
      <c r="AA25" s="169"/>
      <c r="AB25" s="170">
        <f>O25</f>
        <v>1.2999999999999999E-2</v>
      </c>
      <c r="AC25" s="171">
        <f>T25</f>
        <v>9.9906337808302586E-3</v>
      </c>
      <c r="AD25" s="172">
        <f>L25</f>
        <v>0.83670915371900823</v>
      </c>
      <c r="AE25" s="170">
        <f>M25</f>
        <v>12</v>
      </c>
      <c r="AF25" s="171"/>
      <c r="AG25" s="171">
        <f t="shared" si="28"/>
        <v>7.3035681210104411E-2</v>
      </c>
      <c r="AH25" s="156">
        <f>VLOOKUP(AG25,TABLES!$A$2:$D$101,2)</f>
        <v>0.32</v>
      </c>
      <c r="AI25" s="173">
        <f t="shared" si="29"/>
        <v>0.32</v>
      </c>
      <c r="AJ25" s="156">
        <f>VLOOKUP(AG25,TABLES!$A$2:$D$101,3)</f>
        <v>0.2167</v>
      </c>
      <c r="AK25" s="171">
        <f t="shared" si="30"/>
        <v>0.2167</v>
      </c>
      <c r="AL25" s="171">
        <f t="shared" si="31"/>
        <v>3.8611405340055756</v>
      </c>
      <c r="AM25" s="174"/>
      <c r="AN25" s="175"/>
      <c r="AO25" s="174"/>
      <c r="AP25" s="174"/>
      <c r="AQ25" s="174"/>
      <c r="AR25" s="174"/>
      <c r="AS25" s="174"/>
      <c r="AT25" s="174"/>
      <c r="AU25" s="176"/>
      <c r="AV25" s="177"/>
      <c r="AW25" s="177"/>
      <c r="AX25" s="177"/>
      <c r="AY25" s="177"/>
    </row>
    <row r="26" spans="1:51" ht="13.15">
      <c r="A26" s="328" t="s">
        <v>136</v>
      </c>
      <c r="B26" s="331" t="s">
        <v>135</v>
      </c>
      <c r="C26" s="159"/>
      <c r="D26" s="163">
        <f>'Rationals-MCDOT'!D80/43560</f>
        <v>0.66559113865932051</v>
      </c>
      <c r="E26" s="163">
        <f>'Rationals-MCDOT'!D82</f>
        <v>0.6541852472049432</v>
      </c>
      <c r="F26" s="185">
        <f>D26*E26</f>
        <v>0.4354199035812672</v>
      </c>
      <c r="G26" s="239"/>
      <c r="H26" s="219">
        <f>D26+H25</f>
        <v>0.92322681359045</v>
      </c>
      <c r="I26" s="218">
        <f>F26+I25</f>
        <v>0.59210701101928376</v>
      </c>
      <c r="J26" s="217">
        <f>'Rationals-MCDOT'!B88</f>
        <v>7</v>
      </c>
      <c r="K26" s="163" t="str">
        <f>VLOOKUP(ROUND(J26,1),MoCoIntensity!$B$3:$C$183,2,TRUE)</f>
        <v>6.52</v>
      </c>
      <c r="L26" s="180">
        <f t="shared" si="6"/>
        <v>3.8605377118457298</v>
      </c>
      <c r="M26" s="141">
        <v>18</v>
      </c>
      <c r="N26" s="322" t="s">
        <v>22</v>
      </c>
      <c r="O26" s="142">
        <v>1.2999999999999999E-2</v>
      </c>
      <c r="P26" s="246">
        <v>71.989999999999995</v>
      </c>
      <c r="Q26" s="246">
        <v>71.41</v>
      </c>
      <c r="R26" s="246">
        <v>313.37</v>
      </c>
      <c r="S26" s="142">
        <v>29.56</v>
      </c>
      <c r="T26" s="470">
        <f>(P26-Q26)/S26</f>
        <v>1.962110960757775E-2</v>
      </c>
      <c r="U26" s="181">
        <f t="shared" ref="U26" si="34">AL26</f>
        <v>7.3481564822188528</v>
      </c>
      <c r="V26" s="181">
        <f>X26*576/(3.14159*M26^2)</f>
        <v>8.3488083180450943</v>
      </c>
      <c r="W26" s="181">
        <f>S26/U26/(60)</f>
        <v>6.7046294925649258E-2</v>
      </c>
      <c r="X26" s="182">
        <f>PI()*(((M26/2)/12)^2*(1.49/O26)*(M26/48)^0.66667*(T26^0.5))</f>
        <v>14.7535496571866</v>
      </c>
      <c r="Y26" s="183">
        <f t="shared" ref="Y26" si="35">AI26*12</f>
        <v>6.12</v>
      </c>
      <c r="Z26" s="184">
        <f>L26/X26</f>
        <v>0.26166839855825635</v>
      </c>
      <c r="AA26" s="169"/>
      <c r="AB26" s="170">
        <f>O26</f>
        <v>1.2999999999999999E-2</v>
      </c>
      <c r="AC26" s="171">
        <f>T26</f>
        <v>1.962110960757775E-2</v>
      </c>
      <c r="AD26" s="172">
        <f>L26</f>
        <v>3.8605377118457298</v>
      </c>
      <c r="AE26" s="170">
        <f>M26</f>
        <v>18</v>
      </c>
      <c r="AF26" s="171"/>
      <c r="AG26" s="171">
        <f t="shared" ref="AG26:AG54" si="36">((AD26*AB26)/(1.49*(AC26)^0.5))/(AE26/12)^2.66666667</f>
        <v>8.1557970427541454E-2</v>
      </c>
      <c r="AH26" s="156">
        <f>VLOOKUP(AG26,TABLES!$A$2:$D$101,2)</f>
        <v>0.34</v>
      </c>
      <c r="AI26" s="173">
        <f t="shared" ref="AI26:AI54" si="37">AH26*AE26/12</f>
        <v>0.51</v>
      </c>
      <c r="AJ26" s="156">
        <f>VLOOKUP(AG26,TABLES!$A$2:$D$101,3)</f>
        <v>0.23350000000000001</v>
      </c>
      <c r="AK26" s="171">
        <f t="shared" ref="AK26:AK54" si="38">AJ26*(AE26/12)^2</f>
        <v>0.52537500000000004</v>
      </c>
      <c r="AL26" s="171">
        <f t="shared" ref="AL26:AL54" si="39">AD26/AK26</f>
        <v>7.3481564822188528</v>
      </c>
    </row>
    <row r="27" spans="1:51" ht="13.15">
      <c r="A27" s="139" t="s">
        <v>135</v>
      </c>
      <c r="B27" s="140" t="s">
        <v>554</v>
      </c>
      <c r="C27" s="159"/>
      <c r="D27" s="163">
        <f>'Rationals-MCDOT'!U50/43560</f>
        <v>7.7119834710743809E-2</v>
      </c>
      <c r="E27" s="163">
        <f>'Rationals-MCDOT'!U52</f>
        <v>0.86977549161442436</v>
      </c>
      <c r="F27" s="185">
        <f>D27*E27</f>
        <v>6.7076942148760338E-2</v>
      </c>
      <c r="G27" s="239"/>
      <c r="H27" s="215">
        <f>D27+H26</f>
        <v>1.0003466483011938</v>
      </c>
      <c r="I27" s="216">
        <f>F27+I26</f>
        <v>0.65918395316804412</v>
      </c>
      <c r="J27" s="217">
        <f>'Rationals-MCDOT'!S58</f>
        <v>5</v>
      </c>
      <c r="K27" s="163">
        <f>VLOOKUP(ROUND(J27,1),MoCoIntensity!$B$3:$C$183,2,TRUE)</f>
        <v>6.67</v>
      </c>
      <c r="L27" s="180">
        <f t="shared" si="6"/>
        <v>4.3967569676308544</v>
      </c>
      <c r="M27" s="141">
        <v>18</v>
      </c>
      <c r="N27" s="322" t="s">
        <v>22</v>
      </c>
      <c r="O27" s="142">
        <v>1.2999999999999999E-2</v>
      </c>
      <c r="P27" s="246">
        <v>71.367699999999999</v>
      </c>
      <c r="Q27" s="246">
        <v>71.040000000000006</v>
      </c>
      <c r="R27" s="246">
        <v>308.27</v>
      </c>
      <c r="S27" s="142">
        <v>32.31</v>
      </c>
      <c r="T27" s="470">
        <f>(P27-Q27)/S27</f>
        <v>1.014237078303909E-2</v>
      </c>
      <c r="U27" s="181">
        <f t="shared" ref="U27" si="40">AL27</f>
        <v>5.8717374033531717</v>
      </c>
      <c r="V27" s="181">
        <f>X27*576/(3.14159*M27^2)</f>
        <v>6.0025038858198316</v>
      </c>
      <c r="W27" s="181">
        <f>S27/U27/(60)</f>
        <v>9.1710504576120677E-2</v>
      </c>
      <c r="X27" s="182">
        <f>PI()*(((M27/2)/12)^2*(1.49/O27)*(M27/48)^0.66667*(T27^0.5))</f>
        <v>10.607290977742158</v>
      </c>
      <c r="Y27" s="183">
        <f t="shared" ref="Y27" si="41">AI27*12</f>
        <v>7.92</v>
      </c>
      <c r="Z27" s="184">
        <f>L27/X27</f>
        <v>0.41450328616956045</v>
      </c>
      <c r="AA27" s="169"/>
      <c r="AB27" s="170">
        <f>O27</f>
        <v>1.2999999999999999E-2</v>
      </c>
      <c r="AC27" s="171">
        <f>T27</f>
        <v>1.014237078303909E-2</v>
      </c>
      <c r="AD27" s="172">
        <f>L27</f>
        <v>4.3967569676308544</v>
      </c>
      <c r="AE27" s="170">
        <f>M27</f>
        <v>18</v>
      </c>
      <c r="AF27" s="171"/>
      <c r="AG27" s="171">
        <f t="shared" si="36"/>
        <v>0.12919422804511635</v>
      </c>
      <c r="AH27" s="156">
        <f>VLOOKUP(AG27,TABLES!$A$2:$D$101,2)</f>
        <v>0.44</v>
      </c>
      <c r="AI27" s="173">
        <f t="shared" si="37"/>
        <v>0.66</v>
      </c>
      <c r="AJ27" s="156">
        <f>VLOOKUP(AG27,TABLES!$A$2:$D$101,3)</f>
        <v>0.33279999999999998</v>
      </c>
      <c r="AK27" s="171">
        <f t="shared" si="38"/>
        <v>0.74879999999999991</v>
      </c>
      <c r="AL27" s="171">
        <f t="shared" si="39"/>
        <v>5.8717374033531717</v>
      </c>
    </row>
    <row r="28" spans="1:51" ht="15.75" customHeight="1">
      <c r="A28" s="139"/>
      <c r="B28" s="140"/>
      <c r="C28" s="159"/>
      <c r="D28" s="163"/>
      <c r="E28" s="163"/>
      <c r="F28" s="185"/>
      <c r="G28" s="239"/>
      <c r="H28" s="219"/>
      <c r="I28" s="218"/>
      <c r="J28" s="217"/>
      <c r="K28" s="163"/>
      <c r="L28" s="180"/>
      <c r="M28" s="141"/>
      <c r="N28" s="142"/>
      <c r="O28" s="142"/>
      <c r="P28" s="246"/>
      <c r="Q28" s="246"/>
      <c r="R28" s="246"/>
      <c r="S28" s="142"/>
      <c r="T28" s="470"/>
      <c r="U28" s="181"/>
      <c r="V28" s="181"/>
      <c r="W28" s="181"/>
      <c r="X28" s="182"/>
      <c r="Y28" s="183"/>
      <c r="Z28" s="184"/>
      <c r="AA28" s="169"/>
      <c r="AB28" s="170">
        <f>O28</f>
        <v>0</v>
      </c>
      <c r="AC28" s="171">
        <f>T28</f>
        <v>0</v>
      </c>
      <c r="AD28" s="172">
        <f>L28</f>
        <v>0</v>
      </c>
      <c r="AE28" s="170">
        <f>M28</f>
        <v>0</v>
      </c>
      <c r="AF28" s="171"/>
      <c r="AG28" s="171" t="e">
        <f t="shared" si="36"/>
        <v>#DIV/0!</v>
      </c>
      <c r="AH28" s="156" t="e">
        <f>VLOOKUP(AG28,TABLES!$A$2:$D$101,2)</f>
        <v>#DIV/0!</v>
      </c>
      <c r="AI28" s="173" t="e">
        <f t="shared" si="37"/>
        <v>#DIV/0!</v>
      </c>
      <c r="AJ28" s="156" t="e">
        <f>VLOOKUP(AG28,TABLES!$A$2:$D$101,3)</f>
        <v>#DIV/0!</v>
      </c>
      <c r="AK28" s="171" t="e">
        <f t="shared" si="38"/>
        <v>#DIV/0!</v>
      </c>
      <c r="AL28" s="171" t="e">
        <f t="shared" si="39"/>
        <v>#DIV/0!</v>
      </c>
    </row>
    <row r="29" spans="1:51" ht="13.15">
      <c r="A29" s="139"/>
      <c r="B29" s="140"/>
      <c r="C29" s="159"/>
      <c r="D29" s="163"/>
      <c r="E29" s="163"/>
      <c r="F29" s="185"/>
      <c r="G29" s="239"/>
      <c r="H29" s="219"/>
      <c r="I29" s="218"/>
      <c r="J29" s="217"/>
      <c r="K29" s="163"/>
      <c r="L29" s="180"/>
      <c r="M29" s="141"/>
      <c r="N29" s="142"/>
      <c r="O29" s="142"/>
      <c r="P29" s="246"/>
      <c r="Q29" s="246"/>
      <c r="R29" s="246"/>
      <c r="S29" s="142"/>
      <c r="T29" s="143"/>
      <c r="U29" s="181"/>
      <c r="V29" s="181"/>
      <c r="W29" s="181"/>
      <c r="X29" s="182"/>
      <c r="Y29" s="183"/>
      <c r="Z29" s="184"/>
      <c r="AA29" s="169"/>
      <c r="AB29" s="170">
        <f>O29</f>
        <v>0</v>
      </c>
      <c r="AC29" s="171">
        <f>T29</f>
        <v>0</v>
      </c>
      <c r="AD29" s="172">
        <f>L29</f>
        <v>0</v>
      </c>
      <c r="AE29" s="170">
        <f>M29</f>
        <v>0</v>
      </c>
      <c r="AF29" s="171"/>
      <c r="AG29" s="171" t="e">
        <f t="shared" ref="AG29:AG49" si="42">((AD29*AB29)/(1.49*(AC29)^0.5))/(AE29/12)^2.66666667</f>
        <v>#DIV/0!</v>
      </c>
      <c r="AH29" s="156" t="e">
        <f>VLOOKUP(AG29,TABLES!$A$2:$D$101,2)</f>
        <v>#DIV/0!</v>
      </c>
      <c r="AI29" s="173" t="e">
        <f t="shared" ref="AI29:AI49" si="43">AH29*AE29/12</f>
        <v>#DIV/0!</v>
      </c>
      <c r="AJ29" s="156" t="e">
        <f>VLOOKUP(AG29,TABLES!$A$2:$D$101,3)</f>
        <v>#DIV/0!</v>
      </c>
      <c r="AK29" s="171" t="e">
        <f t="shared" ref="AK29:AK49" si="44">AJ29*(AE29/12)^2</f>
        <v>#DIV/0!</v>
      </c>
      <c r="AL29" s="171" t="e">
        <f t="shared" ref="AL29:AL49" si="45">AD29/AK29</f>
        <v>#DIV/0!</v>
      </c>
    </row>
    <row r="30" spans="1:51" ht="13.15">
      <c r="A30" s="139"/>
      <c r="B30" s="140"/>
      <c r="C30" s="159"/>
      <c r="D30" s="160"/>
      <c r="E30" s="160"/>
      <c r="F30" s="161"/>
      <c r="G30" s="162"/>
      <c r="H30" s="215"/>
      <c r="I30" s="216"/>
      <c r="J30" s="217"/>
      <c r="K30" s="163"/>
      <c r="L30" s="164"/>
      <c r="M30" s="141"/>
      <c r="N30" s="142"/>
      <c r="O30" s="142"/>
      <c r="P30" s="246"/>
      <c r="Q30" s="246"/>
      <c r="R30" s="246"/>
      <c r="S30" s="142"/>
      <c r="T30" s="143"/>
      <c r="U30" s="165"/>
      <c r="V30" s="165"/>
      <c r="W30" s="165"/>
      <c r="X30" s="166"/>
      <c r="Y30" s="167"/>
      <c r="Z30" s="168"/>
      <c r="AA30" s="169"/>
      <c r="AB30" s="170">
        <f>O30</f>
        <v>0</v>
      </c>
      <c r="AC30" s="171">
        <f>T30</f>
        <v>0</v>
      </c>
      <c r="AD30" s="172">
        <f>L30</f>
        <v>0</v>
      </c>
      <c r="AE30" s="170">
        <f>M30</f>
        <v>0</v>
      </c>
      <c r="AF30" s="171"/>
      <c r="AG30" s="171" t="e">
        <f t="shared" si="42"/>
        <v>#DIV/0!</v>
      </c>
      <c r="AH30" s="156" t="e">
        <f>VLOOKUP(AG30,TABLES!$A$2:$D$101,2)</f>
        <v>#DIV/0!</v>
      </c>
      <c r="AI30" s="173" t="e">
        <f t="shared" si="43"/>
        <v>#DIV/0!</v>
      </c>
      <c r="AJ30" s="156" t="e">
        <f>VLOOKUP(AG30,TABLES!$A$2:$D$101,3)</f>
        <v>#DIV/0!</v>
      </c>
      <c r="AK30" s="171" t="e">
        <f t="shared" si="44"/>
        <v>#DIV/0!</v>
      </c>
      <c r="AL30" s="171" t="e">
        <f t="shared" si="45"/>
        <v>#DIV/0!</v>
      </c>
    </row>
    <row r="31" spans="1:51" ht="13.15">
      <c r="A31" s="139" t="str">
        <f>A14</f>
        <v>I-3</v>
      </c>
      <c r="B31" s="139" t="str">
        <f>B14</f>
        <v>MH-3</v>
      </c>
      <c r="C31" s="159"/>
      <c r="D31" s="163"/>
      <c r="E31" s="163"/>
      <c r="F31" s="185"/>
      <c r="G31" s="162"/>
      <c r="H31" s="219"/>
      <c r="I31" s="218"/>
      <c r="J31" s="217"/>
      <c r="K31" s="163"/>
      <c r="L31" s="180"/>
      <c r="M31" s="141">
        <f>M14</f>
        <v>12</v>
      </c>
      <c r="N31" s="143" t="s">
        <v>557</v>
      </c>
      <c r="O31" s="142" t="s">
        <v>134</v>
      </c>
      <c r="P31" s="246">
        <f>(P14-50)*5</f>
        <v>100</v>
      </c>
      <c r="Q31" s="246">
        <f>(Q14-50)*5</f>
        <v>98.84999999999998</v>
      </c>
      <c r="R31" s="246"/>
      <c r="S31" s="142"/>
      <c r="U31" s="181"/>
      <c r="V31" s="181"/>
      <c r="W31" s="181"/>
      <c r="X31" s="182"/>
      <c r="Y31" s="183"/>
      <c r="Z31" s="184"/>
      <c r="AA31" s="169"/>
      <c r="AB31" s="170" t="str">
        <f>O31</f>
        <v>I-3</v>
      </c>
      <c r="AC31" s="171" t="str">
        <f>N31</f>
        <v>MH-3</v>
      </c>
      <c r="AD31" s="172">
        <f>L31</f>
        <v>0</v>
      </c>
      <c r="AE31" s="170">
        <f>M31</f>
        <v>12</v>
      </c>
      <c r="AF31" s="171"/>
      <c r="AG31" s="171" t="e">
        <f t="shared" si="42"/>
        <v>#VALUE!</v>
      </c>
      <c r="AH31" s="156" t="e">
        <f>VLOOKUP(AG31,TABLES!$A$2:$D$101,2)</f>
        <v>#VALUE!</v>
      </c>
      <c r="AI31" s="173" t="e">
        <f t="shared" si="43"/>
        <v>#VALUE!</v>
      </c>
      <c r="AJ31" s="156" t="e">
        <f>VLOOKUP(AG31,TABLES!$A$2:$D$101,3)</f>
        <v>#VALUE!</v>
      </c>
      <c r="AK31" s="171" t="e">
        <f t="shared" si="44"/>
        <v>#VALUE!</v>
      </c>
      <c r="AL31" s="171" t="e">
        <f t="shared" si="45"/>
        <v>#VALUE!</v>
      </c>
    </row>
    <row r="32" spans="1:51" ht="13.15">
      <c r="A32" s="139" t="str">
        <f t="shared" ref="A32:B32" si="46">A15</f>
        <v>MH-3</v>
      </c>
      <c r="B32" s="139" t="str">
        <f t="shared" si="46"/>
        <v>MH-2</v>
      </c>
      <c r="C32" s="159"/>
      <c r="D32" s="160"/>
      <c r="E32" s="160"/>
      <c r="F32" s="161"/>
      <c r="G32" s="162"/>
      <c r="H32" s="215"/>
      <c r="I32" s="216"/>
      <c r="J32" s="217"/>
      <c r="K32" s="163"/>
      <c r="L32" s="164"/>
      <c r="M32" s="141">
        <f t="shared" ref="M32:M44" si="47">M15</f>
        <v>12</v>
      </c>
      <c r="N32" s="143" t="s">
        <v>555</v>
      </c>
      <c r="O32" s="142" t="s">
        <v>557</v>
      </c>
      <c r="P32" s="246">
        <f t="shared" ref="P32:Q32" si="48">(P15-50)*5</f>
        <v>98.350000000000009</v>
      </c>
      <c r="Q32" s="246">
        <f t="shared" si="48"/>
        <v>95.55</v>
      </c>
      <c r="R32" s="246"/>
      <c r="S32" s="142"/>
      <c r="U32" s="165"/>
      <c r="V32" s="165"/>
      <c r="W32" s="165"/>
      <c r="X32" s="166"/>
      <c r="Y32" s="167"/>
      <c r="Z32" s="168"/>
      <c r="AA32" s="169"/>
      <c r="AB32" s="170" t="str">
        <f>O32</f>
        <v>MH-3</v>
      </c>
      <c r="AC32" s="171" t="str">
        <f>N32</f>
        <v>MH-2</v>
      </c>
      <c r="AD32" s="172">
        <f>L32</f>
        <v>0</v>
      </c>
      <c r="AE32" s="170">
        <f>M32</f>
        <v>12</v>
      </c>
      <c r="AF32" s="171"/>
      <c r="AG32" s="171" t="e">
        <f t="shared" si="42"/>
        <v>#VALUE!</v>
      </c>
      <c r="AH32" s="156" t="e">
        <f>VLOOKUP(AG32,TABLES!$A$2:$D$101,2)</f>
        <v>#VALUE!</v>
      </c>
      <c r="AI32" s="173" t="e">
        <f t="shared" si="43"/>
        <v>#VALUE!</v>
      </c>
      <c r="AJ32" s="156" t="e">
        <f>VLOOKUP(AG32,TABLES!$A$2:$D$101,3)</f>
        <v>#VALUE!</v>
      </c>
      <c r="AK32" s="171" t="e">
        <f t="shared" si="44"/>
        <v>#VALUE!</v>
      </c>
      <c r="AL32" s="171" t="e">
        <f t="shared" si="45"/>
        <v>#VALUE!</v>
      </c>
    </row>
    <row r="33" spans="1:38" ht="13.15">
      <c r="A33" s="139" t="str">
        <f t="shared" ref="A33:B33" si="49">A16</f>
        <v>MH-2</v>
      </c>
      <c r="B33" s="139" t="str">
        <f t="shared" si="49"/>
        <v>I-2</v>
      </c>
      <c r="C33" s="159"/>
      <c r="D33" s="163"/>
      <c r="E33" s="163"/>
      <c r="F33" s="185"/>
      <c r="G33" s="162"/>
      <c r="H33" s="219"/>
      <c r="I33" s="218"/>
      <c r="J33" s="217"/>
      <c r="K33" s="163"/>
      <c r="L33" s="180"/>
      <c r="M33" s="141">
        <f t="shared" si="47"/>
        <v>12</v>
      </c>
      <c r="N33" s="143" t="s">
        <v>133</v>
      </c>
      <c r="O33" s="142" t="s">
        <v>555</v>
      </c>
      <c r="P33" s="246">
        <f t="shared" ref="P33:Q33" si="50">(P16-50)*5</f>
        <v>95.050000000000026</v>
      </c>
      <c r="Q33" s="246">
        <f t="shared" si="50"/>
        <v>91.499999999999986</v>
      </c>
      <c r="R33" s="246"/>
      <c r="S33" s="142"/>
      <c r="U33" s="181"/>
      <c r="V33" s="181"/>
      <c r="W33" s="181"/>
      <c r="X33" s="182"/>
      <c r="Y33" s="183"/>
      <c r="Z33" s="184"/>
      <c r="AA33" s="169"/>
      <c r="AB33" s="170" t="str">
        <f>O33</f>
        <v>MH-2</v>
      </c>
      <c r="AC33" s="171" t="str">
        <f>N33</f>
        <v>I-2</v>
      </c>
      <c r="AD33" s="172">
        <f>L33</f>
        <v>0</v>
      </c>
      <c r="AE33" s="170">
        <f>M33</f>
        <v>12</v>
      </c>
      <c r="AF33" s="171"/>
      <c r="AG33" s="171" t="e">
        <f t="shared" si="42"/>
        <v>#VALUE!</v>
      </c>
      <c r="AH33" s="156" t="e">
        <f>VLOOKUP(AG33,TABLES!$A$2:$D$101,2)</f>
        <v>#VALUE!</v>
      </c>
      <c r="AI33" s="173" t="e">
        <f t="shared" si="43"/>
        <v>#VALUE!</v>
      </c>
      <c r="AJ33" s="156" t="e">
        <f>VLOOKUP(AG33,TABLES!$A$2:$D$101,3)</f>
        <v>#VALUE!</v>
      </c>
      <c r="AK33" s="171" t="e">
        <f t="shared" si="44"/>
        <v>#VALUE!</v>
      </c>
      <c r="AL33" s="171" t="e">
        <f t="shared" si="45"/>
        <v>#VALUE!</v>
      </c>
    </row>
    <row r="34" spans="1:38" ht="13.15">
      <c r="A34" s="139" t="str">
        <f t="shared" ref="A34:B34" si="51">A17</f>
        <v>I-1</v>
      </c>
      <c r="B34" s="139" t="str">
        <f t="shared" si="51"/>
        <v>I-2</v>
      </c>
      <c r="C34" s="159"/>
      <c r="D34" s="160"/>
      <c r="E34" s="160"/>
      <c r="F34" s="161"/>
      <c r="G34" s="162"/>
      <c r="H34" s="215"/>
      <c r="I34" s="216"/>
      <c r="J34" s="217"/>
      <c r="K34" s="163"/>
      <c r="L34" s="164"/>
      <c r="M34" s="141">
        <f t="shared" si="47"/>
        <v>12</v>
      </c>
      <c r="N34" s="143" t="s">
        <v>133</v>
      </c>
      <c r="O34" s="142" t="s">
        <v>91</v>
      </c>
      <c r="P34" s="246">
        <f t="shared" ref="P34:Q34" si="52">(P17-50)*5</f>
        <v>92.550000000000026</v>
      </c>
      <c r="Q34" s="246">
        <f t="shared" si="52"/>
        <v>91.499999999999986</v>
      </c>
      <c r="R34" s="246"/>
      <c r="S34" s="142"/>
      <c r="U34" s="165"/>
      <c r="V34" s="165"/>
      <c r="W34" s="165"/>
      <c r="X34" s="166"/>
      <c r="Y34" s="167"/>
      <c r="Z34" s="168"/>
      <c r="AA34" s="169"/>
      <c r="AB34" s="170" t="str">
        <f>O34</f>
        <v>I-1</v>
      </c>
      <c r="AC34" s="171" t="str">
        <f>N34</f>
        <v>I-2</v>
      </c>
      <c r="AD34" s="172">
        <f>L34</f>
        <v>0</v>
      </c>
      <c r="AE34" s="170">
        <f>M34</f>
        <v>12</v>
      </c>
      <c r="AF34" s="171"/>
      <c r="AG34" s="171" t="e">
        <f t="shared" si="42"/>
        <v>#VALUE!</v>
      </c>
      <c r="AH34" s="156" t="e">
        <f>VLOOKUP(AG34,TABLES!$A$2:$D$101,2)</f>
        <v>#VALUE!</v>
      </c>
      <c r="AI34" s="173" t="e">
        <f t="shared" si="43"/>
        <v>#VALUE!</v>
      </c>
      <c r="AJ34" s="156" t="e">
        <f>VLOOKUP(AG34,TABLES!$A$2:$D$101,3)</f>
        <v>#VALUE!</v>
      </c>
      <c r="AK34" s="171" t="e">
        <f t="shared" si="44"/>
        <v>#VALUE!</v>
      </c>
      <c r="AL34" s="171" t="e">
        <f t="shared" si="45"/>
        <v>#VALUE!</v>
      </c>
    </row>
    <row r="35" spans="1:38" ht="13.15">
      <c r="A35" s="139" t="str">
        <f t="shared" ref="A35:B35" si="53">A18</f>
        <v>I-2</v>
      </c>
      <c r="B35" s="139" t="str">
        <f t="shared" si="53"/>
        <v>MH-1</v>
      </c>
      <c r="C35" s="159"/>
      <c r="D35" s="163"/>
      <c r="E35" s="163"/>
      <c r="F35" s="185"/>
      <c r="G35" s="162"/>
      <c r="H35" s="219"/>
      <c r="I35" s="218"/>
      <c r="J35" s="217"/>
      <c r="K35" s="163"/>
      <c r="L35" s="180"/>
      <c r="M35" s="141">
        <f t="shared" si="47"/>
        <v>15</v>
      </c>
      <c r="N35" s="143" t="s">
        <v>556</v>
      </c>
      <c r="O35" s="142" t="s">
        <v>133</v>
      </c>
      <c r="P35" s="246">
        <f t="shared" ref="P35:Q35" si="54">(P18-50)*5</f>
        <v>91.000000000000014</v>
      </c>
      <c r="Q35" s="246">
        <f t="shared" si="54"/>
        <v>87.000000000000028</v>
      </c>
      <c r="R35" s="246"/>
      <c r="S35" s="142"/>
      <c r="U35" s="181"/>
      <c r="V35" s="181"/>
      <c r="W35" s="181"/>
      <c r="X35" s="182"/>
      <c r="Y35" s="183"/>
      <c r="Z35" s="184"/>
      <c r="AA35" s="169"/>
      <c r="AB35" s="170" t="str">
        <f>O35</f>
        <v>I-2</v>
      </c>
      <c r="AC35" s="171" t="str">
        <f>N35</f>
        <v>MH-1</v>
      </c>
      <c r="AD35" s="172">
        <f>L35</f>
        <v>0</v>
      </c>
      <c r="AE35" s="170">
        <f>M35</f>
        <v>15</v>
      </c>
      <c r="AF35" s="171"/>
      <c r="AG35" s="171" t="e">
        <f t="shared" si="42"/>
        <v>#VALUE!</v>
      </c>
      <c r="AH35" s="156" t="e">
        <f>VLOOKUP(AG35,TABLES!$A$2:$D$101,2)</f>
        <v>#VALUE!</v>
      </c>
      <c r="AI35" s="173" t="e">
        <f t="shared" si="43"/>
        <v>#VALUE!</v>
      </c>
      <c r="AJ35" s="156" t="e">
        <f>VLOOKUP(AG35,TABLES!$A$2:$D$101,3)</f>
        <v>#VALUE!</v>
      </c>
      <c r="AK35" s="171" t="e">
        <f t="shared" si="44"/>
        <v>#VALUE!</v>
      </c>
      <c r="AL35" s="171" t="e">
        <f t="shared" si="45"/>
        <v>#VALUE!</v>
      </c>
    </row>
    <row r="36" spans="1:38" ht="13.15">
      <c r="A36" s="139" t="str">
        <f t="shared" ref="A36:B36" si="55">A19</f>
        <v>EX-I-2</v>
      </c>
      <c r="B36" s="139" t="str">
        <f t="shared" si="55"/>
        <v>MH-1</v>
      </c>
      <c r="C36" s="159"/>
      <c r="D36" s="160"/>
      <c r="E36" s="160"/>
      <c r="F36" s="161"/>
      <c r="G36" s="162"/>
      <c r="H36" s="215"/>
      <c r="I36" s="216"/>
      <c r="J36" s="217"/>
      <c r="K36" s="163"/>
      <c r="L36" s="164"/>
      <c r="M36" s="141">
        <f t="shared" si="47"/>
        <v>21</v>
      </c>
      <c r="N36" s="143" t="s">
        <v>556</v>
      </c>
      <c r="O36" s="142" t="s">
        <v>362</v>
      </c>
      <c r="P36" s="246">
        <f t="shared" ref="P36:Q36" si="56">(P19-50)*5</f>
        <v>87.299999999999969</v>
      </c>
      <c r="Q36" s="246">
        <f t="shared" si="56"/>
        <v>87.000000000000028</v>
      </c>
      <c r="R36" s="246"/>
      <c r="S36" s="142"/>
      <c r="U36" s="165"/>
      <c r="V36" s="165"/>
      <c r="W36" s="165"/>
      <c r="X36" s="166"/>
      <c r="Y36" s="167"/>
      <c r="Z36" s="168"/>
      <c r="AA36" s="169"/>
      <c r="AB36" s="170" t="str">
        <f>O36</f>
        <v>EX-I-2</v>
      </c>
      <c r="AC36" s="171" t="str">
        <f>N36</f>
        <v>MH-1</v>
      </c>
      <c r="AD36" s="172">
        <f>L36</f>
        <v>0</v>
      </c>
      <c r="AE36" s="170">
        <f>M36</f>
        <v>21</v>
      </c>
      <c r="AF36" s="171"/>
      <c r="AG36" s="171" t="e">
        <f t="shared" si="42"/>
        <v>#VALUE!</v>
      </c>
      <c r="AH36" s="156" t="e">
        <f>VLOOKUP(AG36,TABLES!$A$2:$D$101,2)</f>
        <v>#VALUE!</v>
      </c>
      <c r="AI36" s="173" t="e">
        <f t="shared" si="43"/>
        <v>#VALUE!</v>
      </c>
      <c r="AJ36" s="156" t="e">
        <f>VLOOKUP(AG36,TABLES!$A$2:$D$101,3)</f>
        <v>#VALUE!</v>
      </c>
      <c r="AK36" s="171" t="e">
        <f t="shared" si="44"/>
        <v>#VALUE!</v>
      </c>
      <c r="AL36" s="171" t="e">
        <f t="shared" si="45"/>
        <v>#VALUE!</v>
      </c>
    </row>
    <row r="37" spans="1:38" ht="13.15">
      <c r="A37" s="139" t="str">
        <f t="shared" ref="A37:B37" si="57">A20</f>
        <v>MH-1</v>
      </c>
      <c r="B37" s="139" t="str">
        <f t="shared" si="57"/>
        <v>EX-I-1</v>
      </c>
      <c r="C37" s="159"/>
      <c r="D37" s="163"/>
      <c r="E37" s="163"/>
      <c r="F37" s="185"/>
      <c r="G37" s="162"/>
      <c r="H37" s="219"/>
      <c r="I37" s="218"/>
      <c r="J37" s="217"/>
      <c r="K37" s="163"/>
      <c r="L37" s="180"/>
      <c r="M37" s="141">
        <f t="shared" si="47"/>
        <v>24</v>
      </c>
      <c r="N37" s="143" t="s">
        <v>359</v>
      </c>
      <c r="O37" s="142" t="s">
        <v>556</v>
      </c>
      <c r="P37" s="246">
        <f t="shared" ref="P37:Q37" si="58">(P20-50)*5</f>
        <v>86.499999999999986</v>
      </c>
      <c r="Q37" s="246">
        <f t="shared" si="58"/>
        <v>85.499999999999972</v>
      </c>
      <c r="R37" s="246"/>
      <c r="S37" s="142"/>
      <c r="U37" s="181"/>
      <c r="V37" s="181"/>
      <c r="W37" s="181"/>
      <c r="X37" s="182"/>
      <c r="Y37" s="183"/>
      <c r="Z37" s="184"/>
      <c r="AA37" s="169"/>
      <c r="AB37" s="170" t="str">
        <f>O37</f>
        <v>MH-1</v>
      </c>
      <c r="AC37" s="171" t="str">
        <f>N37</f>
        <v>EX-I-1</v>
      </c>
      <c r="AD37" s="172">
        <f>L37</f>
        <v>0</v>
      </c>
      <c r="AE37" s="170">
        <f>M37</f>
        <v>24</v>
      </c>
      <c r="AF37" s="171"/>
      <c r="AG37" s="171" t="e">
        <f t="shared" si="42"/>
        <v>#VALUE!</v>
      </c>
      <c r="AH37" s="156" t="e">
        <f>VLOOKUP(AG37,TABLES!$A$2:$D$101,2)</f>
        <v>#VALUE!</v>
      </c>
      <c r="AI37" s="173" t="e">
        <f t="shared" si="43"/>
        <v>#VALUE!</v>
      </c>
      <c r="AJ37" s="156" t="e">
        <f>VLOOKUP(AG37,TABLES!$A$2:$D$101,3)</f>
        <v>#VALUE!</v>
      </c>
      <c r="AK37" s="171" t="e">
        <f t="shared" si="44"/>
        <v>#VALUE!</v>
      </c>
      <c r="AL37" s="171" t="e">
        <f t="shared" si="45"/>
        <v>#VALUE!</v>
      </c>
    </row>
    <row r="38" spans="1:38" ht="13.15">
      <c r="A38" s="139" t="str">
        <f t="shared" ref="A38:B38" si="59">A21</f>
        <v>EX-I-1</v>
      </c>
      <c r="B38" s="139" t="str">
        <f t="shared" si="59"/>
        <v>CULVERT</v>
      </c>
      <c r="C38" s="159"/>
      <c r="D38" s="160"/>
      <c r="E38" s="160"/>
      <c r="F38" s="161"/>
      <c r="G38" s="162"/>
      <c r="H38" s="215"/>
      <c r="I38" s="216"/>
      <c r="J38" s="217"/>
      <c r="K38" s="163"/>
      <c r="L38" s="164"/>
      <c r="M38" s="141">
        <f t="shared" si="47"/>
        <v>24</v>
      </c>
      <c r="N38" s="143" t="s">
        <v>554</v>
      </c>
      <c r="O38" s="142" t="s">
        <v>359</v>
      </c>
      <c r="P38" s="246">
        <f t="shared" ref="P38:Q38" si="60">(P21-50)*5</f>
        <v>85</v>
      </c>
      <c r="Q38" s="246">
        <f t="shared" si="60"/>
        <v>84.350000000000023</v>
      </c>
      <c r="R38" s="246"/>
      <c r="S38" s="142"/>
      <c r="U38" s="165"/>
      <c r="V38" s="165"/>
      <c r="W38" s="165"/>
      <c r="X38" s="166"/>
      <c r="Y38" s="167"/>
      <c r="Z38" s="168"/>
      <c r="AA38" s="169"/>
      <c r="AB38" s="170" t="str">
        <f>O38</f>
        <v>EX-I-1</v>
      </c>
      <c r="AC38" s="171" t="str">
        <f>N38</f>
        <v>CULVERT</v>
      </c>
      <c r="AD38" s="172">
        <f>L38</f>
        <v>0</v>
      </c>
      <c r="AE38" s="170">
        <f>M38</f>
        <v>24</v>
      </c>
      <c r="AF38" s="171"/>
      <c r="AG38" s="171" t="e">
        <f t="shared" si="42"/>
        <v>#VALUE!</v>
      </c>
      <c r="AH38" s="156" t="e">
        <f>VLOOKUP(AG38,TABLES!$A$2:$D$101,2)</f>
        <v>#VALUE!</v>
      </c>
      <c r="AI38" s="173" t="e">
        <f t="shared" si="43"/>
        <v>#VALUE!</v>
      </c>
      <c r="AJ38" s="156" t="e">
        <f>VLOOKUP(AG38,TABLES!$A$2:$D$101,3)</f>
        <v>#VALUE!</v>
      </c>
      <c r="AK38" s="171" t="e">
        <f t="shared" si="44"/>
        <v>#VALUE!</v>
      </c>
      <c r="AL38" s="171" t="e">
        <f t="shared" si="45"/>
        <v>#VALUE!</v>
      </c>
    </row>
    <row r="39" spans="1:38" ht="13.15">
      <c r="A39" s="139"/>
      <c r="B39" s="139"/>
      <c r="C39" s="159"/>
      <c r="D39" s="163"/>
      <c r="E39" s="163"/>
      <c r="F39" s="185"/>
      <c r="G39" s="162"/>
      <c r="H39" s="219"/>
      <c r="I39" s="218"/>
      <c r="J39" s="217"/>
      <c r="K39" s="163"/>
      <c r="L39" s="180"/>
      <c r="M39" s="141"/>
      <c r="N39" s="143"/>
      <c r="O39" s="142"/>
      <c r="P39" s="246"/>
      <c r="Q39" s="246"/>
      <c r="R39" s="246"/>
      <c r="S39" s="142"/>
      <c r="U39" s="181"/>
      <c r="V39" s="181"/>
      <c r="W39" s="181"/>
      <c r="X39" s="182"/>
      <c r="Y39" s="183"/>
      <c r="Z39" s="184"/>
      <c r="AA39" s="169"/>
      <c r="AB39" s="170">
        <f>O39</f>
        <v>0</v>
      </c>
      <c r="AC39" s="171">
        <f>N39</f>
        <v>0</v>
      </c>
      <c r="AD39" s="172">
        <f>L39</f>
        <v>0</v>
      </c>
      <c r="AE39" s="170">
        <f>M39</f>
        <v>0</v>
      </c>
      <c r="AF39" s="171"/>
      <c r="AG39" s="171" t="e">
        <f t="shared" si="42"/>
        <v>#DIV/0!</v>
      </c>
      <c r="AH39" s="156" t="e">
        <f>VLOOKUP(AG39,TABLES!$A$2:$D$101,2)</f>
        <v>#DIV/0!</v>
      </c>
      <c r="AI39" s="173" t="e">
        <f t="shared" si="43"/>
        <v>#DIV/0!</v>
      </c>
      <c r="AJ39" s="156" t="e">
        <f>VLOOKUP(AG39,TABLES!$A$2:$D$101,3)</f>
        <v>#DIV/0!</v>
      </c>
      <c r="AK39" s="171" t="e">
        <f t="shared" si="44"/>
        <v>#DIV/0!</v>
      </c>
      <c r="AL39" s="171" t="e">
        <f t="shared" si="45"/>
        <v>#DIV/0!</v>
      </c>
    </row>
    <row r="40" spans="1:38" ht="13.15">
      <c r="A40" s="139" t="str">
        <f t="shared" ref="A40:B40" si="61">A23</f>
        <v>I-7</v>
      </c>
      <c r="B40" s="139" t="str">
        <f t="shared" si="61"/>
        <v>CULVERT</v>
      </c>
      <c r="C40" s="159"/>
      <c r="D40" s="160"/>
      <c r="E40" s="160"/>
      <c r="F40" s="161"/>
      <c r="G40" s="162"/>
      <c r="H40" s="215"/>
      <c r="I40" s="216"/>
      <c r="J40" s="217"/>
      <c r="K40" s="163"/>
      <c r="L40" s="164"/>
      <c r="M40" s="141">
        <f t="shared" si="47"/>
        <v>24</v>
      </c>
      <c r="N40" s="143" t="s">
        <v>554</v>
      </c>
      <c r="O40" s="142" t="s">
        <v>138</v>
      </c>
      <c r="P40" s="246">
        <f t="shared" ref="P40:Q40" si="62">(P23-50)*5</f>
        <v>85.499999999999972</v>
      </c>
      <c r="Q40" s="246">
        <f t="shared" si="62"/>
        <v>84.350000000000023</v>
      </c>
      <c r="R40" s="246"/>
      <c r="S40" s="142"/>
      <c r="U40" s="165"/>
      <c r="V40" s="165"/>
      <c r="W40" s="165"/>
      <c r="X40" s="166"/>
      <c r="Y40" s="167"/>
      <c r="Z40" s="168"/>
      <c r="AA40" s="169"/>
      <c r="AB40" s="170" t="str">
        <f>O40</f>
        <v>I-7</v>
      </c>
      <c r="AC40" s="171" t="str">
        <f>N40</f>
        <v>CULVERT</v>
      </c>
      <c r="AD40" s="172">
        <f>L40</f>
        <v>0</v>
      </c>
      <c r="AE40" s="170">
        <f>M40</f>
        <v>24</v>
      </c>
      <c r="AF40" s="171"/>
      <c r="AG40" s="171" t="e">
        <f t="shared" si="42"/>
        <v>#VALUE!</v>
      </c>
      <c r="AH40" s="156" t="e">
        <f>VLOOKUP(AG40,TABLES!$A$2:$D$101,2)</f>
        <v>#VALUE!</v>
      </c>
      <c r="AI40" s="173" t="e">
        <f t="shared" si="43"/>
        <v>#VALUE!</v>
      </c>
      <c r="AJ40" s="156" t="e">
        <f>VLOOKUP(AG40,TABLES!$A$2:$D$101,3)</f>
        <v>#VALUE!</v>
      </c>
      <c r="AK40" s="171" t="e">
        <f t="shared" si="44"/>
        <v>#VALUE!</v>
      </c>
      <c r="AL40" s="171" t="e">
        <f t="shared" si="45"/>
        <v>#VALUE!</v>
      </c>
    </row>
    <row r="41" spans="1:38" ht="13.15">
      <c r="A41" s="139"/>
      <c r="B41" s="139"/>
      <c r="C41" s="159"/>
      <c r="D41" s="163"/>
      <c r="E41" s="163"/>
      <c r="F41" s="185"/>
      <c r="G41" s="162"/>
      <c r="H41" s="219"/>
      <c r="I41" s="218"/>
      <c r="J41" s="217"/>
      <c r="K41" s="163"/>
      <c r="L41" s="180"/>
      <c r="M41" s="141"/>
      <c r="N41" s="143"/>
      <c r="O41" s="142"/>
      <c r="P41" s="246"/>
      <c r="Q41" s="246"/>
      <c r="R41" s="246"/>
      <c r="S41" s="142"/>
      <c r="U41" s="181"/>
      <c r="V41" s="181"/>
      <c r="W41" s="181"/>
      <c r="X41" s="182"/>
      <c r="Y41" s="183"/>
      <c r="Z41" s="184"/>
      <c r="AA41" s="169"/>
      <c r="AB41" s="170">
        <f>O41</f>
        <v>0</v>
      </c>
      <c r="AC41" s="171">
        <f>N41</f>
        <v>0</v>
      </c>
      <c r="AD41" s="172">
        <f>L41</f>
        <v>0</v>
      </c>
      <c r="AE41" s="170">
        <f>M41</f>
        <v>0</v>
      </c>
      <c r="AF41" s="171"/>
      <c r="AG41" s="171" t="e">
        <f t="shared" si="42"/>
        <v>#DIV/0!</v>
      </c>
      <c r="AH41" s="156" t="e">
        <f>VLOOKUP(AG41,TABLES!$A$2:$D$101,2)</f>
        <v>#DIV/0!</v>
      </c>
      <c r="AI41" s="173" t="e">
        <f t="shared" si="43"/>
        <v>#DIV/0!</v>
      </c>
      <c r="AJ41" s="156" t="e">
        <f>VLOOKUP(AG41,TABLES!$A$2:$D$101,3)</f>
        <v>#DIV/0!</v>
      </c>
      <c r="AK41" s="171" t="e">
        <f t="shared" si="44"/>
        <v>#DIV/0!</v>
      </c>
      <c r="AL41" s="171" t="e">
        <f t="shared" si="45"/>
        <v>#DIV/0!</v>
      </c>
    </row>
    <row r="42" spans="1:38" ht="13.15">
      <c r="A42" s="139" t="str">
        <f>A25</f>
        <v>I-6</v>
      </c>
      <c r="B42" s="139" t="str">
        <f>B25</f>
        <v>I-5</v>
      </c>
      <c r="C42" s="159"/>
      <c r="D42" s="160"/>
      <c r="E42" s="160"/>
      <c r="F42" s="161"/>
      <c r="G42" s="162"/>
      <c r="H42" s="215"/>
      <c r="I42" s="216"/>
      <c r="J42" s="217"/>
      <c r="K42" s="163"/>
      <c r="L42" s="164"/>
      <c r="M42" s="141">
        <f t="shared" si="47"/>
        <v>12</v>
      </c>
      <c r="N42" s="143" t="s">
        <v>136</v>
      </c>
      <c r="O42" s="142" t="s">
        <v>137</v>
      </c>
      <c r="P42" s="246">
        <f t="shared" ref="P42:Q42" si="63">(P25-50)*5</f>
        <v>112.04999999999998</v>
      </c>
      <c r="Q42" s="246">
        <f t="shared" si="63"/>
        <v>110.45000000000002</v>
      </c>
      <c r="R42" s="246"/>
      <c r="S42" s="142"/>
      <c r="U42" s="165"/>
      <c r="V42" s="165"/>
      <c r="W42" s="165"/>
      <c r="X42" s="166"/>
      <c r="Y42" s="167"/>
      <c r="Z42" s="168"/>
      <c r="AA42" s="169"/>
      <c r="AB42" s="170" t="str">
        <f>O42</f>
        <v>I-6</v>
      </c>
      <c r="AC42" s="171" t="str">
        <f>N42</f>
        <v>I-5</v>
      </c>
      <c r="AD42" s="172">
        <f>L42</f>
        <v>0</v>
      </c>
      <c r="AE42" s="170">
        <f>M42</f>
        <v>12</v>
      </c>
      <c r="AF42" s="171"/>
      <c r="AG42" s="171" t="e">
        <f t="shared" si="42"/>
        <v>#VALUE!</v>
      </c>
      <c r="AH42" s="156" t="e">
        <f>VLOOKUP(AG42,TABLES!$A$2:$D$101,2)</f>
        <v>#VALUE!</v>
      </c>
      <c r="AI42" s="173" t="e">
        <f t="shared" si="43"/>
        <v>#VALUE!</v>
      </c>
      <c r="AJ42" s="156" t="e">
        <f>VLOOKUP(AG42,TABLES!$A$2:$D$101,3)</f>
        <v>#VALUE!</v>
      </c>
      <c r="AK42" s="171" t="e">
        <f t="shared" si="44"/>
        <v>#VALUE!</v>
      </c>
      <c r="AL42" s="171" t="e">
        <f t="shared" si="45"/>
        <v>#VALUE!</v>
      </c>
    </row>
    <row r="43" spans="1:38" ht="13.15">
      <c r="A43" s="139" t="str">
        <f t="shared" ref="A43:B43" si="64">A26</f>
        <v>I-5</v>
      </c>
      <c r="B43" s="139" t="str">
        <f t="shared" si="64"/>
        <v>I-4</v>
      </c>
      <c r="C43" s="159"/>
      <c r="D43" s="163"/>
      <c r="E43" s="163"/>
      <c r="F43" s="185"/>
      <c r="G43" s="162"/>
      <c r="H43" s="219"/>
      <c r="I43" s="218"/>
      <c r="J43" s="217"/>
      <c r="K43" s="163"/>
      <c r="L43" s="180"/>
      <c r="M43" s="141">
        <f t="shared" si="47"/>
        <v>18</v>
      </c>
      <c r="N43" s="143" t="s">
        <v>135</v>
      </c>
      <c r="O43" s="142" t="s">
        <v>136</v>
      </c>
      <c r="P43" s="246">
        <f t="shared" ref="P43:Q43" si="65">(P26-50)*5</f>
        <v>109.94999999999997</v>
      </c>
      <c r="Q43" s="246">
        <f t="shared" si="65"/>
        <v>107.04999999999998</v>
      </c>
      <c r="R43" s="246"/>
      <c r="S43" s="142"/>
      <c r="U43" s="181"/>
      <c r="V43" s="181"/>
      <c r="W43" s="181"/>
      <c r="X43" s="182"/>
      <c r="Y43" s="183"/>
      <c r="Z43" s="184"/>
      <c r="AA43" s="169"/>
      <c r="AB43" s="170" t="str">
        <f>O43</f>
        <v>I-5</v>
      </c>
      <c r="AC43" s="171" t="str">
        <f>N43</f>
        <v>I-4</v>
      </c>
      <c r="AD43" s="172">
        <f>L43</f>
        <v>0</v>
      </c>
      <c r="AE43" s="170">
        <f>M43</f>
        <v>18</v>
      </c>
      <c r="AF43" s="171"/>
      <c r="AG43" s="171" t="e">
        <f t="shared" si="42"/>
        <v>#VALUE!</v>
      </c>
      <c r="AH43" s="156" t="e">
        <f>VLOOKUP(AG43,TABLES!$A$2:$D$101,2)</f>
        <v>#VALUE!</v>
      </c>
      <c r="AI43" s="173" t="e">
        <f t="shared" si="43"/>
        <v>#VALUE!</v>
      </c>
      <c r="AJ43" s="156" t="e">
        <f>VLOOKUP(AG43,TABLES!$A$2:$D$101,3)</f>
        <v>#VALUE!</v>
      </c>
      <c r="AK43" s="171" t="e">
        <f t="shared" si="44"/>
        <v>#VALUE!</v>
      </c>
      <c r="AL43" s="171" t="e">
        <f t="shared" si="45"/>
        <v>#VALUE!</v>
      </c>
    </row>
    <row r="44" spans="1:38" ht="13.15">
      <c r="A44" s="139" t="str">
        <f t="shared" ref="A44:B44" si="66">A27</f>
        <v>I-4</v>
      </c>
      <c r="B44" s="139" t="str">
        <f t="shared" si="66"/>
        <v>CULVERT</v>
      </c>
      <c r="C44" s="159"/>
      <c r="D44" s="160"/>
      <c r="E44" s="160"/>
      <c r="F44" s="161"/>
      <c r="G44" s="162"/>
      <c r="H44" s="215"/>
      <c r="I44" s="216"/>
      <c r="J44" s="217"/>
      <c r="K44" s="163"/>
      <c r="L44" s="164"/>
      <c r="M44" s="141">
        <f t="shared" si="47"/>
        <v>18</v>
      </c>
      <c r="N44" s="143" t="s">
        <v>554</v>
      </c>
      <c r="O44" s="142" t="s">
        <v>135</v>
      </c>
      <c r="P44" s="246">
        <f t="shared" ref="P44:Q44" si="67">(P27-50)*5</f>
        <v>106.8385</v>
      </c>
      <c r="Q44" s="246">
        <f t="shared" si="67"/>
        <v>105.20000000000003</v>
      </c>
      <c r="R44" s="246"/>
      <c r="S44" s="142"/>
      <c r="U44" s="165"/>
      <c r="V44" s="165"/>
      <c r="W44" s="165"/>
      <c r="X44" s="166"/>
      <c r="Y44" s="167"/>
      <c r="Z44" s="168"/>
      <c r="AA44" s="169"/>
      <c r="AB44" s="170" t="str">
        <f>O44</f>
        <v>I-4</v>
      </c>
      <c r="AC44" s="171" t="str">
        <f>N44</f>
        <v>CULVERT</v>
      </c>
      <c r="AD44" s="172">
        <f>L44</f>
        <v>0</v>
      </c>
      <c r="AE44" s="170">
        <f>M44</f>
        <v>18</v>
      </c>
      <c r="AF44" s="171"/>
      <c r="AG44" s="171" t="e">
        <f t="shared" si="42"/>
        <v>#VALUE!</v>
      </c>
      <c r="AH44" s="156" t="e">
        <f>VLOOKUP(AG44,TABLES!$A$2:$D$101,2)</f>
        <v>#VALUE!</v>
      </c>
      <c r="AI44" s="173" t="e">
        <f t="shared" si="43"/>
        <v>#VALUE!</v>
      </c>
      <c r="AJ44" s="156" t="e">
        <f>VLOOKUP(AG44,TABLES!$A$2:$D$101,3)</f>
        <v>#VALUE!</v>
      </c>
      <c r="AK44" s="171" t="e">
        <f t="shared" si="44"/>
        <v>#VALUE!</v>
      </c>
      <c r="AL44" s="171" t="e">
        <f t="shared" si="45"/>
        <v>#VALUE!</v>
      </c>
    </row>
    <row r="45" spans="1:38" ht="13.15">
      <c r="A45" s="139"/>
      <c r="B45" s="140"/>
      <c r="C45" s="159"/>
      <c r="D45" s="163"/>
      <c r="E45" s="163"/>
      <c r="F45" s="185"/>
      <c r="G45" s="162"/>
      <c r="H45" s="219"/>
      <c r="I45" s="218"/>
      <c r="J45" s="217"/>
      <c r="K45" s="163"/>
      <c r="L45" s="180"/>
      <c r="M45" s="141"/>
      <c r="N45" s="142"/>
      <c r="O45" s="142"/>
      <c r="P45" s="246"/>
      <c r="Q45" s="246"/>
      <c r="R45" s="246"/>
      <c r="S45" s="142"/>
      <c r="T45" s="143"/>
      <c r="U45" s="181"/>
      <c r="V45" s="181"/>
      <c r="W45" s="181"/>
      <c r="X45" s="182"/>
      <c r="Y45" s="183"/>
      <c r="Z45" s="184"/>
      <c r="AA45" s="169"/>
      <c r="AB45" s="170">
        <f>O45</f>
        <v>0</v>
      </c>
      <c r="AC45" s="171">
        <f>T45</f>
        <v>0</v>
      </c>
      <c r="AD45" s="172">
        <f>L45</f>
        <v>0</v>
      </c>
      <c r="AE45" s="170">
        <f>M45</f>
        <v>0</v>
      </c>
      <c r="AF45" s="171"/>
      <c r="AG45" s="171" t="e">
        <f t="shared" si="42"/>
        <v>#DIV/0!</v>
      </c>
      <c r="AH45" s="156" t="e">
        <f>VLOOKUP(AG45,TABLES!$A$2:$D$101,2)</f>
        <v>#DIV/0!</v>
      </c>
      <c r="AI45" s="173" t="e">
        <f t="shared" si="43"/>
        <v>#DIV/0!</v>
      </c>
      <c r="AJ45" s="156" t="e">
        <f>VLOOKUP(AG45,TABLES!$A$2:$D$101,3)</f>
        <v>#DIV/0!</v>
      </c>
      <c r="AK45" s="171" t="e">
        <f t="shared" si="44"/>
        <v>#DIV/0!</v>
      </c>
      <c r="AL45" s="171" t="e">
        <f t="shared" si="45"/>
        <v>#DIV/0!</v>
      </c>
    </row>
    <row r="46" spans="1:38" ht="13.15">
      <c r="A46" s="139"/>
      <c r="B46" s="140"/>
      <c r="C46" s="159"/>
      <c r="D46" s="160"/>
      <c r="E46" s="160"/>
      <c r="F46" s="161"/>
      <c r="G46" s="162"/>
      <c r="H46" s="215"/>
      <c r="I46" s="216"/>
      <c r="J46" s="217"/>
      <c r="K46" s="163"/>
      <c r="L46" s="164"/>
      <c r="M46" s="141"/>
      <c r="N46" s="142"/>
      <c r="O46" s="142"/>
      <c r="P46" s="246"/>
      <c r="Q46" s="246"/>
      <c r="R46" s="246"/>
      <c r="S46" s="142"/>
      <c r="T46" s="143"/>
      <c r="U46" s="165"/>
      <c r="V46" s="165"/>
      <c r="W46" s="165"/>
      <c r="X46" s="166"/>
      <c r="Y46" s="167"/>
      <c r="Z46" s="168"/>
      <c r="AA46" s="169"/>
      <c r="AB46" s="170">
        <f>O46</f>
        <v>0</v>
      </c>
      <c r="AC46" s="171">
        <f>T46</f>
        <v>0</v>
      </c>
      <c r="AD46" s="172">
        <f>L46</f>
        <v>0</v>
      </c>
      <c r="AE46" s="170">
        <f>M46</f>
        <v>0</v>
      </c>
      <c r="AF46" s="171"/>
      <c r="AG46" s="171" t="e">
        <f t="shared" si="42"/>
        <v>#DIV/0!</v>
      </c>
      <c r="AH46" s="156" t="e">
        <f>VLOOKUP(AG46,TABLES!$A$2:$D$101,2)</f>
        <v>#DIV/0!</v>
      </c>
      <c r="AI46" s="173" t="e">
        <f t="shared" si="43"/>
        <v>#DIV/0!</v>
      </c>
      <c r="AJ46" s="156" t="e">
        <f>VLOOKUP(AG46,TABLES!$A$2:$D$101,3)</f>
        <v>#DIV/0!</v>
      </c>
      <c r="AK46" s="171" t="e">
        <f t="shared" si="44"/>
        <v>#DIV/0!</v>
      </c>
      <c r="AL46" s="171" t="e">
        <f t="shared" si="45"/>
        <v>#DIV/0!</v>
      </c>
    </row>
    <row r="47" spans="1:38" ht="13.15">
      <c r="A47" s="139"/>
      <c r="B47" s="140"/>
      <c r="C47" s="159"/>
      <c r="D47" s="163"/>
      <c r="E47" s="163"/>
      <c r="F47" s="185"/>
      <c r="G47" s="162"/>
      <c r="H47" s="219"/>
      <c r="I47" s="218"/>
      <c r="J47" s="217"/>
      <c r="K47" s="163"/>
      <c r="L47" s="180"/>
      <c r="M47" s="141"/>
      <c r="N47" s="142"/>
      <c r="O47" s="142"/>
      <c r="P47" s="246"/>
      <c r="Q47" s="246"/>
      <c r="R47" s="246"/>
      <c r="S47" s="142"/>
      <c r="T47" s="143"/>
      <c r="U47" s="181"/>
      <c r="V47" s="181"/>
      <c r="W47" s="181"/>
      <c r="X47" s="182"/>
      <c r="Y47" s="183"/>
      <c r="Z47" s="184"/>
      <c r="AA47" s="169"/>
      <c r="AB47" s="170">
        <f>O47</f>
        <v>0</v>
      </c>
      <c r="AC47" s="171">
        <f>T47</f>
        <v>0</v>
      </c>
      <c r="AD47" s="172">
        <f>L47</f>
        <v>0</v>
      </c>
      <c r="AE47" s="170">
        <f>M47</f>
        <v>0</v>
      </c>
      <c r="AF47" s="171"/>
      <c r="AG47" s="171" t="e">
        <f t="shared" si="42"/>
        <v>#DIV/0!</v>
      </c>
      <c r="AH47" s="156" t="e">
        <f>VLOOKUP(AG47,TABLES!$A$2:$D$101,2)</f>
        <v>#DIV/0!</v>
      </c>
      <c r="AI47" s="173" t="e">
        <f t="shared" si="43"/>
        <v>#DIV/0!</v>
      </c>
      <c r="AJ47" s="156" t="e">
        <f>VLOOKUP(AG47,TABLES!$A$2:$D$101,3)</f>
        <v>#DIV/0!</v>
      </c>
      <c r="AK47" s="171" t="e">
        <f t="shared" si="44"/>
        <v>#DIV/0!</v>
      </c>
      <c r="AL47" s="171" t="e">
        <f t="shared" si="45"/>
        <v>#DIV/0!</v>
      </c>
    </row>
    <row r="48" spans="1:38" ht="13.15">
      <c r="A48" s="139"/>
      <c r="B48" s="140"/>
      <c r="C48" s="159"/>
      <c r="D48" s="160"/>
      <c r="E48" s="160"/>
      <c r="F48" s="161"/>
      <c r="G48" s="162"/>
      <c r="H48" s="215"/>
      <c r="I48" s="216"/>
      <c r="J48" s="217"/>
      <c r="K48" s="163"/>
      <c r="L48" s="164"/>
      <c r="M48" s="141"/>
      <c r="N48" s="142"/>
      <c r="O48" s="142"/>
      <c r="P48" s="246"/>
      <c r="Q48" s="246"/>
      <c r="R48" s="246"/>
      <c r="S48" s="142"/>
      <c r="T48" s="143"/>
      <c r="U48" s="165"/>
      <c r="V48" s="165"/>
      <c r="W48" s="165"/>
      <c r="X48" s="166"/>
      <c r="Y48" s="167"/>
      <c r="Z48" s="168"/>
      <c r="AA48" s="169"/>
      <c r="AB48" s="170">
        <f>O48</f>
        <v>0</v>
      </c>
      <c r="AC48" s="171">
        <f>T48</f>
        <v>0</v>
      </c>
      <c r="AD48" s="172">
        <f>L48</f>
        <v>0</v>
      </c>
      <c r="AE48" s="170">
        <f>M48</f>
        <v>0</v>
      </c>
      <c r="AF48" s="171"/>
      <c r="AG48" s="171" t="e">
        <f t="shared" si="42"/>
        <v>#DIV/0!</v>
      </c>
      <c r="AH48" s="156" t="e">
        <f>VLOOKUP(AG48,TABLES!$A$2:$D$101,2)</f>
        <v>#DIV/0!</v>
      </c>
      <c r="AI48" s="173" t="e">
        <f t="shared" si="43"/>
        <v>#DIV/0!</v>
      </c>
      <c r="AJ48" s="156" t="e">
        <f>VLOOKUP(AG48,TABLES!$A$2:$D$101,3)</f>
        <v>#DIV/0!</v>
      </c>
      <c r="AK48" s="171" t="e">
        <f t="shared" si="44"/>
        <v>#DIV/0!</v>
      </c>
      <c r="AL48" s="171" t="e">
        <f t="shared" si="45"/>
        <v>#DIV/0!</v>
      </c>
    </row>
    <row r="49" spans="1:38" ht="13.15">
      <c r="A49" s="139"/>
      <c r="B49" s="140"/>
      <c r="C49" s="159"/>
      <c r="D49" s="163"/>
      <c r="E49" s="163"/>
      <c r="F49" s="185"/>
      <c r="G49" s="162"/>
      <c r="H49" s="219"/>
      <c r="I49" s="218"/>
      <c r="J49" s="217"/>
      <c r="K49" s="163"/>
      <c r="L49" s="180"/>
      <c r="M49" s="141"/>
      <c r="N49" s="142"/>
      <c r="O49" s="142"/>
      <c r="P49" s="246"/>
      <c r="Q49" s="246"/>
      <c r="R49" s="246"/>
      <c r="S49" s="142"/>
      <c r="T49" s="143"/>
      <c r="U49" s="181"/>
      <c r="V49" s="181"/>
      <c r="W49" s="181"/>
      <c r="X49" s="182"/>
      <c r="Y49" s="183"/>
      <c r="Z49" s="184"/>
      <c r="AA49" s="169"/>
      <c r="AB49" s="170">
        <f>O49</f>
        <v>0</v>
      </c>
      <c r="AC49" s="171">
        <f>T49</f>
        <v>0</v>
      </c>
      <c r="AD49" s="172">
        <f>L49</f>
        <v>0</v>
      </c>
      <c r="AE49" s="170">
        <f>M49</f>
        <v>0</v>
      </c>
      <c r="AF49" s="171"/>
      <c r="AG49" s="171" t="e">
        <f t="shared" si="42"/>
        <v>#DIV/0!</v>
      </c>
      <c r="AH49" s="156" t="e">
        <f>VLOOKUP(AG49,TABLES!$A$2:$D$101,2)</f>
        <v>#DIV/0!</v>
      </c>
      <c r="AI49" s="173" t="e">
        <f t="shared" si="43"/>
        <v>#DIV/0!</v>
      </c>
      <c r="AJ49" s="156" t="e">
        <f>VLOOKUP(AG49,TABLES!$A$2:$D$101,3)</f>
        <v>#DIV/0!</v>
      </c>
      <c r="AK49" s="171" t="e">
        <f t="shared" si="44"/>
        <v>#DIV/0!</v>
      </c>
      <c r="AL49" s="171" t="e">
        <f t="shared" si="45"/>
        <v>#DIV/0!</v>
      </c>
    </row>
    <row r="50" spans="1:38" ht="13.15">
      <c r="A50" s="139"/>
      <c r="B50" s="140"/>
      <c r="C50" s="159"/>
      <c r="D50" s="160"/>
      <c r="E50" s="160"/>
      <c r="F50" s="161"/>
      <c r="G50" s="162"/>
      <c r="H50" s="215"/>
      <c r="I50" s="216"/>
      <c r="J50" s="217"/>
      <c r="K50" s="163"/>
      <c r="L50" s="164"/>
      <c r="M50" s="141"/>
      <c r="N50" s="142"/>
      <c r="O50" s="142"/>
      <c r="P50" s="246"/>
      <c r="Q50" s="246"/>
      <c r="R50" s="246"/>
      <c r="S50" s="142"/>
      <c r="T50" s="143"/>
      <c r="U50" s="165"/>
      <c r="V50" s="165"/>
      <c r="W50" s="165"/>
      <c r="X50" s="166"/>
      <c r="Y50" s="167"/>
      <c r="Z50" s="168"/>
      <c r="AA50" s="169"/>
      <c r="AB50" s="170">
        <f>O50</f>
        <v>0</v>
      </c>
      <c r="AC50" s="171">
        <f>T50</f>
        <v>0</v>
      </c>
      <c r="AD50" s="172">
        <f>L50</f>
        <v>0</v>
      </c>
      <c r="AE50" s="170">
        <f>M50</f>
        <v>0</v>
      </c>
      <c r="AF50" s="171"/>
      <c r="AG50" s="171" t="e">
        <f t="shared" si="36"/>
        <v>#DIV/0!</v>
      </c>
      <c r="AH50" s="156" t="e">
        <f>VLOOKUP(AG50,TABLES!$A$2:$D$101,2)</f>
        <v>#DIV/0!</v>
      </c>
      <c r="AI50" s="173" t="e">
        <f t="shared" si="37"/>
        <v>#DIV/0!</v>
      </c>
      <c r="AJ50" s="156" t="e">
        <f>VLOOKUP(AG50,TABLES!$A$2:$D$101,3)</f>
        <v>#DIV/0!</v>
      </c>
      <c r="AK50" s="171" t="e">
        <f t="shared" si="38"/>
        <v>#DIV/0!</v>
      </c>
      <c r="AL50" s="171" t="e">
        <f t="shared" si="39"/>
        <v>#DIV/0!</v>
      </c>
    </row>
    <row r="51" spans="1:38" ht="13.15">
      <c r="A51" s="139"/>
      <c r="B51" s="140"/>
      <c r="C51" s="159"/>
      <c r="D51" s="163"/>
      <c r="E51" s="163"/>
      <c r="F51" s="185"/>
      <c r="G51" s="162"/>
      <c r="H51" s="219"/>
      <c r="I51" s="218"/>
      <c r="J51" s="217"/>
      <c r="K51" s="163"/>
      <c r="L51" s="180"/>
      <c r="M51" s="141"/>
      <c r="N51" s="142"/>
      <c r="O51" s="142"/>
      <c r="P51" s="246"/>
      <c r="Q51" s="246"/>
      <c r="R51" s="246"/>
      <c r="S51" s="142"/>
      <c r="T51" s="143"/>
      <c r="U51" s="181"/>
      <c r="V51" s="181"/>
      <c r="W51" s="181"/>
      <c r="X51" s="182"/>
      <c r="Y51" s="183"/>
      <c r="Z51" s="184"/>
      <c r="AA51" s="169"/>
      <c r="AB51" s="170">
        <f>O51</f>
        <v>0</v>
      </c>
      <c r="AC51" s="171">
        <f>T51</f>
        <v>0</v>
      </c>
      <c r="AD51" s="172">
        <f>L51</f>
        <v>0</v>
      </c>
      <c r="AE51" s="170">
        <f>M51</f>
        <v>0</v>
      </c>
      <c r="AF51" s="171"/>
      <c r="AG51" s="171" t="e">
        <f t="shared" si="36"/>
        <v>#DIV/0!</v>
      </c>
      <c r="AH51" s="156" t="e">
        <f>VLOOKUP(AG51,TABLES!$A$2:$D$101,2)</f>
        <v>#DIV/0!</v>
      </c>
      <c r="AI51" s="173" t="e">
        <f t="shared" si="37"/>
        <v>#DIV/0!</v>
      </c>
      <c r="AJ51" s="156" t="e">
        <f>VLOOKUP(AG51,TABLES!$A$2:$D$101,3)</f>
        <v>#DIV/0!</v>
      </c>
      <c r="AK51" s="171" t="e">
        <f t="shared" si="38"/>
        <v>#DIV/0!</v>
      </c>
      <c r="AL51" s="171" t="e">
        <f t="shared" si="39"/>
        <v>#DIV/0!</v>
      </c>
    </row>
    <row r="52" spans="1:38" ht="13.15">
      <c r="A52" s="139"/>
      <c r="B52" s="140"/>
      <c r="C52" s="159"/>
      <c r="D52" s="160"/>
      <c r="E52" s="160"/>
      <c r="F52" s="161"/>
      <c r="G52" s="162"/>
      <c r="H52" s="215"/>
      <c r="I52" s="216"/>
      <c r="J52" s="217"/>
      <c r="K52" s="163"/>
      <c r="L52" s="164"/>
      <c r="M52" s="141"/>
      <c r="N52" s="142"/>
      <c r="O52" s="142"/>
      <c r="P52" s="246"/>
      <c r="Q52" s="246"/>
      <c r="R52" s="246"/>
      <c r="S52" s="142"/>
      <c r="T52" s="143"/>
      <c r="U52" s="165"/>
      <c r="V52" s="165"/>
      <c r="W52" s="165"/>
      <c r="X52" s="166"/>
      <c r="Y52" s="167"/>
      <c r="Z52" s="168"/>
      <c r="AA52" s="169"/>
      <c r="AB52" s="170">
        <f>O52</f>
        <v>0</v>
      </c>
      <c r="AC52" s="171">
        <f>T52</f>
        <v>0</v>
      </c>
      <c r="AD52" s="172">
        <f>L52</f>
        <v>0</v>
      </c>
      <c r="AE52" s="170">
        <f>M52</f>
        <v>0</v>
      </c>
      <c r="AF52" s="171"/>
      <c r="AG52" s="171" t="e">
        <f t="shared" si="36"/>
        <v>#DIV/0!</v>
      </c>
      <c r="AH52" s="156" t="e">
        <f>VLOOKUP(AG52,TABLES!$A$2:$D$101,2)</f>
        <v>#DIV/0!</v>
      </c>
      <c r="AI52" s="173" t="e">
        <f t="shared" si="37"/>
        <v>#DIV/0!</v>
      </c>
      <c r="AJ52" s="156" t="e">
        <f>VLOOKUP(AG52,TABLES!$A$2:$D$101,3)</f>
        <v>#DIV/0!</v>
      </c>
      <c r="AK52" s="171" t="e">
        <f t="shared" si="38"/>
        <v>#DIV/0!</v>
      </c>
      <c r="AL52" s="171" t="e">
        <f t="shared" si="39"/>
        <v>#DIV/0!</v>
      </c>
    </row>
    <row r="53" spans="1:38" ht="13.15">
      <c r="A53" s="139"/>
      <c r="B53" s="140"/>
      <c r="C53" s="159"/>
      <c r="D53" s="163"/>
      <c r="E53" s="163"/>
      <c r="F53" s="185"/>
      <c r="G53" s="162"/>
      <c r="H53" s="219"/>
      <c r="I53" s="218"/>
      <c r="J53" s="217"/>
      <c r="K53" s="163"/>
      <c r="L53" s="180"/>
      <c r="M53" s="141"/>
      <c r="N53" s="142"/>
      <c r="O53" s="142"/>
      <c r="P53" s="246"/>
      <c r="Q53" s="246"/>
      <c r="R53" s="246"/>
      <c r="S53" s="142"/>
      <c r="T53" s="143"/>
      <c r="U53" s="181"/>
      <c r="V53" s="181"/>
      <c r="W53" s="181"/>
      <c r="X53" s="182"/>
      <c r="Y53" s="183"/>
      <c r="Z53" s="184"/>
      <c r="AA53" s="169"/>
      <c r="AB53" s="170">
        <f>O53</f>
        <v>0</v>
      </c>
      <c r="AC53" s="171">
        <f>T53</f>
        <v>0</v>
      </c>
      <c r="AD53" s="172">
        <f>L53</f>
        <v>0</v>
      </c>
      <c r="AE53" s="170">
        <f>M53</f>
        <v>0</v>
      </c>
      <c r="AF53" s="171"/>
      <c r="AG53" s="171" t="e">
        <f t="shared" si="36"/>
        <v>#DIV/0!</v>
      </c>
      <c r="AH53" s="156" t="e">
        <f>VLOOKUP(AG53,TABLES!$A$2:$D$101,2)</f>
        <v>#DIV/0!</v>
      </c>
      <c r="AI53" s="173" t="e">
        <f t="shared" si="37"/>
        <v>#DIV/0!</v>
      </c>
      <c r="AJ53" s="156" t="e">
        <f>VLOOKUP(AG53,TABLES!$A$2:$D$101,3)</f>
        <v>#DIV/0!</v>
      </c>
      <c r="AK53" s="171" t="e">
        <f t="shared" si="38"/>
        <v>#DIV/0!</v>
      </c>
      <c r="AL53" s="171" t="e">
        <f t="shared" si="39"/>
        <v>#DIV/0!</v>
      </c>
    </row>
    <row r="54" spans="1:38" ht="13.15">
      <c r="A54" s="139"/>
      <c r="B54" s="140"/>
      <c r="C54" s="159"/>
      <c r="D54" s="160"/>
      <c r="E54" s="160"/>
      <c r="F54" s="161"/>
      <c r="G54" s="162"/>
      <c r="H54" s="215"/>
      <c r="I54" s="216"/>
      <c r="J54" s="217"/>
      <c r="K54" s="163"/>
      <c r="L54" s="164"/>
      <c r="M54" s="141"/>
      <c r="N54" s="142"/>
      <c r="O54" s="142"/>
      <c r="P54" s="246"/>
      <c r="Q54" s="246"/>
      <c r="R54" s="246"/>
      <c r="S54" s="142"/>
      <c r="T54" s="143"/>
      <c r="U54" s="165"/>
      <c r="V54" s="165"/>
      <c r="W54" s="165"/>
      <c r="X54" s="166"/>
      <c r="Y54" s="167"/>
      <c r="Z54" s="168"/>
      <c r="AA54" s="169"/>
      <c r="AB54" s="170">
        <f>O54</f>
        <v>0</v>
      </c>
      <c r="AC54" s="171">
        <f>T54</f>
        <v>0</v>
      </c>
      <c r="AD54" s="172">
        <f>L54</f>
        <v>0</v>
      </c>
      <c r="AE54" s="170">
        <f>M54</f>
        <v>0</v>
      </c>
      <c r="AF54" s="171"/>
      <c r="AG54" s="171" t="e">
        <f t="shared" si="36"/>
        <v>#DIV/0!</v>
      </c>
      <c r="AH54" s="156" t="e">
        <f>VLOOKUP(AG54,TABLES!$A$2:$D$101,2)</f>
        <v>#DIV/0!</v>
      </c>
      <c r="AI54" s="173" t="e">
        <f t="shared" si="37"/>
        <v>#DIV/0!</v>
      </c>
      <c r="AJ54" s="156" t="e">
        <f>VLOOKUP(AG54,TABLES!$A$2:$D$101,3)</f>
        <v>#DIV/0!</v>
      </c>
      <c r="AK54" s="171" t="e">
        <f t="shared" si="38"/>
        <v>#DIV/0!</v>
      </c>
      <c r="AL54" s="171" t="e">
        <f t="shared" si="39"/>
        <v>#DIV/0!</v>
      </c>
    </row>
  </sheetData>
  <mergeCells count="2">
    <mergeCell ref="J6:O7"/>
    <mergeCell ref="Y8:Z8"/>
  </mergeCells>
  <pageMargins left="1" right="1" top="0.75" bottom="0.75" header="0.5" footer="0.5"/>
  <pageSetup paperSize="17" scale="41" orientation="landscape" r:id="rId1"/>
  <headerFooter>
    <oddHeader>&amp;LStantec&amp;CEast Silver Spring Neighborhood Greenway - Existing Pipe Capacity
Montgomery County 10-Year Intensity
&amp;R&amp;D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B78A-FC6F-4BD4-B7E2-9D5BA465735B}">
  <sheetPr>
    <tabColor rgb="FF00B050"/>
    <pageSetUpPr fitToPage="1"/>
  </sheetPr>
  <dimension ref="A1:AY91"/>
  <sheetViews>
    <sheetView tabSelected="1" view="pageBreakPreview" topLeftCell="A8" zoomScale="80" zoomScaleNormal="90" zoomScaleSheetLayoutView="80" workbookViewId="0">
      <selection activeCell="T71" sqref="T71"/>
    </sheetView>
  </sheetViews>
  <sheetFormatPr defaultRowHeight="12.75"/>
  <cols>
    <col min="1" max="1" width="14.73046875" style="235" bestFit="1" customWidth="1"/>
    <col min="2" max="2" width="18.1328125" style="235" customWidth="1"/>
    <col min="3" max="3" width="9.265625" style="147" customWidth="1"/>
    <col min="4" max="4" width="9" style="147" customWidth="1"/>
    <col min="5" max="5" width="10.265625" style="147" customWidth="1"/>
    <col min="6" max="7" width="8.1328125" style="148" customWidth="1"/>
    <col min="8" max="9" width="8.265625" style="147" customWidth="1"/>
    <col min="10" max="10" width="10.59765625" style="147" customWidth="1"/>
    <col min="11" max="11" width="12.73046875" style="147" customWidth="1"/>
    <col min="12" max="12" width="9.3984375" style="147" customWidth="1"/>
    <col min="13" max="13" width="9.1328125" style="147" customWidth="1"/>
    <col min="14" max="14" width="8.73046875" style="147" customWidth="1"/>
    <col min="15" max="15" width="13.3984375" style="147" customWidth="1"/>
    <col min="16" max="16" width="10.73046875" style="147" customWidth="1"/>
    <col min="17" max="18" width="10.73046875" style="153" customWidth="1"/>
    <col min="19" max="19" width="8.3984375" style="153" customWidth="1"/>
    <col min="20" max="22" width="10.73046875" style="147" customWidth="1"/>
    <col min="23" max="23" width="12.1328125" style="147" customWidth="1"/>
    <col min="24" max="24" width="14" style="147" customWidth="1"/>
    <col min="25" max="25" width="11.3984375" style="147" customWidth="1"/>
    <col min="26" max="26" width="10.73046875" style="147" customWidth="1"/>
    <col min="27" max="31" width="9.1328125" style="147"/>
    <col min="32" max="32" width="11.59765625" style="147" customWidth="1"/>
    <col min="33" max="260" width="9.1328125" style="147"/>
    <col min="261" max="261" width="11.59765625" style="147" customWidth="1"/>
    <col min="262" max="262" width="11.73046875" style="147" customWidth="1"/>
    <col min="263" max="263" width="9.265625" style="147" customWidth="1"/>
    <col min="264" max="264" width="9" style="147" customWidth="1"/>
    <col min="265" max="265" width="10.265625" style="147" customWidth="1"/>
    <col min="266" max="267" width="8.1328125" style="147" customWidth="1"/>
    <col min="268" max="269" width="8.265625" style="147" customWidth="1"/>
    <col min="270" max="270" width="10.59765625" style="147" customWidth="1"/>
    <col min="271" max="271" width="12.73046875" style="147" customWidth="1"/>
    <col min="272" max="272" width="9.3984375" style="147" customWidth="1"/>
    <col min="273" max="273" width="7.59765625" style="147" customWidth="1"/>
    <col min="274" max="274" width="8.73046875" style="147" customWidth="1"/>
    <col min="275" max="275" width="13.3984375" style="147" customWidth="1"/>
    <col min="276" max="278" width="10.73046875" style="147" customWidth="1"/>
    <col min="279" max="279" width="12.1328125" style="147" customWidth="1"/>
    <col min="280" max="280" width="14" style="147" customWidth="1"/>
    <col min="281" max="281" width="11.3984375" style="147" customWidth="1"/>
    <col min="282" max="282" width="10.73046875" style="147" customWidth="1"/>
    <col min="283" max="516" width="9.1328125" style="147"/>
    <col min="517" max="517" width="11.59765625" style="147" customWidth="1"/>
    <col min="518" max="518" width="11.73046875" style="147" customWidth="1"/>
    <col min="519" max="519" width="9.265625" style="147" customWidth="1"/>
    <col min="520" max="520" width="9" style="147" customWidth="1"/>
    <col min="521" max="521" width="10.265625" style="147" customWidth="1"/>
    <col min="522" max="523" width="8.1328125" style="147" customWidth="1"/>
    <col min="524" max="525" width="8.265625" style="147" customWidth="1"/>
    <col min="526" max="526" width="10.59765625" style="147" customWidth="1"/>
    <col min="527" max="527" width="12.73046875" style="147" customWidth="1"/>
    <col min="528" max="528" width="9.3984375" style="147" customWidth="1"/>
    <col min="529" max="529" width="7.59765625" style="147" customWidth="1"/>
    <col min="530" max="530" width="8.73046875" style="147" customWidth="1"/>
    <col min="531" max="531" width="13.3984375" style="147" customWidth="1"/>
    <col min="532" max="534" width="10.73046875" style="147" customWidth="1"/>
    <col min="535" max="535" width="12.1328125" style="147" customWidth="1"/>
    <col min="536" max="536" width="14" style="147" customWidth="1"/>
    <col min="537" max="537" width="11.3984375" style="147" customWidth="1"/>
    <col min="538" max="538" width="10.73046875" style="147" customWidth="1"/>
    <col min="539" max="772" width="9.1328125" style="147"/>
    <col min="773" max="773" width="11.59765625" style="147" customWidth="1"/>
    <col min="774" max="774" width="11.73046875" style="147" customWidth="1"/>
    <col min="775" max="775" width="9.265625" style="147" customWidth="1"/>
    <col min="776" max="776" width="9" style="147" customWidth="1"/>
    <col min="777" max="777" width="10.265625" style="147" customWidth="1"/>
    <col min="778" max="779" width="8.1328125" style="147" customWidth="1"/>
    <col min="780" max="781" width="8.265625" style="147" customWidth="1"/>
    <col min="782" max="782" width="10.59765625" style="147" customWidth="1"/>
    <col min="783" max="783" width="12.73046875" style="147" customWidth="1"/>
    <col min="784" max="784" width="9.3984375" style="147" customWidth="1"/>
    <col min="785" max="785" width="7.59765625" style="147" customWidth="1"/>
    <col min="786" max="786" width="8.73046875" style="147" customWidth="1"/>
    <col min="787" max="787" width="13.3984375" style="147" customWidth="1"/>
    <col min="788" max="790" width="10.73046875" style="147" customWidth="1"/>
    <col min="791" max="791" width="12.1328125" style="147" customWidth="1"/>
    <col min="792" max="792" width="14" style="147" customWidth="1"/>
    <col min="793" max="793" width="11.3984375" style="147" customWidth="1"/>
    <col min="794" max="794" width="10.73046875" style="147" customWidth="1"/>
    <col min="795" max="1028" width="9.1328125" style="147"/>
    <col min="1029" max="1029" width="11.59765625" style="147" customWidth="1"/>
    <col min="1030" max="1030" width="11.73046875" style="147" customWidth="1"/>
    <col min="1031" max="1031" width="9.265625" style="147" customWidth="1"/>
    <col min="1032" max="1032" width="9" style="147" customWidth="1"/>
    <col min="1033" max="1033" width="10.265625" style="147" customWidth="1"/>
    <col min="1034" max="1035" width="8.1328125" style="147" customWidth="1"/>
    <col min="1036" max="1037" width="8.265625" style="147" customWidth="1"/>
    <col min="1038" max="1038" width="10.59765625" style="147" customWidth="1"/>
    <col min="1039" max="1039" width="12.73046875" style="147" customWidth="1"/>
    <col min="1040" max="1040" width="9.3984375" style="147" customWidth="1"/>
    <col min="1041" max="1041" width="7.59765625" style="147" customWidth="1"/>
    <col min="1042" max="1042" width="8.73046875" style="147" customWidth="1"/>
    <col min="1043" max="1043" width="13.3984375" style="147" customWidth="1"/>
    <col min="1044" max="1046" width="10.73046875" style="147" customWidth="1"/>
    <col min="1047" max="1047" width="12.1328125" style="147" customWidth="1"/>
    <col min="1048" max="1048" width="14" style="147" customWidth="1"/>
    <col min="1049" max="1049" width="11.3984375" style="147" customWidth="1"/>
    <col min="1050" max="1050" width="10.73046875" style="147" customWidth="1"/>
    <col min="1051" max="1284" width="9.1328125" style="147"/>
    <col min="1285" max="1285" width="11.59765625" style="147" customWidth="1"/>
    <col min="1286" max="1286" width="11.73046875" style="147" customWidth="1"/>
    <col min="1287" max="1287" width="9.265625" style="147" customWidth="1"/>
    <col min="1288" max="1288" width="9" style="147" customWidth="1"/>
    <col min="1289" max="1289" width="10.265625" style="147" customWidth="1"/>
    <col min="1290" max="1291" width="8.1328125" style="147" customWidth="1"/>
    <col min="1292" max="1293" width="8.265625" style="147" customWidth="1"/>
    <col min="1294" max="1294" width="10.59765625" style="147" customWidth="1"/>
    <col min="1295" max="1295" width="12.73046875" style="147" customWidth="1"/>
    <col min="1296" max="1296" width="9.3984375" style="147" customWidth="1"/>
    <col min="1297" max="1297" width="7.59765625" style="147" customWidth="1"/>
    <col min="1298" max="1298" width="8.73046875" style="147" customWidth="1"/>
    <col min="1299" max="1299" width="13.3984375" style="147" customWidth="1"/>
    <col min="1300" max="1302" width="10.73046875" style="147" customWidth="1"/>
    <col min="1303" max="1303" width="12.1328125" style="147" customWidth="1"/>
    <col min="1304" max="1304" width="14" style="147" customWidth="1"/>
    <col min="1305" max="1305" width="11.3984375" style="147" customWidth="1"/>
    <col min="1306" max="1306" width="10.73046875" style="147" customWidth="1"/>
    <col min="1307" max="1540" width="9.1328125" style="147"/>
    <col min="1541" max="1541" width="11.59765625" style="147" customWidth="1"/>
    <col min="1542" max="1542" width="11.73046875" style="147" customWidth="1"/>
    <col min="1543" max="1543" width="9.265625" style="147" customWidth="1"/>
    <col min="1544" max="1544" width="9" style="147" customWidth="1"/>
    <col min="1545" max="1545" width="10.265625" style="147" customWidth="1"/>
    <col min="1546" max="1547" width="8.1328125" style="147" customWidth="1"/>
    <col min="1548" max="1549" width="8.265625" style="147" customWidth="1"/>
    <col min="1550" max="1550" width="10.59765625" style="147" customWidth="1"/>
    <col min="1551" max="1551" width="12.73046875" style="147" customWidth="1"/>
    <col min="1552" max="1552" width="9.3984375" style="147" customWidth="1"/>
    <col min="1553" max="1553" width="7.59765625" style="147" customWidth="1"/>
    <col min="1554" max="1554" width="8.73046875" style="147" customWidth="1"/>
    <col min="1555" max="1555" width="13.3984375" style="147" customWidth="1"/>
    <col min="1556" max="1558" width="10.73046875" style="147" customWidth="1"/>
    <col min="1559" max="1559" width="12.1328125" style="147" customWidth="1"/>
    <col min="1560" max="1560" width="14" style="147" customWidth="1"/>
    <col min="1561" max="1561" width="11.3984375" style="147" customWidth="1"/>
    <col min="1562" max="1562" width="10.73046875" style="147" customWidth="1"/>
    <col min="1563" max="1796" width="9.1328125" style="147"/>
    <col min="1797" max="1797" width="11.59765625" style="147" customWidth="1"/>
    <col min="1798" max="1798" width="11.73046875" style="147" customWidth="1"/>
    <col min="1799" max="1799" width="9.265625" style="147" customWidth="1"/>
    <col min="1800" max="1800" width="9" style="147" customWidth="1"/>
    <col min="1801" max="1801" width="10.265625" style="147" customWidth="1"/>
    <col min="1802" max="1803" width="8.1328125" style="147" customWidth="1"/>
    <col min="1804" max="1805" width="8.265625" style="147" customWidth="1"/>
    <col min="1806" max="1806" width="10.59765625" style="147" customWidth="1"/>
    <col min="1807" max="1807" width="12.73046875" style="147" customWidth="1"/>
    <col min="1808" max="1808" width="9.3984375" style="147" customWidth="1"/>
    <col min="1809" max="1809" width="7.59765625" style="147" customWidth="1"/>
    <col min="1810" max="1810" width="8.73046875" style="147" customWidth="1"/>
    <col min="1811" max="1811" width="13.3984375" style="147" customWidth="1"/>
    <col min="1812" max="1814" width="10.73046875" style="147" customWidth="1"/>
    <col min="1815" max="1815" width="12.1328125" style="147" customWidth="1"/>
    <col min="1816" max="1816" width="14" style="147" customWidth="1"/>
    <col min="1817" max="1817" width="11.3984375" style="147" customWidth="1"/>
    <col min="1818" max="1818" width="10.73046875" style="147" customWidth="1"/>
    <col min="1819" max="2052" width="9.1328125" style="147"/>
    <col min="2053" max="2053" width="11.59765625" style="147" customWidth="1"/>
    <col min="2054" max="2054" width="11.73046875" style="147" customWidth="1"/>
    <col min="2055" max="2055" width="9.265625" style="147" customWidth="1"/>
    <col min="2056" max="2056" width="9" style="147" customWidth="1"/>
    <col min="2057" max="2057" width="10.265625" style="147" customWidth="1"/>
    <col min="2058" max="2059" width="8.1328125" style="147" customWidth="1"/>
    <col min="2060" max="2061" width="8.265625" style="147" customWidth="1"/>
    <col min="2062" max="2062" width="10.59765625" style="147" customWidth="1"/>
    <col min="2063" max="2063" width="12.73046875" style="147" customWidth="1"/>
    <col min="2064" max="2064" width="9.3984375" style="147" customWidth="1"/>
    <col min="2065" max="2065" width="7.59765625" style="147" customWidth="1"/>
    <col min="2066" max="2066" width="8.73046875" style="147" customWidth="1"/>
    <col min="2067" max="2067" width="13.3984375" style="147" customWidth="1"/>
    <col min="2068" max="2070" width="10.73046875" style="147" customWidth="1"/>
    <col min="2071" max="2071" width="12.1328125" style="147" customWidth="1"/>
    <col min="2072" max="2072" width="14" style="147" customWidth="1"/>
    <col min="2073" max="2073" width="11.3984375" style="147" customWidth="1"/>
    <col min="2074" max="2074" width="10.73046875" style="147" customWidth="1"/>
    <col min="2075" max="2308" width="9.1328125" style="147"/>
    <col min="2309" max="2309" width="11.59765625" style="147" customWidth="1"/>
    <col min="2310" max="2310" width="11.73046875" style="147" customWidth="1"/>
    <col min="2311" max="2311" width="9.265625" style="147" customWidth="1"/>
    <col min="2312" max="2312" width="9" style="147" customWidth="1"/>
    <col min="2313" max="2313" width="10.265625" style="147" customWidth="1"/>
    <col min="2314" max="2315" width="8.1328125" style="147" customWidth="1"/>
    <col min="2316" max="2317" width="8.265625" style="147" customWidth="1"/>
    <col min="2318" max="2318" width="10.59765625" style="147" customWidth="1"/>
    <col min="2319" max="2319" width="12.73046875" style="147" customWidth="1"/>
    <col min="2320" max="2320" width="9.3984375" style="147" customWidth="1"/>
    <col min="2321" max="2321" width="7.59765625" style="147" customWidth="1"/>
    <col min="2322" max="2322" width="8.73046875" style="147" customWidth="1"/>
    <col min="2323" max="2323" width="13.3984375" style="147" customWidth="1"/>
    <col min="2324" max="2326" width="10.73046875" style="147" customWidth="1"/>
    <col min="2327" max="2327" width="12.1328125" style="147" customWidth="1"/>
    <col min="2328" max="2328" width="14" style="147" customWidth="1"/>
    <col min="2329" max="2329" width="11.3984375" style="147" customWidth="1"/>
    <col min="2330" max="2330" width="10.73046875" style="147" customWidth="1"/>
    <col min="2331" max="2564" width="9.1328125" style="147"/>
    <col min="2565" max="2565" width="11.59765625" style="147" customWidth="1"/>
    <col min="2566" max="2566" width="11.73046875" style="147" customWidth="1"/>
    <col min="2567" max="2567" width="9.265625" style="147" customWidth="1"/>
    <col min="2568" max="2568" width="9" style="147" customWidth="1"/>
    <col min="2569" max="2569" width="10.265625" style="147" customWidth="1"/>
    <col min="2570" max="2571" width="8.1328125" style="147" customWidth="1"/>
    <col min="2572" max="2573" width="8.265625" style="147" customWidth="1"/>
    <col min="2574" max="2574" width="10.59765625" style="147" customWidth="1"/>
    <col min="2575" max="2575" width="12.73046875" style="147" customWidth="1"/>
    <col min="2576" max="2576" width="9.3984375" style="147" customWidth="1"/>
    <col min="2577" max="2577" width="7.59765625" style="147" customWidth="1"/>
    <col min="2578" max="2578" width="8.73046875" style="147" customWidth="1"/>
    <col min="2579" max="2579" width="13.3984375" style="147" customWidth="1"/>
    <col min="2580" max="2582" width="10.73046875" style="147" customWidth="1"/>
    <col min="2583" max="2583" width="12.1328125" style="147" customWidth="1"/>
    <col min="2584" max="2584" width="14" style="147" customWidth="1"/>
    <col min="2585" max="2585" width="11.3984375" style="147" customWidth="1"/>
    <col min="2586" max="2586" width="10.73046875" style="147" customWidth="1"/>
    <col min="2587" max="2820" width="9.1328125" style="147"/>
    <col min="2821" max="2821" width="11.59765625" style="147" customWidth="1"/>
    <col min="2822" max="2822" width="11.73046875" style="147" customWidth="1"/>
    <col min="2823" max="2823" width="9.265625" style="147" customWidth="1"/>
    <col min="2824" max="2824" width="9" style="147" customWidth="1"/>
    <col min="2825" max="2825" width="10.265625" style="147" customWidth="1"/>
    <col min="2826" max="2827" width="8.1328125" style="147" customWidth="1"/>
    <col min="2828" max="2829" width="8.265625" style="147" customWidth="1"/>
    <col min="2830" max="2830" width="10.59765625" style="147" customWidth="1"/>
    <col min="2831" max="2831" width="12.73046875" style="147" customWidth="1"/>
    <col min="2832" max="2832" width="9.3984375" style="147" customWidth="1"/>
    <col min="2833" max="2833" width="7.59765625" style="147" customWidth="1"/>
    <col min="2834" max="2834" width="8.73046875" style="147" customWidth="1"/>
    <col min="2835" max="2835" width="13.3984375" style="147" customWidth="1"/>
    <col min="2836" max="2838" width="10.73046875" style="147" customWidth="1"/>
    <col min="2839" max="2839" width="12.1328125" style="147" customWidth="1"/>
    <col min="2840" max="2840" width="14" style="147" customWidth="1"/>
    <col min="2841" max="2841" width="11.3984375" style="147" customWidth="1"/>
    <col min="2842" max="2842" width="10.73046875" style="147" customWidth="1"/>
    <col min="2843" max="3076" width="9.1328125" style="147"/>
    <col min="3077" max="3077" width="11.59765625" style="147" customWidth="1"/>
    <col min="3078" max="3078" width="11.73046875" style="147" customWidth="1"/>
    <col min="3079" max="3079" width="9.265625" style="147" customWidth="1"/>
    <col min="3080" max="3080" width="9" style="147" customWidth="1"/>
    <col min="3081" max="3081" width="10.265625" style="147" customWidth="1"/>
    <col min="3082" max="3083" width="8.1328125" style="147" customWidth="1"/>
    <col min="3084" max="3085" width="8.265625" style="147" customWidth="1"/>
    <col min="3086" max="3086" width="10.59765625" style="147" customWidth="1"/>
    <col min="3087" max="3087" width="12.73046875" style="147" customWidth="1"/>
    <col min="3088" max="3088" width="9.3984375" style="147" customWidth="1"/>
    <col min="3089" max="3089" width="7.59765625" style="147" customWidth="1"/>
    <col min="3090" max="3090" width="8.73046875" style="147" customWidth="1"/>
    <col min="3091" max="3091" width="13.3984375" style="147" customWidth="1"/>
    <col min="3092" max="3094" width="10.73046875" style="147" customWidth="1"/>
    <col min="3095" max="3095" width="12.1328125" style="147" customWidth="1"/>
    <col min="3096" max="3096" width="14" style="147" customWidth="1"/>
    <col min="3097" max="3097" width="11.3984375" style="147" customWidth="1"/>
    <col min="3098" max="3098" width="10.73046875" style="147" customWidth="1"/>
    <col min="3099" max="3332" width="9.1328125" style="147"/>
    <col min="3333" max="3333" width="11.59765625" style="147" customWidth="1"/>
    <col min="3334" max="3334" width="11.73046875" style="147" customWidth="1"/>
    <col min="3335" max="3335" width="9.265625" style="147" customWidth="1"/>
    <col min="3336" max="3336" width="9" style="147" customWidth="1"/>
    <col min="3337" max="3337" width="10.265625" style="147" customWidth="1"/>
    <col min="3338" max="3339" width="8.1328125" style="147" customWidth="1"/>
    <col min="3340" max="3341" width="8.265625" style="147" customWidth="1"/>
    <col min="3342" max="3342" width="10.59765625" style="147" customWidth="1"/>
    <col min="3343" max="3343" width="12.73046875" style="147" customWidth="1"/>
    <col min="3344" max="3344" width="9.3984375" style="147" customWidth="1"/>
    <col min="3345" max="3345" width="7.59765625" style="147" customWidth="1"/>
    <col min="3346" max="3346" width="8.73046875" style="147" customWidth="1"/>
    <col min="3347" max="3347" width="13.3984375" style="147" customWidth="1"/>
    <col min="3348" max="3350" width="10.73046875" style="147" customWidth="1"/>
    <col min="3351" max="3351" width="12.1328125" style="147" customWidth="1"/>
    <col min="3352" max="3352" width="14" style="147" customWidth="1"/>
    <col min="3353" max="3353" width="11.3984375" style="147" customWidth="1"/>
    <col min="3354" max="3354" width="10.73046875" style="147" customWidth="1"/>
    <col min="3355" max="3588" width="9.1328125" style="147"/>
    <col min="3589" max="3589" width="11.59765625" style="147" customWidth="1"/>
    <col min="3590" max="3590" width="11.73046875" style="147" customWidth="1"/>
    <col min="3591" max="3591" width="9.265625" style="147" customWidth="1"/>
    <col min="3592" max="3592" width="9" style="147" customWidth="1"/>
    <col min="3593" max="3593" width="10.265625" style="147" customWidth="1"/>
    <col min="3594" max="3595" width="8.1328125" style="147" customWidth="1"/>
    <col min="3596" max="3597" width="8.265625" style="147" customWidth="1"/>
    <col min="3598" max="3598" width="10.59765625" style="147" customWidth="1"/>
    <col min="3599" max="3599" width="12.73046875" style="147" customWidth="1"/>
    <col min="3600" max="3600" width="9.3984375" style="147" customWidth="1"/>
    <col min="3601" max="3601" width="7.59765625" style="147" customWidth="1"/>
    <col min="3602" max="3602" width="8.73046875" style="147" customWidth="1"/>
    <col min="3603" max="3603" width="13.3984375" style="147" customWidth="1"/>
    <col min="3604" max="3606" width="10.73046875" style="147" customWidth="1"/>
    <col min="3607" max="3607" width="12.1328125" style="147" customWidth="1"/>
    <col min="3608" max="3608" width="14" style="147" customWidth="1"/>
    <col min="3609" max="3609" width="11.3984375" style="147" customWidth="1"/>
    <col min="3610" max="3610" width="10.73046875" style="147" customWidth="1"/>
    <col min="3611" max="3844" width="9.1328125" style="147"/>
    <col min="3845" max="3845" width="11.59765625" style="147" customWidth="1"/>
    <col min="3846" max="3846" width="11.73046875" style="147" customWidth="1"/>
    <col min="3847" max="3847" width="9.265625" style="147" customWidth="1"/>
    <col min="3848" max="3848" width="9" style="147" customWidth="1"/>
    <col min="3849" max="3849" width="10.265625" style="147" customWidth="1"/>
    <col min="3850" max="3851" width="8.1328125" style="147" customWidth="1"/>
    <col min="3852" max="3853" width="8.265625" style="147" customWidth="1"/>
    <col min="3854" max="3854" width="10.59765625" style="147" customWidth="1"/>
    <col min="3855" max="3855" width="12.73046875" style="147" customWidth="1"/>
    <col min="3856" max="3856" width="9.3984375" style="147" customWidth="1"/>
    <col min="3857" max="3857" width="7.59765625" style="147" customWidth="1"/>
    <col min="3858" max="3858" width="8.73046875" style="147" customWidth="1"/>
    <col min="3859" max="3859" width="13.3984375" style="147" customWidth="1"/>
    <col min="3860" max="3862" width="10.73046875" style="147" customWidth="1"/>
    <col min="3863" max="3863" width="12.1328125" style="147" customWidth="1"/>
    <col min="3864" max="3864" width="14" style="147" customWidth="1"/>
    <col min="3865" max="3865" width="11.3984375" style="147" customWidth="1"/>
    <col min="3866" max="3866" width="10.73046875" style="147" customWidth="1"/>
    <col min="3867" max="4100" width="9.1328125" style="147"/>
    <col min="4101" max="4101" width="11.59765625" style="147" customWidth="1"/>
    <col min="4102" max="4102" width="11.73046875" style="147" customWidth="1"/>
    <col min="4103" max="4103" width="9.265625" style="147" customWidth="1"/>
    <col min="4104" max="4104" width="9" style="147" customWidth="1"/>
    <col min="4105" max="4105" width="10.265625" style="147" customWidth="1"/>
    <col min="4106" max="4107" width="8.1328125" style="147" customWidth="1"/>
    <col min="4108" max="4109" width="8.265625" style="147" customWidth="1"/>
    <col min="4110" max="4110" width="10.59765625" style="147" customWidth="1"/>
    <col min="4111" max="4111" width="12.73046875" style="147" customWidth="1"/>
    <col min="4112" max="4112" width="9.3984375" style="147" customWidth="1"/>
    <col min="4113" max="4113" width="7.59765625" style="147" customWidth="1"/>
    <col min="4114" max="4114" width="8.73046875" style="147" customWidth="1"/>
    <col min="4115" max="4115" width="13.3984375" style="147" customWidth="1"/>
    <col min="4116" max="4118" width="10.73046875" style="147" customWidth="1"/>
    <col min="4119" max="4119" width="12.1328125" style="147" customWidth="1"/>
    <col min="4120" max="4120" width="14" style="147" customWidth="1"/>
    <col min="4121" max="4121" width="11.3984375" style="147" customWidth="1"/>
    <col min="4122" max="4122" width="10.73046875" style="147" customWidth="1"/>
    <col min="4123" max="4356" width="9.1328125" style="147"/>
    <col min="4357" max="4357" width="11.59765625" style="147" customWidth="1"/>
    <col min="4358" max="4358" width="11.73046875" style="147" customWidth="1"/>
    <col min="4359" max="4359" width="9.265625" style="147" customWidth="1"/>
    <col min="4360" max="4360" width="9" style="147" customWidth="1"/>
    <col min="4361" max="4361" width="10.265625" style="147" customWidth="1"/>
    <col min="4362" max="4363" width="8.1328125" style="147" customWidth="1"/>
    <col min="4364" max="4365" width="8.265625" style="147" customWidth="1"/>
    <col min="4366" max="4366" width="10.59765625" style="147" customWidth="1"/>
    <col min="4367" max="4367" width="12.73046875" style="147" customWidth="1"/>
    <col min="4368" max="4368" width="9.3984375" style="147" customWidth="1"/>
    <col min="4369" max="4369" width="7.59765625" style="147" customWidth="1"/>
    <col min="4370" max="4370" width="8.73046875" style="147" customWidth="1"/>
    <col min="4371" max="4371" width="13.3984375" style="147" customWidth="1"/>
    <col min="4372" max="4374" width="10.73046875" style="147" customWidth="1"/>
    <col min="4375" max="4375" width="12.1328125" style="147" customWidth="1"/>
    <col min="4376" max="4376" width="14" style="147" customWidth="1"/>
    <col min="4377" max="4377" width="11.3984375" style="147" customWidth="1"/>
    <col min="4378" max="4378" width="10.73046875" style="147" customWidth="1"/>
    <col min="4379" max="4612" width="9.1328125" style="147"/>
    <col min="4613" max="4613" width="11.59765625" style="147" customWidth="1"/>
    <col min="4614" max="4614" width="11.73046875" style="147" customWidth="1"/>
    <col min="4615" max="4615" width="9.265625" style="147" customWidth="1"/>
    <col min="4616" max="4616" width="9" style="147" customWidth="1"/>
    <col min="4617" max="4617" width="10.265625" style="147" customWidth="1"/>
    <col min="4618" max="4619" width="8.1328125" style="147" customWidth="1"/>
    <col min="4620" max="4621" width="8.265625" style="147" customWidth="1"/>
    <col min="4622" max="4622" width="10.59765625" style="147" customWidth="1"/>
    <col min="4623" max="4623" width="12.73046875" style="147" customWidth="1"/>
    <col min="4624" max="4624" width="9.3984375" style="147" customWidth="1"/>
    <col min="4625" max="4625" width="7.59765625" style="147" customWidth="1"/>
    <col min="4626" max="4626" width="8.73046875" style="147" customWidth="1"/>
    <col min="4627" max="4627" width="13.3984375" style="147" customWidth="1"/>
    <col min="4628" max="4630" width="10.73046875" style="147" customWidth="1"/>
    <col min="4631" max="4631" width="12.1328125" style="147" customWidth="1"/>
    <col min="4632" max="4632" width="14" style="147" customWidth="1"/>
    <col min="4633" max="4633" width="11.3984375" style="147" customWidth="1"/>
    <col min="4634" max="4634" width="10.73046875" style="147" customWidth="1"/>
    <col min="4635" max="4868" width="9.1328125" style="147"/>
    <col min="4869" max="4869" width="11.59765625" style="147" customWidth="1"/>
    <col min="4870" max="4870" width="11.73046875" style="147" customWidth="1"/>
    <col min="4871" max="4871" width="9.265625" style="147" customWidth="1"/>
    <col min="4872" max="4872" width="9" style="147" customWidth="1"/>
    <col min="4873" max="4873" width="10.265625" style="147" customWidth="1"/>
    <col min="4874" max="4875" width="8.1328125" style="147" customWidth="1"/>
    <col min="4876" max="4877" width="8.265625" style="147" customWidth="1"/>
    <col min="4878" max="4878" width="10.59765625" style="147" customWidth="1"/>
    <col min="4879" max="4879" width="12.73046875" style="147" customWidth="1"/>
    <col min="4880" max="4880" width="9.3984375" style="147" customWidth="1"/>
    <col min="4881" max="4881" width="7.59765625" style="147" customWidth="1"/>
    <col min="4882" max="4882" width="8.73046875" style="147" customWidth="1"/>
    <col min="4883" max="4883" width="13.3984375" style="147" customWidth="1"/>
    <col min="4884" max="4886" width="10.73046875" style="147" customWidth="1"/>
    <col min="4887" max="4887" width="12.1328125" style="147" customWidth="1"/>
    <col min="4888" max="4888" width="14" style="147" customWidth="1"/>
    <col min="4889" max="4889" width="11.3984375" style="147" customWidth="1"/>
    <col min="4890" max="4890" width="10.73046875" style="147" customWidth="1"/>
    <col min="4891" max="5124" width="9.1328125" style="147"/>
    <col min="5125" max="5125" width="11.59765625" style="147" customWidth="1"/>
    <col min="5126" max="5126" width="11.73046875" style="147" customWidth="1"/>
    <col min="5127" max="5127" width="9.265625" style="147" customWidth="1"/>
    <col min="5128" max="5128" width="9" style="147" customWidth="1"/>
    <col min="5129" max="5129" width="10.265625" style="147" customWidth="1"/>
    <col min="5130" max="5131" width="8.1328125" style="147" customWidth="1"/>
    <col min="5132" max="5133" width="8.265625" style="147" customWidth="1"/>
    <col min="5134" max="5134" width="10.59765625" style="147" customWidth="1"/>
    <col min="5135" max="5135" width="12.73046875" style="147" customWidth="1"/>
    <col min="5136" max="5136" width="9.3984375" style="147" customWidth="1"/>
    <col min="5137" max="5137" width="7.59765625" style="147" customWidth="1"/>
    <col min="5138" max="5138" width="8.73046875" style="147" customWidth="1"/>
    <col min="5139" max="5139" width="13.3984375" style="147" customWidth="1"/>
    <col min="5140" max="5142" width="10.73046875" style="147" customWidth="1"/>
    <col min="5143" max="5143" width="12.1328125" style="147" customWidth="1"/>
    <col min="5144" max="5144" width="14" style="147" customWidth="1"/>
    <col min="5145" max="5145" width="11.3984375" style="147" customWidth="1"/>
    <col min="5146" max="5146" width="10.73046875" style="147" customWidth="1"/>
    <col min="5147" max="5380" width="9.1328125" style="147"/>
    <col min="5381" max="5381" width="11.59765625" style="147" customWidth="1"/>
    <col min="5382" max="5382" width="11.73046875" style="147" customWidth="1"/>
    <col min="5383" max="5383" width="9.265625" style="147" customWidth="1"/>
    <col min="5384" max="5384" width="9" style="147" customWidth="1"/>
    <col min="5385" max="5385" width="10.265625" style="147" customWidth="1"/>
    <col min="5386" max="5387" width="8.1328125" style="147" customWidth="1"/>
    <col min="5388" max="5389" width="8.265625" style="147" customWidth="1"/>
    <col min="5390" max="5390" width="10.59765625" style="147" customWidth="1"/>
    <col min="5391" max="5391" width="12.73046875" style="147" customWidth="1"/>
    <col min="5392" max="5392" width="9.3984375" style="147" customWidth="1"/>
    <col min="5393" max="5393" width="7.59765625" style="147" customWidth="1"/>
    <col min="5394" max="5394" width="8.73046875" style="147" customWidth="1"/>
    <col min="5395" max="5395" width="13.3984375" style="147" customWidth="1"/>
    <col min="5396" max="5398" width="10.73046875" style="147" customWidth="1"/>
    <col min="5399" max="5399" width="12.1328125" style="147" customWidth="1"/>
    <col min="5400" max="5400" width="14" style="147" customWidth="1"/>
    <col min="5401" max="5401" width="11.3984375" style="147" customWidth="1"/>
    <col min="5402" max="5402" width="10.73046875" style="147" customWidth="1"/>
    <col min="5403" max="5636" width="9.1328125" style="147"/>
    <col min="5637" max="5637" width="11.59765625" style="147" customWidth="1"/>
    <col min="5638" max="5638" width="11.73046875" style="147" customWidth="1"/>
    <col min="5639" max="5639" width="9.265625" style="147" customWidth="1"/>
    <col min="5640" max="5640" width="9" style="147" customWidth="1"/>
    <col min="5641" max="5641" width="10.265625" style="147" customWidth="1"/>
    <col min="5642" max="5643" width="8.1328125" style="147" customWidth="1"/>
    <col min="5644" max="5645" width="8.265625" style="147" customWidth="1"/>
    <col min="5646" max="5646" width="10.59765625" style="147" customWidth="1"/>
    <col min="5647" max="5647" width="12.73046875" style="147" customWidth="1"/>
    <col min="5648" max="5648" width="9.3984375" style="147" customWidth="1"/>
    <col min="5649" max="5649" width="7.59765625" style="147" customWidth="1"/>
    <col min="5650" max="5650" width="8.73046875" style="147" customWidth="1"/>
    <col min="5651" max="5651" width="13.3984375" style="147" customWidth="1"/>
    <col min="5652" max="5654" width="10.73046875" style="147" customWidth="1"/>
    <col min="5655" max="5655" width="12.1328125" style="147" customWidth="1"/>
    <col min="5656" max="5656" width="14" style="147" customWidth="1"/>
    <col min="5657" max="5657" width="11.3984375" style="147" customWidth="1"/>
    <col min="5658" max="5658" width="10.73046875" style="147" customWidth="1"/>
    <col min="5659" max="5892" width="9.1328125" style="147"/>
    <col min="5893" max="5893" width="11.59765625" style="147" customWidth="1"/>
    <col min="5894" max="5894" width="11.73046875" style="147" customWidth="1"/>
    <col min="5895" max="5895" width="9.265625" style="147" customWidth="1"/>
    <col min="5896" max="5896" width="9" style="147" customWidth="1"/>
    <col min="5897" max="5897" width="10.265625" style="147" customWidth="1"/>
    <col min="5898" max="5899" width="8.1328125" style="147" customWidth="1"/>
    <col min="5900" max="5901" width="8.265625" style="147" customWidth="1"/>
    <col min="5902" max="5902" width="10.59765625" style="147" customWidth="1"/>
    <col min="5903" max="5903" width="12.73046875" style="147" customWidth="1"/>
    <col min="5904" max="5904" width="9.3984375" style="147" customWidth="1"/>
    <col min="5905" max="5905" width="7.59765625" style="147" customWidth="1"/>
    <col min="5906" max="5906" width="8.73046875" style="147" customWidth="1"/>
    <col min="5907" max="5907" width="13.3984375" style="147" customWidth="1"/>
    <col min="5908" max="5910" width="10.73046875" style="147" customWidth="1"/>
    <col min="5911" max="5911" width="12.1328125" style="147" customWidth="1"/>
    <col min="5912" max="5912" width="14" style="147" customWidth="1"/>
    <col min="5913" max="5913" width="11.3984375" style="147" customWidth="1"/>
    <col min="5914" max="5914" width="10.73046875" style="147" customWidth="1"/>
    <col min="5915" max="6148" width="9.1328125" style="147"/>
    <col min="6149" max="6149" width="11.59765625" style="147" customWidth="1"/>
    <col min="6150" max="6150" width="11.73046875" style="147" customWidth="1"/>
    <col min="6151" max="6151" width="9.265625" style="147" customWidth="1"/>
    <col min="6152" max="6152" width="9" style="147" customWidth="1"/>
    <col min="6153" max="6153" width="10.265625" style="147" customWidth="1"/>
    <col min="6154" max="6155" width="8.1328125" style="147" customWidth="1"/>
    <col min="6156" max="6157" width="8.265625" style="147" customWidth="1"/>
    <col min="6158" max="6158" width="10.59765625" style="147" customWidth="1"/>
    <col min="6159" max="6159" width="12.73046875" style="147" customWidth="1"/>
    <col min="6160" max="6160" width="9.3984375" style="147" customWidth="1"/>
    <col min="6161" max="6161" width="7.59765625" style="147" customWidth="1"/>
    <col min="6162" max="6162" width="8.73046875" style="147" customWidth="1"/>
    <col min="6163" max="6163" width="13.3984375" style="147" customWidth="1"/>
    <col min="6164" max="6166" width="10.73046875" style="147" customWidth="1"/>
    <col min="6167" max="6167" width="12.1328125" style="147" customWidth="1"/>
    <col min="6168" max="6168" width="14" style="147" customWidth="1"/>
    <col min="6169" max="6169" width="11.3984375" style="147" customWidth="1"/>
    <col min="6170" max="6170" width="10.73046875" style="147" customWidth="1"/>
    <col min="6171" max="6404" width="9.1328125" style="147"/>
    <col min="6405" max="6405" width="11.59765625" style="147" customWidth="1"/>
    <col min="6406" max="6406" width="11.73046875" style="147" customWidth="1"/>
    <col min="6407" max="6407" width="9.265625" style="147" customWidth="1"/>
    <col min="6408" max="6408" width="9" style="147" customWidth="1"/>
    <col min="6409" max="6409" width="10.265625" style="147" customWidth="1"/>
    <col min="6410" max="6411" width="8.1328125" style="147" customWidth="1"/>
    <col min="6412" max="6413" width="8.265625" style="147" customWidth="1"/>
    <col min="6414" max="6414" width="10.59765625" style="147" customWidth="1"/>
    <col min="6415" max="6415" width="12.73046875" style="147" customWidth="1"/>
    <col min="6416" max="6416" width="9.3984375" style="147" customWidth="1"/>
    <col min="6417" max="6417" width="7.59765625" style="147" customWidth="1"/>
    <col min="6418" max="6418" width="8.73046875" style="147" customWidth="1"/>
    <col min="6419" max="6419" width="13.3984375" style="147" customWidth="1"/>
    <col min="6420" max="6422" width="10.73046875" style="147" customWidth="1"/>
    <col min="6423" max="6423" width="12.1328125" style="147" customWidth="1"/>
    <col min="6424" max="6424" width="14" style="147" customWidth="1"/>
    <col min="6425" max="6425" width="11.3984375" style="147" customWidth="1"/>
    <col min="6426" max="6426" width="10.73046875" style="147" customWidth="1"/>
    <col min="6427" max="6660" width="9.1328125" style="147"/>
    <col min="6661" max="6661" width="11.59765625" style="147" customWidth="1"/>
    <col min="6662" max="6662" width="11.73046875" style="147" customWidth="1"/>
    <col min="6663" max="6663" width="9.265625" style="147" customWidth="1"/>
    <col min="6664" max="6664" width="9" style="147" customWidth="1"/>
    <col min="6665" max="6665" width="10.265625" style="147" customWidth="1"/>
    <col min="6666" max="6667" width="8.1328125" style="147" customWidth="1"/>
    <col min="6668" max="6669" width="8.265625" style="147" customWidth="1"/>
    <col min="6670" max="6670" width="10.59765625" style="147" customWidth="1"/>
    <col min="6671" max="6671" width="12.73046875" style="147" customWidth="1"/>
    <col min="6672" max="6672" width="9.3984375" style="147" customWidth="1"/>
    <col min="6673" max="6673" width="7.59765625" style="147" customWidth="1"/>
    <col min="6674" max="6674" width="8.73046875" style="147" customWidth="1"/>
    <col min="6675" max="6675" width="13.3984375" style="147" customWidth="1"/>
    <col min="6676" max="6678" width="10.73046875" style="147" customWidth="1"/>
    <col min="6679" max="6679" width="12.1328125" style="147" customWidth="1"/>
    <col min="6680" max="6680" width="14" style="147" customWidth="1"/>
    <col min="6681" max="6681" width="11.3984375" style="147" customWidth="1"/>
    <col min="6682" max="6682" width="10.73046875" style="147" customWidth="1"/>
    <col min="6683" max="6916" width="9.1328125" style="147"/>
    <col min="6917" max="6917" width="11.59765625" style="147" customWidth="1"/>
    <col min="6918" max="6918" width="11.73046875" style="147" customWidth="1"/>
    <col min="6919" max="6919" width="9.265625" style="147" customWidth="1"/>
    <col min="6920" max="6920" width="9" style="147" customWidth="1"/>
    <col min="6921" max="6921" width="10.265625" style="147" customWidth="1"/>
    <col min="6922" max="6923" width="8.1328125" style="147" customWidth="1"/>
    <col min="6924" max="6925" width="8.265625" style="147" customWidth="1"/>
    <col min="6926" max="6926" width="10.59765625" style="147" customWidth="1"/>
    <col min="6927" max="6927" width="12.73046875" style="147" customWidth="1"/>
    <col min="6928" max="6928" width="9.3984375" style="147" customWidth="1"/>
    <col min="6929" max="6929" width="7.59765625" style="147" customWidth="1"/>
    <col min="6930" max="6930" width="8.73046875" style="147" customWidth="1"/>
    <col min="6931" max="6931" width="13.3984375" style="147" customWidth="1"/>
    <col min="6932" max="6934" width="10.73046875" style="147" customWidth="1"/>
    <col min="6935" max="6935" width="12.1328125" style="147" customWidth="1"/>
    <col min="6936" max="6936" width="14" style="147" customWidth="1"/>
    <col min="6937" max="6937" width="11.3984375" style="147" customWidth="1"/>
    <col min="6938" max="6938" width="10.73046875" style="147" customWidth="1"/>
    <col min="6939" max="7172" width="9.1328125" style="147"/>
    <col min="7173" max="7173" width="11.59765625" style="147" customWidth="1"/>
    <col min="7174" max="7174" width="11.73046875" style="147" customWidth="1"/>
    <col min="7175" max="7175" width="9.265625" style="147" customWidth="1"/>
    <col min="7176" max="7176" width="9" style="147" customWidth="1"/>
    <col min="7177" max="7177" width="10.265625" style="147" customWidth="1"/>
    <col min="7178" max="7179" width="8.1328125" style="147" customWidth="1"/>
    <col min="7180" max="7181" width="8.265625" style="147" customWidth="1"/>
    <col min="7182" max="7182" width="10.59765625" style="147" customWidth="1"/>
    <col min="7183" max="7183" width="12.73046875" style="147" customWidth="1"/>
    <col min="7184" max="7184" width="9.3984375" style="147" customWidth="1"/>
    <col min="7185" max="7185" width="7.59765625" style="147" customWidth="1"/>
    <col min="7186" max="7186" width="8.73046875" style="147" customWidth="1"/>
    <col min="7187" max="7187" width="13.3984375" style="147" customWidth="1"/>
    <col min="7188" max="7190" width="10.73046875" style="147" customWidth="1"/>
    <col min="7191" max="7191" width="12.1328125" style="147" customWidth="1"/>
    <col min="7192" max="7192" width="14" style="147" customWidth="1"/>
    <col min="7193" max="7193" width="11.3984375" style="147" customWidth="1"/>
    <col min="7194" max="7194" width="10.73046875" style="147" customWidth="1"/>
    <col min="7195" max="7428" width="9.1328125" style="147"/>
    <col min="7429" max="7429" width="11.59765625" style="147" customWidth="1"/>
    <col min="7430" max="7430" width="11.73046875" style="147" customWidth="1"/>
    <col min="7431" max="7431" width="9.265625" style="147" customWidth="1"/>
    <col min="7432" max="7432" width="9" style="147" customWidth="1"/>
    <col min="7433" max="7433" width="10.265625" style="147" customWidth="1"/>
    <col min="7434" max="7435" width="8.1328125" style="147" customWidth="1"/>
    <col min="7436" max="7437" width="8.265625" style="147" customWidth="1"/>
    <col min="7438" max="7438" width="10.59765625" style="147" customWidth="1"/>
    <col min="7439" max="7439" width="12.73046875" style="147" customWidth="1"/>
    <col min="7440" max="7440" width="9.3984375" style="147" customWidth="1"/>
    <col min="7441" max="7441" width="7.59765625" style="147" customWidth="1"/>
    <col min="7442" max="7442" width="8.73046875" style="147" customWidth="1"/>
    <col min="7443" max="7443" width="13.3984375" style="147" customWidth="1"/>
    <col min="7444" max="7446" width="10.73046875" style="147" customWidth="1"/>
    <col min="7447" max="7447" width="12.1328125" style="147" customWidth="1"/>
    <col min="7448" max="7448" width="14" style="147" customWidth="1"/>
    <col min="7449" max="7449" width="11.3984375" style="147" customWidth="1"/>
    <col min="7450" max="7450" width="10.73046875" style="147" customWidth="1"/>
    <col min="7451" max="7684" width="9.1328125" style="147"/>
    <col min="7685" max="7685" width="11.59765625" style="147" customWidth="1"/>
    <col min="7686" max="7686" width="11.73046875" style="147" customWidth="1"/>
    <col min="7687" max="7687" width="9.265625" style="147" customWidth="1"/>
    <col min="7688" max="7688" width="9" style="147" customWidth="1"/>
    <col min="7689" max="7689" width="10.265625" style="147" customWidth="1"/>
    <col min="7690" max="7691" width="8.1328125" style="147" customWidth="1"/>
    <col min="7692" max="7693" width="8.265625" style="147" customWidth="1"/>
    <col min="7694" max="7694" width="10.59765625" style="147" customWidth="1"/>
    <col min="7695" max="7695" width="12.73046875" style="147" customWidth="1"/>
    <col min="7696" max="7696" width="9.3984375" style="147" customWidth="1"/>
    <col min="7697" max="7697" width="7.59765625" style="147" customWidth="1"/>
    <col min="7698" max="7698" width="8.73046875" style="147" customWidth="1"/>
    <col min="7699" max="7699" width="13.3984375" style="147" customWidth="1"/>
    <col min="7700" max="7702" width="10.73046875" style="147" customWidth="1"/>
    <col min="7703" max="7703" width="12.1328125" style="147" customWidth="1"/>
    <col min="7704" max="7704" width="14" style="147" customWidth="1"/>
    <col min="7705" max="7705" width="11.3984375" style="147" customWidth="1"/>
    <col min="7706" max="7706" width="10.73046875" style="147" customWidth="1"/>
    <col min="7707" max="7940" width="9.1328125" style="147"/>
    <col min="7941" max="7941" width="11.59765625" style="147" customWidth="1"/>
    <col min="7942" max="7942" width="11.73046875" style="147" customWidth="1"/>
    <col min="7943" max="7943" width="9.265625" style="147" customWidth="1"/>
    <col min="7944" max="7944" width="9" style="147" customWidth="1"/>
    <col min="7945" max="7945" width="10.265625" style="147" customWidth="1"/>
    <col min="7946" max="7947" width="8.1328125" style="147" customWidth="1"/>
    <col min="7948" max="7949" width="8.265625" style="147" customWidth="1"/>
    <col min="7950" max="7950" width="10.59765625" style="147" customWidth="1"/>
    <col min="7951" max="7951" width="12.73046875" style="147" customWidth="1"/>
    <col min="7952" max="7952" width="9.3984375" style="147" customWidth="1"/>
    <col min="7953" max="7953" width="7.59765625" style="147" customWidth="1"/>
    <col min="7954" max="7954" width="8.73046875" style="147" customWidth="1"/>
    <col min="7955" max="7955" width="13.3984375" style="147" customWidth="1"/>
    <col min="7956" max="7958" width="10.73046875" style="147" customWidth="1"/>
    <col min="7959" max="7959" width="12.1328125" style="147" customWidth="1"/>
    <col min="7960" max="7960" width="14" style="147" customWidth="1"/>
    <col min="7961" max="7961" width="11.3984375" style="147" customWidth="1"/>
    <col min="7962" max="7962" width="10.73046875" style="147" customWidth="1"/>
    <col min="7963" max="8196" width="9.1328125" style="147"/>
    <col min="8197" max="8197" width="11.59765625" style="147" customWidth="1"/>
    <col min="8198" max="8198" width="11.73046875" style="147" customWidth="1"/>
    <col min="8199" max="8199" width="9.265625" style="147" customWidth="1"/>
    <col min="8200" max="8200" width="9" style="147" customWidth="1"/>
    <col min="8201" max="8201" width="10.265625" style="147" customWidth="1"/>
    <col min="8202" max="8203" width="8.1328125" style="147" customWidth="1"/>
    <col min="8204" max="8205" width="8.265625" style="147" customWidth="1"/>
    <col min="8206" max="8206" width="10.59765625" style="147" customWidth="1"/>
    <col min="8207" max="8207" width="12.73046875" style="147" customWidth="1"/>
    <col min="8208" max="8208" width="9.3984375" style="147" customWidth="1"/>
    <col min="8209" max="8209" width="7.59765625" style="147" customWidth="1"/>
    <col min="8210" max="8210" width="8.73046875" style="147" customWidth="1"/>
    <col min="8211" max="8211" width="13.3984375" style="147" customWidth="1"/>
    <col min="8212" max="8214" width="10.73046875" style="147" customWidth="1"/>
    <col min="8215" max="8215" width="12.1328125" style="147" customWidth="1"/>
    <col min="8216" max="8216" width="14" style="147" customWidth="1"/>
    <col min="8217" max="8217" width="11.3984375" style="147" customWidth="1"/>
    <col min="8218" max="8218" width="10.73046875" style="147" customWidth="1"/>
    <col min="8219" max="8452" width="9.1328125" style="147"/>
    <col min="8453" max="8453" width="11.59765625" style="147" customWidth="1"/>
    <col min="8454" max="8454" width="11.73046875" style="147" customWidth="1"/>
    <col min="8455" max="8455" width="9.265625" style="147" customWidth="1"/>
    <col min="8456" max="8456" width="9" style="147" customWidth="1"/>
    <col min="8457" max="8457" width="10.265625" style="147" customWidth="1"/>
    <col min="8458" max="8459" width="8.1328125" style="147" customWidth="1"/>
    <col min="8460" max="8461" width="8.265625" style="147" customWidth="1"/>
    <col min="8462" max="8462" width="10.59765625" style="147" customWidth="1"/>
    <col min="8463" max="8463" width="12.73046875" style="147" customWidth="1"/>
    <col min="8464" max="8464" width="9.3984375" style="147" customWidth="1"/>
    <col min="8465" max="8465" width="7.59765625" style="147" customWidth="1"/>
    <col min="8466" max="8466" width="8.73046875" style="147" customWidth="1"/>
    <col min="8467" max="8467" width="13.3984375" style="147" customWidth="1"/>
    <col min="8468" max="8470" width="10.73046875" style="147" customWidth="1"/>
    <col min="8471" max="8471" width="12.1328125" style="147" customWidth="1"/>
    <col min="8472" max="8472" width="14" style="147" customWidth="1"/>
    <col min="8473" max="8473" width="11.3984375" style="147" customWidth="1"/>
    <col min="8474" max="8474" width="10.73046875" style="147" customWidth="1"/>
    <col min="8475" max="8708" width="9.1328125" style="147"/>
    <col min="8709" max="8709" width="11.59765625" style="147" customWidth="1"/>
    <col min="8710" max="8710" width="11.73046875" style="147" customWidth="1"/>
    <col min="8711" max="8711" width="9.265625" style="147" customWidth="1"/>
    <col min="8712" max="8712" width="9" style="147" customWidth="1"/>
    <col min="8713" max="8713" width="10.265625" style="147" customWidth="1"/>
    <col min="8714" max="8715" width="8.1328125" style="147" customWidth="1"/>
    <col min="8716" max="8717" width="8.265625" style="147" customWidth="1"/>
    <col min="8718" max="8718" width="10.59765625" style="147" customWidth="1"/>
    <col min="8719" max="8719" width="12.73046875" style="147" customWidth="1"/>
    <col min="8720" max="8720" width="9.3984375" style="147" customWidth="1"/>
    <col min="8721" max="8721" width="7.59765625" style="147" customWidth="1"/>
    <col min="8722" max="8722" width="8.73046875" style="147" customWidth="1"/>
    <col min="8723" max="8723" width="13.3984375" style="147" customWidth="1"/>
    <col min="8724" max="8726" width="10.73046875" style="147" customWidth="1"/>
    <col min="8727" max="8727" width="12.1328125" style="147" customWidth="1"/>
    <col min="8728" max="8728" width="14" style="147" customWidth="1"/>
    <col min="8729" max="8729" width="11.3984375" style="147" customWidth="1"/>
    <col min="8730" max="8730" width="10.73046875" style="147" customWidth="1"/>
    <col min="8731" max="8964" width="9.1328125" style="147"/>
    <col min="8965" max="8965" width="11.59765625" style="147" customWidth="1"/>
    <col min="8966" max="8966" width="11.73046875" style="147" customWidth="1"/>
    <col min="8967" max="8967" width="9.265625" style="147" customWidth="1"/>
    <col min="8968" max="8968" width="9" style="147" customWidth="1"/>
    <col min="8969" max="8969" width="10.265625" style="147" customWidth="1"/>
    <col min="8970" max="8971" width="8.1328125" style="147" customWidth="1"/>
    <col min="8972" max="8973" width="8.265625" style="147" customWidth="1"/>
    <col min="8974" max="8974" width="10.59765625" style="147" customWidth="1"/>
    <col min="8975" max="8975" width="12.73046875" style="147" customWidth="1"/>
    <col min="8976" max="8976" width="9.3984375" style="147" customWidth="1"/>
    <col min="8977" max="8977" width="7.59765625" style="147" customWidth="1"/>
    <col min="8978" max="8978" width="8.73046875" style="147" customWidth="1"/>
    <col min="8979" max="8979" width="13.3984375" style="147" customWidth="1"/>
    <col min="8980" max="8982" width="10.73046875" style="147" customWidth="1"/>
    <col min="8983" max="8983" width="12.1328125" style="147" customWidth="1"/>
    <col min="8984" max="8984" width="14" style="147" customWidth="1"/>
    <col min="8985" max="8985" width="11.3984375" style="147" customWidth="1"/>
    <col min="8986" max="8986" width="10.73046875" style="147" customWidth="1"/>
    <col min="8987" max="9220" width="9.1328125" style="147"/>
    <col min="9221" max="9221" width="11.59765625" style="147" customWidth="1"/>
    <col min="9222" max="9222" width="11.73046875" style="147" customWidth="1"/>
    <col min="9223" max="9223" width="9.265625" style="147" customWidth="1"/>
    <col min="9224" max="9224" width="9" style="147" customWidth="1"/>
    <col min="9225" max="9225" width="10.265625" style="147" customWidth="1"/>
    <col min="9226" max="9227" width="8.1328125" style="147" customWidth="1"/>
    <col min="9228" max="9229" width="8.265625" style="147" customWidth="1"/>
    <col min="9230" max="9230" width="10.59765625" style="147" customWidth="1"/>
    <col min="9231" max="9231" width="12.73046875" style="147" customWidth="1"/>
    <col min="9232" max="9232" width="9.3984375" style="147" customWidth="1"/>
    <col min="9233" max="9233" width="7.59765625" style="147" customWidth="1"/>
    <col min="9234" max="9234" width="8.73046875" style="147" customWidth="1"/>
    <col min="9235" max="9235" width="13.3984375" style="147" customWidth="1"/>
    <col min="9236" max="9238" width="10.73046875" style="147" customWidth="1"/>
    <col min="9239" max="9239" width="12.1328125" style="147" customWidth="1"/>
    <col min="9240" max="9240" width="14" style="147" customWidth="1"/>
    <col min="9241" max="9241" width="11.3984375" style="147" customWidth="1"/>
    <col min="9242" max="9242" width="10.73046875" style="147" customWidth="1"/>
    <col min="9243" max="9476" width="9.1328125" style="147"/>
    <col min="9477" max="9477" width="11.59765625" style="147" customWidth="1"/>
    <col min="9478" max="9478" width="11.73046875" style="147" customWidth="1"/>
    <col min="9479" max="9479" width="9.265625" style="147" customWidth="1"/>
    <col min="9480" max="9480" width="9" style="147" customWidth="1"/>
    <col min="9481" max="9481" width="10.265625" style="147" customWidth="1"/>
    <col min="9482" max="9483" width="8.1328125" style="147" customWidth="1"/>
    <col min="9484" max="9485" width="8.265625" style="147" customWidth="1"/>
    <col min="9486" max="9486" width="10.59765625" style="147" customWidth="1"/>
    <col min="9487" max="9487" width="12.73046875" style="147" customWidth="1"/>
    <col min="9488" max="9488" width="9.3984375" style="147" customWidth="1"/>
    <col min="9489" max="9489" width="7.59765625" style="147" customWidth="1"/>
    <col min="9490" max="9490" width="8.73046875" style="147" customWidth="1"/>
    <col min="9491" max="9491" width="13.3984375" style="147" customWidth="1"/>
    <col min="9492" max="9494" width="10.73046875" style="147" customWidth="1"/>
    <col min="9495" max="9495" width="12.1328125" style="147" customWidth="1"/>
    <col min="9496" max="9496" width="14" style="147" customWidth="1"/>
    <col min="9497" max="9497" width="11.3984375" style="147" customWidth="1"/>
    <col min="9498" max="9498" width="10.73046875" style="147" customWidth="1"/>
    <col min="9499" max="9732" width="9.1328125" style="147"/>
    <col min="9733" max="9733" width="11.59765625" style="147" customWidth="1"/>
    <col min="9734" max="9734" width="11.73046875" style="147" customWidth="1"/>
    <col min="9735" max="9735" width="9.265625" style="147" customWidth="1"/>
    <col min="9736" max="9736" width="9" style="147" customWidth="1"/>
    <col min="9737" max="9737" width="10.265625" style="147" customWidth="1"/>
    <col min="9738" max="9739" width="8.1328125" style="147" customWidth="1"/>
    <col min="9740" max="9741" width="8.265625" style="147" customWidth="1"/>
    <col min="9742" max="9742" width="10.59765625" style="147" customWidth="1"/>
    <col min="9743" max="9743" width="12.73046875" style="147" customWidth="1"/>
    <col min="9744" max="9744" width="9.3984375" style="147" customWidth="1"/>
    <col min="9745" max="9745" width="7.59765625" style="147" customWidth="1"/>
    <col min="9746" max="9746" width="8.73046875" style="147" customWidth="1"/>
    <col min="9747" max="9747" width="13.3984375" style="147" customWidth="1"/>
    <col min="9748" max="9750" width="10.73046875" style="147" customWidth="1"/>
    <col min="9751" max="9751" width="12.1328125" style="147" customWidth="1"/>
    <col min="9752" max="9752" width="14" style="147" customWidth="1"/>
    <col min="9753" max="9753" width="11.3984375" style="147" customWidth="1"/>
    <col min="9754" max="9754" width="10.73046875" style="147" customWidth="1"/>
    <col min="9755" max="9988" width="9.1328125" style="147"/>
    <col min="9989" max="9989" width="11.59765625" style="147" customWidth="1"/>
    <col min="9990" max="9990" width="11.73046875" style="147" customWidth="1"/>
    <col min="9991" max="9991" width="9.265625" style="147" customWidth="1"/>
    <col min="9992" max="9992" width="9" style="147" customWidth="1"/>
    <col min="9993" max="9993" width="10.265625" style="147" customWidth="1"/>
    <col min="9994" max="9995" width="8.1328125" style="147" customWidth="1"/>
    <col min="9996" max="9997" width="8.265625" style="147" customWidth="1"/>
    <col min="9998" max="9998" width="10.59765625" style="147" customWidth="1"/>
    <col min="9999" max="9999" width="12.73046875" style="147" customWidth="1"/>
    <col min="10000" max="10000" width="9.3984375" style="147" customWidth="1"/>
    <col min="10001" max="10001" width="7.59765625" style="147" customWidth="1"/>
    <col min="10002" max="10002" width="8.73046875" style="147" customWidth="1"/>
    <col min="10003" max="10003" width="13.3984375" style="147" customWidth="1"/>
    <col min="10004" max="10006" width="10.73046875" style="147" customWidth="1"/>
    <col min="10007" max="10007" width="12.1328125" style="147" customWidth="1"/>
    <col min="10008" max="10008" width="14" style="147" customWidth="1"/>
    <col min="10009" max="10009" width="11.3984375" style="147" customWidth="1"/>
    <col min="10010" max="10010" width="10.73046875" style="147" customWidth="1"/>
    <col min="10011" max="10244" width="9.1328125" style="147"/>
    <col min="10245" max="10245" width="11.59765625" style="147" customWidth="1"/>
    <col min="10246" max="10246" width="11.73046875" style="147" customWidth="1"/>
    <col min="10247" max="10247" width="9.265625" style="147" customWidth="1"/>
    <col min="10248" max="10248" width="9" style="147" customWidth="1"/>
    <col min="10249" max="10249" width="10.265625" style="147" customWidth="1"/>
    <col min="10250" max="10251" width="8.1328125" style="147" customWidth="1"/>
    <col min="10252" max="10253" width="8.265625" style="147" customWidth="1"/>
    <col min="10254" max="10254" width="10.59765625" style="147" customWidth="1"/>
    <col min="10255" max="10255" width="12.73046875" style="147" customWidth="1"/>
    <col min="10256" max="10256" width="9.3984375" style="147" customWidth="1"/>
    <col min="10257" max="10257" width="7.59765625" style="147" customWidth="1"/>
    <col min="10258" max="10258" width="8.73046875" style="147" customWidth="1"/>
    <col min="10259" max="10259" width="13.3984375" style="147" customWidth="1"/>
    <col min="10260" max="10262" width="10.73046875" style="147" customWidth="1"/>
    <col min="10263" max="10263" width="12.1328125" style="147" customWidth="1"/>
    <col min="10264" max="10264" width="14" style="147" customWidth="1"/>
    <col min="10265" max="10265" width="11.3984375" style="147" customWidth="1"/>
    <col min="10266" max="10266" width="10.73046875" style="147" customWidth="1"/>
    <col min="10267" max="10500" width="9.1328125" style="147"/>
    <col min="10501" max="10501" width="11.59765625" style="147" customWidth="1"/>
    <col min="10502" max="10502" width="11.73046875" style="147" customWidth="1"/>
    <col min="10503" max="10503" width="9.265625" style="147" customWidth="1"/>
    <col min="10504" max="10504" width="9" style="147" customWidth="1"/>
    <col min="10505" max="10505" width="10.265625" style="147" customWidth="1"/>
    <col min="10506" max="10507" width="8.1328125" style="147" customWidth="1"/>
    <col min="10508" max="10509" width="8.265625" style="147" customWidth="1"/>
    <col min="10510" max="10510" width="10.59765625" style="147" customWidth="1"/>
    <col min="10511" max="10511" width="12.73046875" style="147" customWidth="1"/>
    <col min="10512" max="10512" width="9.3984375" style="147" customWidth="1"/>
    <col min="10513" max="10513" width="7.59765625" style="147" customWidth="1"/>
    <col min="10514" max="10514" width="8.73046875" style="147" customWidth="1"/>
    <col min="10515" max="10515" width="13.3984375" style="147" customWidth="1"/>
    <col min="10516" max="10518" width="10.73046875" style="147" customWidth="1"/>
    <col min="10519" max="10519" width="12.1328125" style="147" customWidth="1"/>
    <col min="10520" max="10520" width="14" style="147" customWidth="1"/>
    <col min="10521" max="10521" width="11.3984375" style="147" customWidth="1"/>
    <col min="10522" max="10522" width="10.73046875" style="147" customWidth="1"/>
    <col min="10523" max="10756" width="9.1328125" style="147"/>
    <col min="10757" max="10757" width="11.59765625" style="147" customWidth="1"/>
    <col min="10758" max="10758" width="11.73046875" style="147" customWidth="1"/>
    <col min="10759" max="10759" width="9.265625" style="147" customWidth="1"/>
    <col min="10760" max="10760" width="9" style="147" customWidth="1"/>
    <col min="10761" max="10761" width="10.265625" style="147" customWidth="1"/>
    <col min="10762" max="10763" width="8.1328125" style="147" customWidth="1"/>
    <col min="10764" max="10765" width="8.265625" style="147" customWidth="1"/>
    <col min="10766" max="10766" width="10.59765625" style="147" customWidth="1"/>
    <col min="10767" max="10767" width="12.73046875" style="147" customWidth="1"/>
    <col min="10768" max="10768" width="9.3984375" style="147" customWidth="1"/>
    <col min="10769" max="10769" width="7.59765625" style="147" customWidth="1"/>
    <col min="10770" max="10770" width="8.73046875" style="147" customWidth="1"/>
    <col min="10771" max="10771" width="13.3984375" style="147" customWidth="1"/>
    <col min="10772" max="10774" width="10.73046875" style="147" customWidth="1"/>
    <col min="10775" max="10775" width="12.1328125" style="147" customWidth="1"/>
    <col min="10776" max="10776" width="14" style="147" customWidth="1"/>
    <col min="10777" max="10777" width="11.3984375" style="147" customWidth="1"/>
    <col min="10778" max="10778" width="10.73046875" style="147" customWidth="1"/>
    <col min="10779" max="11012" width="9.1328125" style="147"/>
    <col min="11013" max="11013" width="11.59765625" style="147" customWidth="1"/>
    <col min="11014" max="11014" width="11.73046875" style="147" customWidth="1"/>
    <col min="11015" max="11015" width="9.265625" style="147" customWidth="1"/>
    <col min="11016" max="11016" width="9" style="147" customWidth="1"/>
    <col min="11017" max="11017" width="10.265625" style="147" customWidth="1"/>
    <col min="11018" max="11019" width="8.1328125" style="147" customWidth="1"/>
    <col min="11020" max="11021" width="8.265625" style="147" customWidth="1"/>
    <col min="11022" max="11022" width="10.59765625" style="147" customWidth="1"/>
    <col min="11023" max="11023" width="12.73046875" style="147" customWidth="1"/>
    <col min="11024" max="11024" width="9.3984375" style="147" customWidth="1"/>
    <col min="11025" max="11025" width="7.59765625" style="147" customWidth="1"/>
    <col min="11026" max="11026" width="8.73046875" style="147" customWidth="1"/>
    <col min="11027" max="11027" width="13.3984375" style="147" customWidth="1"/>
    <col min="11028" max="11030" width="10.73046875" style="147" customWidth="1"/>
    <col min="11031" max="11031" width="12.1328125" style="147" customWidth="1"/>
    <col min="11032" max="11032" width="14" style="147" customWidth="1"/>
    <col min="11033" max="11033" width="11.3984375" style="147" customWidth="1"/>
    <col min="11034" max="11034" width="10.73046875" style="147" customWidth="1"/>
    <col min="11035" max="11268" width="9.1328125" style="147"/>
    <col min="11269" max="11269" width="11.59765625" style="147" customWidth="1"/>
    <col min="11270" max="11270" width="11.73046875" style="147" customWidth="1"/>
    <col min="11271" max="11271" width="9.265625" style="147" customWidth="1"/>
    <col min="11272" max="11272" width="9" style="147" customWidth="1"/>
    <col min="11273" max="11273" width="10.265625" style="147" customWidth="1"/>
    <col min="11274" max="11275" width="8.1328125" style="147" customWidth="1"/>
    <col min="11276" max="11277" width="8.265625" style="147" customWidth="1"/>
    <col min="11278" max="11278" width="10.59765625" style="147" customWidth="1"/>
    <col min="11279" max="11279" width="12.73046875" style="147" customWidth="1"/>
    <col min="11280" max="11280" width="9.3984375" style="147" customWidth="1"/>
    <col min="11281" max="11281" width="7.59765625" style="147" customWidth="1"/>
    <col min="11282" max="11282" width="8.73046875" style="147" customWidth="1"/>
    <col min="11283" max="11283" width="13.3984375" style="147" customWidth="1"/>
    <col min="11284" max="11286" width="10.73046875" style="147" customWidth="1"/>
    <col min="11287" max="11287" width="12.1328125" style="147" customWidth="1"/>
    <col min="11288" max="11288" width="14" style="147" customWidth="1"/>
    <col min="11289" max="11289" width="11.3984375" style="147" customWidth="1"/>
    <col min="11290" max="11290" width="10.73046875" style="147" customWidth="1"/>
    <col min="11291" max="11524" width="9.1328125" style="147"/>
    <col min="11525" max="11525" width="11.59765625" style="147" customWidth="1"/>
    <col min="11526" max="11526" width="11.73046875" style="147" customWidth="1"/>
    <col min="11527" max="11527" width="9.265625" style="147" customWidth="1"/>
    <col min="11528" max="11528" width="9" style="147" customWidth="1"/>
    <col min="11529" max="11529" width="10.265625" style="147" customWidth="1"/>
    <col min="11530" max="11531" width="8.1328125" style="147" customWidth="1"/>
    <col min="11532" max="11533" width="8.265625" style="147" customWidth="1"/>
    <col min="11534" max="11534" width="10.59765625" style="147" customWidth="1"/>
    <col min="11535" max="11535" width="12.73046875" style="147" customWidth="1"/>
    <col min="11536" max="11536" width="9.3984375" style="147" customWidth="1"/>
    <col min="11537" max="11537" width="7.59765625" style="147" customWidth="1"/>
    <col min="11538" max="11538" width="8.73046875" style="147" customWidth="1"/>
    <col min="11539" max="11539" width="13.3984375" style="147" customWidth="1"/>
    <col min="11540" max="11542" width="10.73046875" style="147" customWidth="1"/>
    <col min="11543" max="11543" width="12.1328125" style="147" customWidth="1"/>
    <col min="11544" max="11544" width="14" style="147" customWidth="1"/>
    <col min="11545" max="11545" width="11.3984375" style="147" customWidth="1"/>
    <col min="11546" max="11546" width="10.73046875" style="147" customWidth="1"/>
    <col min="11547" max="11780" width="9.1328125" style="147"/>
    <col min="11781" max="11781" width="11.59765625" style="147" customWidth="1"/>
    <col min="11782" max="11782" width="11.73046875" style="147" customWidth="1"/>
    <col min="11783" max="11783" width="9.265625" style="147" customWidth="1"/>
    <col min="11784" max="11784" width="9" style="147" customWidth="1"/>
    <col min="11785" max="11785" width="10.265625" style="147" customWidth="1"/>
    <col min="11786" max="11787" width="8.1328125" style="147" customWidth="1"/>
    <col min="11788" max="11789" width="8.265625" style="147" customWidth="1"/>
    <col min="11790" max="11790" width="10.59765625" style="147" customWidth="1"/>
    <col min="11791" max="11791" width="12.73046875" style="147" customWidth="1"/>
    <col min="11792" max="11792" width="9.3984375" style="147" customWidth="1"/>
    <col min="11793" max="11793" width="7.59765625" style="147" customWidth="1"/>
    <col min="11794" max="11794" width="8.73046875" style="147" customWidth="1"/>
    <col min="11795" max="11795" width="13.3984375" style="147" customWidth="1"/>
    <col min="11796" max="11798" width="10.73046875" style="147" customWidth="1"/>
    <col min="11799" max="11799" width="12.1328125" style="147" customWidth="1"/>
    <col min="11800" max="11800" width="14" style="147" customWidth="1"/>
    <col min="11801" max="11801" width="11.3984375" style="147" customWidth="1"/>
    <col min="11802" max="11802" width="10.73046875" style="147" customWidth="1"/>
    <col min="11803" max="12036" width="9.1328125" style="147"/>
    <col min="12037" max="12037" width="11.59765625" style="147" customWidth="1"/>
    <col min="12038" max="12038" width="11.73046875" style="147" customWidth="1"/>
    <col min="12039" max="12039" width="9.265625" style="147" customWidth="1"/>
    <col min="12040" max="12040" width="9" style="147" customWidth="1"/>
    <col min="12041" max="12041" width="10.265625" style="147" customWidth="1"/>
    <col min="12042" max="12043" width="8.1328125" style="147" customWidth="1"/>
    <col min="12044" max="12045" width="8.265625" style="147" customWidth="1"/>
    <col min="12046" max="12046" width="10.59765625" style="147" customWidth="1"/>
    <col min="12047" max="12047" width="12.73046875" style="147" customWidth="1"/>
    <col min="12048" max="12048" width="9.3984375" style="147" customWidth="1"/>
    <col min="12049" max="12049" width="7.59765625" style="147" customWidth="1"/>
    <col min="12050" max="12050" width="8.73046875" style="147" customWidth="1"/>
    <col min="12051" max="12051" width="13.3984375" style="147" customWidth="1"/>
    <col min="12052" max="12054" width="10.73046875" style="147" customWidth="1"/>
    <col min="12055" max="12055" width="12.1328125" style="147" customWidth="1"/>
    <col min="12056" max="12056" width="14" style="147" customWidth="1"/>
    <col min="12057" max="12057" width="11.3984375" style="147" customWidth="1"/>
    <col min="12058" max="12058" width="10.73046875" style="147" customWidth="1"/>
    <col min="12059" max="12292" width="9.1328125" style="147"/>
    <col min="12293" max="12293" width="11.59765625" style="147" customWidth="1"/>
    <col min="12294" max="12294" width="11.73046875" style="147" customWidth="1"/>
    <col min="12295" max="12295" width="9.265625" style="147" customWidth="1"/>
    <col min="12296" max="12296" width="9" style="147" customWidth="1"/>
    <col min="12297" max="12297" width="10.265625" style="147" customWidth="1"/>
    <col min="12298" max="12299" width="8.1328125" style="147" customWidth="1"/>
    <col min="12300" max="12301" width="8.265625" style="147" customWidth="1"/>
    <col min="12302" max="12302" width="10.59765625" style="147" customWidth="1"/>
    <col min="12303" max="12303" width="12.73046875" style="147" customWidth="1"/>
    <col min="12304" max="12304" width="9.3984375" style="147" customWidth="1"/>
    <col min="12305" max="12305" width="7.59765625" style="147" customWidth="1"/>
    <col min="12306" max="12306" width="8.73046875" style="147" customWidth="1"/>
    <col min="12307" max="12307" width="13.3984375" style="147" customWidth="1"/>
    <col min="12308" max="12310" width="10.73046875" style="147" customWidth="1"/>
    <col min="12311" max="12311" width="12.1328125" style="147" customWidth="1"/>
    <col min="12312" max="12312" width="14" style="147" customWidth="1"/>
    <col min="12313" max="12313" width="11.3984375" style="147" customWidth="1"/>
    <col min="12314" max="12314" width="10.73046875" style="147" customWidth="1"/>
    <col min="12315" max="12548" width="9.1328125" style="147"/>
    <col min="12549" max="12549" width="11.59765625" style="147" customWidth="1"/>
    <col min="12550" max="12550" width="11.73046875" style="147" customWidth="1"/>
    <col min="12551" max="12551" width="9.265625" style="147" customWidth="1"/>
    <col min="12552" max="12552" width="9" style="147" customWidth="1"/>
    <col min="12553" max="12553" width="10.265625" style="147" customWidth="1"/>
    <col min="12554" max="12555" width="8.1328125" style="147" customWidth="1"/>
    <col min="12556" max="12557" width="8.265625" style="147" customWidth="1"/>
    <col min="12558" max="12558" width="10.59765625" style="147" customWidth="1"/>
    <col min="12559" max="12559" width="12.73046875" style="147" customWidth="1"/>
    <col min="12560" max="12560" width="9.3984375" style="147" customWidth="1"/>
    <col min="12561" max="12561" width="7.59765625" style="147" customWidth="1"/>
    <col min="12562" max="12562" width="8.73046875" style="147" customWidth="1"/>
    <col min="12563" max="12563" width="13.3984375" style="147" customWidth="1"/>
    <col min="12564" max="12566" width="10.73046875" style="147" customWidth="1"/>
    <col min="12567" max="12567" width="12.1328125" style="147" customWidth="1"/>
    <col min="12568" max="12568" width="14" style="147" customWidth="1"/>
    <col min="12569" max="12569" width="11.3984375" style="147" customWidth="1"/>
    <col min="12570" max="12570" width="10.73046875" style="147" customWidth="1"/>
    <col min="12571" max="12804" width="9.1328125" style="147"/>
    <col min="12805" max="12805" width="11.59765625" style="147" customWidth="1"/>
    <col min="12806" max="12806" width="11.73046875" style="147" customWidth="1"/>
    <col min="12807" max="12807" width="9.265625" style="147" customWidth="1"/>
    <col min="12808" max="12808" width="9" style="147" customWidth="1"/>
    <col min="12809" max="12809" width="10.265625" style="147" customWidth="1"/>
    <col min="12810" max="12811" width="8.1328125" style="147" customWidth="1"/>
    <col min="12812" max="12813" width="8.265625" style="147" customWidth="1"/>
    <col min="12814" max="12814" width="10.59765625" style="147" customWidth="1"/>
    <col min="12815" max="12815" width="12.73046875" style="147" customWidth="1"/>
    <col min="12816" max="12816" width="9.3984375" style="147" customWidth="1"/>
    <col min="12817" max="12817" width="7.59765625" style="147" customWidth="1"/>
    <col min="12818" max="12818" width="8.73046875" style="147" customWidth="1"/>
    <col min="12819" max="12819" width="13.3984375" style="147" customWidth="1"/>
    <col min="12820" max="12822" width="10.73046875" style="147" customWidth="1"/>
    <col min="12823" max="12823" width="12.1328125" style="147" customWidth="1"/>
    <col min="12824" max="12824" width="14" style="147" customWidth="1"/>
    <col min="12825" max="12825" width="11.3984375" style="147" customWidth="1"/>
    <col min="12826" max="12826" width="10.73046875" style="147" customWidth="1"/>
    <col min="12827" max="13060" width="9.1328125" style="147"/>
    <col min="13061" max="13061" width="11.59765625" style="147" customWidth="1"/>
    <col min="13062" max="13062" width="11.73046875" style="147" customWidth="1"/>
    <col min="13063" max="13063" width="9.265625" style="147" customWidth="1"/>
    <col min="13064" max="13064" width="9" style="147" customWidth="1"/>
    <col min="13065" max="13065" width="10.265625" style="147" customWidth="1"/>
    <col min="13066" max="13067" width="8.1328125" style="147" customWidth="1"/>
    <col min="13068" max="13069" width="8.265625" style="147" customWidth="1"/>
    <col min="13070" max="13070" width="10.59765625" style="147" customWidth="1"/>
    <col min="13071" max="13071" width="12.73046875" style="147" customWidth="1"/>
    <col min="13072" max="13072" width="9.3984375" style="147" customWidth="1"/>
    <col min="13073" max="13073" width="7.59765625" style="147" customWidth="1"/>
    <col min="13074" max="13074" width="8.73046875" style="147" customWidth="1"/>
    <col min="13075" max="13075" width="13.3984375" style="147" customWidth="1"/>
    <col min="13076" max="13078" width="10.73046875" style="147" customWidth="1"/>
    <col min="13079" max="13079" width="12.1328125" style="147" customWidth="1"/>
    <col min="13080" max="13080" width="14" style="147" customWidth="1"/>
    <col min="13081" max="13081" width="11.3984375" style="147" customWidth="1"/>
    <col min="13082" max="13082" width="10.73046875" style="147" customWidth="1"/>
    <col min="13083" max="13316" width="9.1328125" style="147"/>
    <col min="13317" max="13317" width="11.59765625" style="147" customWidth="1"/>
    <col min="13318" max="13318" width="11.73046875" style="147" customWidth="1"/>
    <col min="13319" max="13319" width="9.265625" style="147" customWidth="1"/>
    <col min="13320" max="13320" width="9" style="147" customWidth="1"/>
    <col min="13321" max="13321" width="10.265625" style="147" customWidth="1"/>
    <col min="13322" max="13323" width="8.1328125" style="147" customWidth="1"/>
    <col min="13324" max="13325" width="8.265625" style="147" customWidth="1"/>
    <col min="13326" max="13326" width="10.59765625" style="147" customWidth="1"/>
    <col min="13327" max="13327" width="12.73046875" style="147" customWidth="1"/>
    <col min="13328" max="13328" width="9.3984375" style="147" customWidth="1"/>
    <col min="13329" max="13329" width="7.59765625" style="147" customWidth="1"/>
    <col min="13330" max="13330" width="8.73046875" style="147" customWidth="1"/>
    <col min="13331" max="13331" width="13.3984375" style="147" customWidth="1"/>
    <col min="13332" max="13334" width="10.73046875" style="147" customWidth="1"/>
    <col min="13335" max="13335" width="12.1328125" style="147" customWidth="1"/>
    <col min="13336" max="13336" width="14" style="147" customWidth="1"/>
    <col min="13337" max="13337" width="11.3984375" style="147" customWidth="1"/>
    <col min="13338" max="13338" width="10.73046875" style="147" customWidth="1"/>
    <col min="13339" max="13572" width="9.1328125" style="147"/>
    <col min="13573" max="13573" width="11.59765625" style="147" customWidth="1"/>
    <col min="13574" max="13574" width="11.73046875" style="147" customWidth="1"/>
    <col min="13575" max="13575" width="9.265625" style="147" customWidth="1"/>
    <col min="13576" max="13576" width="9" style="147" customWidth="1"/>
    <col min="13577" max="13577" width="10.265625" style="147" customWidth="1"/>
    <col min="13578" max="13579" width="8.1328125" style="147" customWidth="1"/>
    <col min="13580" max="13581" width="8.265625" style="147" customWidth="1"/>
    <col min="13582" max="13582" width="10.59765625" style="147" customWidth="1"/>
    <col min="13583" max="13583" width="12.73046875" style="147" customWidth="1"/>
    <col min="13584" max="13584" width="9.3984375" style="147" customWidth="1"/>
    <col min="13585" max="13585" width="7.59765625" style="147" customWidth="1"/>
    <col min="13586" max="13586" width="8.73046875" style="147" customWidth="1"/>
    <col min="13587" max="13587" width="13.3984375" style="147" customWidth="1"/>
    <col min="13588" max="13590" width="10.73046875" style="147" customWidth="1"/>
    <col min="13591" max="13591" width="12.1328125" style="147" customWidth="1"/>
    <col min="13592" max="13592" width="14" style="147" customWidth="1"/>
    <col min="13593" max="13593" width="11.3984375" style="147" customWidth="1"/>
    <col min="13594" max="13594" width="10.73046875" style="147" customWidth="1"/>
    <col min="13595" max="13828" width="9.1328125" style="147"/>
    <col min="13829" max="13829" width="11.59765625" style="147" customWidth="1"/>
    <col min="13830" max="13830" width="11.73046875" style="147" customWidth="1"/>
    <col min="13831" max="13831" width="9.265625" style="147" customWidth="1"/>
    <col min="13832" max="13832" width="9" style="147" customWidth="1"/>
    <col min="13833" max="13833" width="10.265625" style="147" customWidth="1"/>
    <col min="13834" max="13835" width="8.1328125" style="147" customWidth="1"/>
    <col min="13836" max="13837" width="8.265625" style="147" customWidth="1"/>
    <col min="13838" max="13838" width="10.59765625" style="147" customWidth="1"/>
    <col min="13839" max="13839" width="12.73046875" style="147" customWidth="1"/>
    <col min="13840" max="13840" width="9.3984375" style="147" customWidth="1"/>
    <col min="13841" max="13841" width="7.59765625" style="147" customWidth="1"/>
    <col min="13842" max="13842" width="8.73046875" style="147" customWidth="1"/>
    <col min="13843" max="13843" width="13.3984375" style="147" customWidth="1"/>
    <col min="13844" max="13846" width="10.73046875" style="147" customWidth="1"/>
    <col min="13847" max="13847" width="12.1328125" style="147" customWidth="1"/>
    <col min="13848" max="13848" width="14" style="147" customWidth="1"/>
    <col min="13849" max="13849" width="11.3984375" style="147" customWidth="1"/>
    <col min="13850" max="13850" width="10.73046875" style="147" customWidth="1"/>
    <col min="13851" max="14084" width="9.1328125" style="147"/>
    <col min="14085" max="14085" width="11.59765625" style="147" customWidth="1"/>
    <col min="14086" max="14086" width="11.73046875" style="147" customWidth="1"/>
    <col min="14087" max="14087" width="9.265625" style="147" customWidth="1"/>
    <col min="14088" max="14088" width="9" style="147" customWidth="1"/>
    <col min="14089" max="14089" width="10.265625" style="147" customWidth="1"/>
    <col min="14090" max="14091" width="8.1328125" style="147" customWidth="1"/>
    <col min="14092" max="14093" width="8.265625" style="147" customWidth="1"/>
    <col min="14094" max="14094" width="10.59765625" style="147" customWidth="1"/>
    <col min="14095" max="14095" width="12.73046875" style="147" customWidth="1"/>
    <col min="14096" max="14096" width="9.3984375" style="147" customWidth="1"/>
    <col min="14097" max="14097" width="7.59765625" style="147" customWidth="1"/>
    <col min="14098" max="14098" width="8.73046875" style="147" customWidth="1"/>
    <col min="14099" max="14099" width="13.3984375" style="147" customWidth="1"/>
    <col min="14100" max="14102" width="10.73046875" style="147" customWidth="1"/>
    <col min="14103" max="14103" width="12.1328125" style="147" customWidth="1"/>
    <col min="14104" max="14104" width="14" style="147" customWidth="1"/>
    <col min="14105" max="14105" width="11.3984375" style="147" customWidth="1"/>
    <col min="14106" max="14106" width="10.73046875" style="147" customWidth="1"/>
    <col min="14107" max="14340" width="9.1328125" style="147"/>
    <col min="14341" max="14341" width="11.59765625" style="147" customWidth="1"/>
    <col min="14342" max="14342" width="11.73046875" style="147" customWidth="1"/>
    <col min="14343" max="14343" width="9.265625" style="147" customWidth="1"/>
    <col min="14344" max="14344" width="9" style="147" customWidth="1"/>
    <col min="14345" max="14345" width="10.265625" style="147" customWidth="1"/>
    <col min="14346" max="14347" width="8.1328125" style="147" customWidth="1"/>
    <col min="14348" max="14349" width="8.265625" style="147" customWidth="1"/>
    <col min="14350" max="14350" width="10.59765625" style="147" customWidth="1"/>
    <col min="14351" max="14351" width="12.73046875" style="147" customWidth="1"/>
    <col min="14352" max="14352" width="9.3984375" style="147" customWidth="1"/>
    <col min="14353" max="14353" width="7.59765625" style="147" customWidth="1"/>
    <col min="14354" max="14354" width="8.73046875" style="147" customWidth="1"/>
    <col min="14355" max="14355" width="13.3984375" style="147" customWidth="1"/>
    <col min="14356" max="14358" width="10.73046875" style="147" customWidth="1"/>
    <col min="14359" max="14359" width="12.1328125" style="147" customWidth="1"/>
    <col min="14360" max="14360" width="14" style="147" customWidth="1"/>
    <col min="14361" max="14361" width="11.3984375" style="147" customWidth="1"/>
    <col min="14362" max="14362" width="10.73046875" style="147" customWidth="1"/>
    <col min="14363" max="14596" width="9.1328125" style="147"/>
    <col min="14597" max="14597" width="11.59765625" style="147" customWidth="1"/>
    <col min="14598" max="14598" width="11.73046875" style="147" customWidth="1"/>
    <col min="14599" max="14599" width="9.265625" style="147" customWidth="1"/>
    <col min="14600" max="14600" width="9" style="147" customWidth="1"/>
    <col min="14601" max="14601" width="10.265625" style="147" customWidth="1"/>
    <col min="14602" max="14603" width="8.1328125" style="147" customWidth="1"/>
    <col min="14604" max="14605" width="8.265625" style="147" customWidth="1"/>
    <col min="14606" max="14606" width="10.59765625" style="147" customWidth="1"/>
    <col min="14607" max="14607" width="12.73046875" style="147" customWidth="1"/>
    <col min="14608" max="14608" width="9.3984375" style="147" customWidth="1"/>
    <col min="14609" max="14609" width="7.59765625" style="147" customWidth="1"/>
    <col min="14610" max="14610" width="8.73046875" style="147" customWidth="1"/>
    <col min="14611" max="14611" width="13.3984375" style="147" customWidth="1"/>
    <col min="14612" max="14614" width="10.73046875" style="147" customWidth="1"/>
    <col min="14615" max="14615" width="12.1328125" style="147" customWidth="1"/>
    <col min="14616" max="14616" width="14" style="147" customWidth="1"/>
    <col min="14617" max="14617" width="11.3984375" style="147" customWidth="1"/>
    <col min="14618" max="14618" width="10.73046875" style="147" customWidth="1"/>
    <col min="14619" max="14852" width="9.1328125" style="147"/>
    <col min="14853" max="14853" width="11.59765625" style="147" customWidth="1"/>
    <col min="14854" max="14854" width="11.73046875" style="147" customWidth="1"/>
    <col min="14855" max="14855" width="9.265625" style="147" customWidth="1"/>
    <col min="14856" max="14856" width="9" style="147" customWidth="1"/>
    <col min="14857" max="14857" width="10.265625" style="147" customWidth="1"/>
    <col min="14858" max="14859" width="8.1328125" style="147" customWidth="1"/>
    <col min="14860" max="14861" width="8.265625" style="147" customWidth="1"/>
    <col min="14862" max="14862" width="10.59765625" style="147" customWidth="1"/>
    <col min="14863" max="14863" width="12.73046875" style="147" customWidth="1"/>
    <col min="14864" max="14864" width="9.3984375" style="147" customWidth="1"/>
    <col min="14865" max="14865" width="7.59765625" style="147" customWidth="1"/>
    <col min="14866" max="14866" width="8.73046875" style="147" customWidth="1"/>
    <col min="14867" max="14867" width="13.3984375" style="147" customWidth="1"/>
    <col min="14868" max="14870" width="10.73046875" style="147" customWidth="1"/>
    <col min="14871" max="14871" width="12.1328125" style="147" customWidth="1"/>
    <col min="14872" max="14872" width="14" style="147" customWidth="1"/>
    <col min="14873" max="14873" width="11.3984375" style="147" customWidth="1"/>
    <col min="14874" max="14874" width="10.73046875" style="147" customWidth="1"/>
    <col min="14875" max="15108" width="9.1328125" style="147"/>
    <col min="15109" max="15109" width="11.59765625" style="147" customWidth="1"/>
    <col min="15110" max="15110" width="11.73046875" style="147" customWidth="1"/>
    <col min="15111" max="15111" width="9.265625" style="147" customWidth="1"/>
    <col min="15112" max="15112" width="9" style="147" customWidth="1"/>
    <col min="15113" max="15113" width="10.265625" style="147" customWidth="1"/>
    <col min="15114" max="15115" width="8.1328125" style="147" customWidth="1"/>
    <col min="15116" max="15117" width="8.265625" style="147" customWidth="1"/>
    <col min="15118" max="15118" width="10.59765625" style="147" customWidth="1"/>
    <col min="15119" max="15119" width="12.73046875" style="147" customWidth="1"/>
    <col min="15120" max="15120" width="9.3984375" style="147" customWidth="1"/>
    <col min="15121" max="15121" width="7.59765625" style="147" customWidth="1"/>
    <col min="15122" max="15122" width="8.73046875" style="147" customWidth="1"/>
    <col min="15123" max="15123" width="13.3984375" style="147" customWidth="1"/>
    <col min="15124" max="15126" width="10.73046875" style="147" customWidth="1"/>
    <col min="15127" max="15127" width="12.1328125" style="147" customWidth="1"/>
    <col min="15128" max="15128" width="14" style="147" customWidth="1"/>
    <col min="15129" max="15129" width="11.3984375" style="147" customWidth="1"/>
    <col min="15130" max="15130" width="10.73046875" style="147" customWidth="1"/>
    <col min="15131" max="15364" width="9.1328125" style="147"/>
    <col min="15365" max="15365" width="11.59765625" style="147" customWidth="1"/>
    <col min="15366" max="15366" width="11.73046875" style="147" customWidth="1"/>
    <col min="15367" max="15367" width="9.265625" style="147" customWidth="1"/>
    <col min="15368" max="15368" width="9" style="147" customWidth="1"/>
    <col min="15369" max="15369" width="10.265625" style="147" customWidth="1"/>
    <col min="15370" max="15371" width="8.1328125" style="147" customWidth="1"/>
    <col min="15372" max="15373" width="8.265625" style="147" customWidth="1"/>
    <col min="15374" max="15374" width="10.59765625" style="147" customWidth="1"/>
    <col min="15375" max="15375" width="12.73046875" style="147" customWidth="1"/>
    <col min="15376" max="15376" width="9.3984375" style="147" customWidth="1"/>
    <col min="15377" max="15377" width="7.59765625" style="147" customWidth="1"/>
    <col min="15378" max="15378" width="8.73046875" style="147" customWidth="1"/>
    <col min="15379" max="15379" width="13.3984375" style="147" customWidth="1"/>
    <col min="15380" max="15382" width="10.73046875" style="147" customWidth="1"/>
    <col min="15383" max="15383" width="12.1328125" style="147" customWidth="1"/>
    <col min="15384" max="15384" width="14" style="147" customWidth="1"/>
    <col min="15385" max="15385" width="11.3984375" style="147" customWidth="1"/>
    <col min="15386" max="15386" width="10.73046875" style="147" customWidth="1"/>
    <col min="15387" max="15620" width="9.1328125" style="147"/>
    <col min="15621" max="15621" width="11.59765625" style="147" customWidth="1"/>
    <col min="15622" max="15622" width="11.73046875" style="147" customWidth="1"/>
    <col min="15623" max="15623" width="9.265625" style="147" customWidth="1"/>
    <col min="15624" max="15624" width="9" style="147" customWidth="1"/>
    <col min="15625" max="15625" width="10.265625" style="147" customWidth="1"/>
    <col min="15626" max="15627" width="8.1328125" style="147" customWidth="1"/>
    <col min="15628" max="15629" width="8.265625" style="147" customWidth="1"/>
    <col min="15630" max="15630" width="10.59765625" style="147" customWidth="1"/>
    <col min="15631" max="15631" width="12.73046875" style="147" customWidth="1"/>
    <col min="15632" max="15632" width="9.3984375" style="147" customWidth="1"/>
    <col min="15633" max="15633" width="7.59765625" style="147" customWidth="1"/>
    <col min="15634" max="15634" width="8.73046875" style="147" customWidth="1"/>
    <col min="15635" max="15635" width="13.3984375" style="147" customWidth="1"/>
    <col min="15636" max="15638" width="10.73046875" style="147" customWidth="1"/>
    <col min="15639" max="15639" width="12.1328125" style="147" customWidth="1"/>
    <col min="15640" max="15640" width="14" style="147" customWidth="1"/>
    <col min="15641" max="15641" width="11.3984375" style="147" customWidth="1"/>
    <col min="15642" max="15642" width="10.73046875" style="147" customWidth="1"/>
    <col min="15643" max="15876" width="9.1328125" style="147"/>
    <col min="15877" max="15877" width="11.59765625" style="147" customWidth="1"/>
    <col min="15878" max="15878" width="11.73046875" style="147" customWidth="1"/>
    <col min="15879" max="15879" width="9.265625" style="147" customWidth="1"/>
    <col min="15880" max="15880" width="9" style="147" customWidth="1"/>
    <col min="15881" max="15881" width="10.265625" style="147" customWidth="1"/>
    <col min="15882" max="15883" width="8.1328125" style="147" customWidth="1"/>
    <col min="15884" max="15885" width="8.265625" style="147" customWidth="1"/>
    <col min="15886" max="15886" width="10.59765625" style="147" customWidth="1"/>
    <col min="15887" max="15887" width="12.73046875" style="147" customWidth="1"/>
    <col min="15888" max="15888" width="9.3984375" style="147" customWidth="1"/>
    <col min="15889" max="15889" width="7.59765625" style="147" customWidth="1"/>
    <col min="15890" max="15890" width="8.73046875" style="147" customWidth="1"/>
    <col min="15891" max="15891" width="13.3984375" style="147" customWidth="1"/>
    <col min="15892" max="15894" width="10.73046875" style="147" customWidth="1"/>
    <col min="15895" max="15895" width="12.1328125" style="147" customWidth="1"/>
    <col min="15896" max="15896" width="14" style="147" customWidth="1"/>
    <col min="15897" max="15897" width="11.3984375" style="147" customWidth="1"/>
    <col min="15898" max="15898" width="10.73046875" style="147" customWidth="1"/>
    <col min="15899" max="16132" width="9.1328125" style="147"/>
    <col min="16133" max="16133" width="11.59765625" style="147" customWidth="1"/>
    <col min="16134" max="16134" width="11.73046875" style="147" customWidth="1"/>
    <col min="16135" max="16135" width="9.265625" style="147" customWidth="1"/>
    <col min="16136" max="16136" width="9" style="147" customWidth="1"/>
    <col min="16137" max="16137" width="10.265625" style="147" customWidth="1"/>
    <col min="16138" max="16139" width="8.1328125" style="147" customWidth="1"/>
    <col min="16140" max="16141" width="8.265625" style="147" customWidth="1"/>
    <col min="16142" max="16142" width="10.59765625" style="147" customWidth="1"/>
    <col min="16143" max="16143" width="12.73046875" style="147" customWidth="1"/>
    <col min="16144" max="16144" width="9.3984375" style="147" customWidth="1"/>
    <col min="16145" max="16145" width="7.59765625" style="147" customWidth="1"/>
    <col min="16146" max="16146" width="8.73046875" style="147" customWidth="1"/>
    <col min="16147" max="16147" width="13.3984375" style="147" customWidth="1"/>
    <col min="16148" max="16150" width="10.73046875" style="147" customWidth="1"/>
    <col min="16151" max="16151" width="12.1328125" style="147" customWidth="1"/>
    <col min="16152" max="16152" width="14" style="147" customWidth="1"/>
    <col min="16153" max="16153" width="11.3984375" style="147" customWidth="1"/>
    <col min="16154" max="16154" width="10.73046875" style="147" customWidth="1"/>
    <col min="16155" max="16384" width="9.1328125" style="147"/>
  </cols>
  <sheetData>
    <row r="1" spans="1:51" ht="21" hidden="1" thickBot="1">
      <c r="A1" s="232" t="s">
        <v>306</v>
      </c>
      <c r="B1" s="233"/>
      <c r="C1" s="144"/>
      <c r="D1" s="144"/>
      <c r="E1" s="144"/>
      <c r="F1" s="145"/>
      <c r="G1" s="145"/>
      <c r="H1" s="144"/>
      <c r="I1" s="144"/>
      <c r="J1" s="144"/>
      <c r="K1" s="144"/>
      <c r="L1" s="144"/>
      <c r="M1" s="144"/>
      <c r="N1" s="144"/>
      <c r="O1" s="144"/>
      <c r="P1" s="144"/>
      <c r="Q1" s="240"/>
      <c r="R1" s="240"/>
      <c r="S1" s="240"/>
      <c r="T1" s="144"/>
      <c r="U1" s="144"/>
      <c r="V1" s="144"/>
      <c r="W1" s="144"/>
      <c r="X1" s="144"/>
      <c r="Y1" s="144"/>
      <c r="Z1" s="144"/>
      <c r="AA1" s="146"/>
    </row>
    <row r="2" spans="1:51" ht="15.4" hidden="1" thickBot="1">
      <c r="B2" s="233"/>
      <c r="W2" s="147" t="s">
        <v>307</v>
      </c>
      <c r="X2" s="149" t="s">
        <v>308</v>
      </c>
    </row>
    <row r="3" spans="1:51" ht="25.5" hidden="1" thickBot="1">
      <c r="A3" s="234" t="s">
        <v>309</v>
      </c>
      <c r="C3" s="144"/>
      <c r="D3" s="144"/>
      <c r="E3" s="144"/>
      <c r="F3" s="145"/>
      <c r="G3" s="145"/>
      <c r="H3" s="144"/>
      <c r="I3" s="144"/>
      <c r="J3" s="144"/>
      <c r="K3" s="144"/>
      <c r="L3" s="144"/>
      <c r="M3" s="144"/>
      <c r="N3" s="144"/>
      <c r="O3" s="144"/>
      <c r="P3" s="144"/>
      <c r="Q3" s="240"/>
      <c r="R3" s="240"/>
      <c r="S3" s="240"/>
      <c r="T3" s="144"/>
      <c r="U3" s="144"/>
      <c r="V3" s="144"/>
      <c r="W3" s="144"/>
      <c r="X3" s="144"/>
      <c r="Y3" s="144"/>
      <c r="Z3" s="144"/>
    </row>
    <row r="4" spans="1:51" ht="24.95" hidden="1" customHeight="1">
      <c r="A4" s="236"/>
      <c r="C4" s="144"/>
      <c r="D4" s="144"/>
      <c r="E4" s="144"/>
      <c r="F4" s="145"/>
      <c r="G4" s="145"/>
      <c r="H4" s="144"/>
      <c r="I4" s="144"/>
      <c r="J4" s="144"/>
      <c r="K4" s="144"/>
      <c r="L4" s="144"/>
      <c r="M4" s="144"/>
      <c r="N4" s="144"/>
      <c r="O4" s="150"/>
      <c r="P4" s="150"/>
      <c r="Q4" s="241"/>
      <c r="R4" s="241"/>
      <c r="S4" s="241"/>
      <c r="T4" s="150"/>
      <c r="U4" s="150"/>
      <c r="V4" s="150"/>
      <c r="W4" s="150"/>
      <c r="X4" s="150"/>
      <c r="Y4" s="150"/>
      <c r="Z4" s="144"/>
    </row>
    <row r="5" spans="1:51" ht="14.25" hidden="1" thickBot="1">
      <c r="A5" s="237" t="s">
        <v>310</v>
      </c>
      <c r="E5" s="151"/>
      <c r="I5" s="152" t="s">
        <v>311</v>
      </c>
      <c r="J5" s="153"/>
      <c r="O5" s="150"/>
      <c r="P5" s="150"/>
      <c r="Q5" s="241"/>
      <c r="R5" s="241"/>
      <c r="S5" s="241"/>
      <c r="T5" s="150"/>
      <c r="U5" s="150"/>
      <c r="V5" s="150"/>
      <c r="W5" s="150"/>
      <c r="X5" s="150"/>
      <c r="Y5" s="150"/>
    </row>
    <row r="6" spans="1:51" ht="14.25" hidden="1" thickBot="1">
      <c r="A6" s="237" t="s">
        <v>312</v>
      </c>
      <c r="B6" s="238"/>
      <c r="E6" s="151"/>
      <c r="I6" s="152" t="s">
        <v>313</v>
      </c>
      <c r="J6" s="438"/>
      <c r="K6" s="438"/>
      <c r="L6" s="438"/>
      <c r="M6" s="438"/>
      <c r="N6" s="438"/>
      <c r="O6" s="438"/>
    </row>
    <row r="7" spans="1:51" ht="13.15" hidden="1" thickBot="1">
      <c r="J7" s="438"/>
      <c r="K7" s="438"/>
      <c r="L7" s="438"/>
      <c r="M7" s="438"/>
      <c r="N7" s="438"/>
      <c r="O7" s="438"/>
    </row>
    <row r="8" spans="1:51" s="154" customFormat="1" ht="15">
      <c r="A8" s="230" t="s">
        <v>314</v>
      </c>
      <c r="B8" s="231"/>
      <c r="C8" s="187" t="s">
        <v>315</v>
      </c>
      <c r="D8" s="189"/>
      <c r="E8" s="189"/>
      <c r="F8" s="190"/>
      <c r="G8" s="191"/>
      <c r="H8" s="187" t="s">
        <v>545</v>
      </c>
      <c r="I8" s="189"/>
      <c r="J8" s="189"/>
      <c r="K8" s="189"/>
      <c r="L8" s="188"/>
      <c r="M8" s="187" t="s">
        <v>317</v>
      </c>
      <c r="N8" s="189"/>
      <c r="O8" s="189"/>
      <c r="P8" s="189"/>
      <c r="Q8" s="242"/>
      <c r="R8" s="242"/>
      <c r="S8" s="242"/>
      <c r="T8" s="189"/>
      <c r="U8" s="189"/>
      <c r="V8" s="189"/>
      <c r="W8" s="189"/>
      <c r="X8" s="188"/>
      <c r="Y8" s="439" t="s">
        <v>318</v>
      </c>
      <c r="Z8" s="440"/>
    </row>
    <row r="9" spans="1:51" s="154" customFormat="1" ht="24.95" customHeight="1">
      <c r="A9" s="192"/>
      <c r="B9" s="193"/>
      <c r="C9" s="192"/>
      <c r="D9" s="194"/>
      <c r="E9" s="194"/>
      <c r="F9" s="195"/>
      <c r="G9" s="196"/>
      <c r="H9" s="192"/>
      <c r="I9" s="194"/>
      <c r="J9" s="194" t="s">
        <v>319</v>
      </c>
      <c r="K9" s="194" t="s">
        <v>320</v>
      </c>
      <c r="L9" s="193"/>
      <c r="M9" s="192"/>
      <c r="N9" s="194"/>
      <c r="O9" s="194"/>
      <c r="P9" s="194"/>
      <c r="Q9" s="243"/>
      <c r="R9" s="243"/>
      <c r="S9" s="243"/>
      <c r="T9" s="194"/>
      <c r="U9" s="194"/>
      <c r="V9" s="194"/>
      <c r="W9" s="194"/>
      <c r="X9" s="193"/>
      <c r="Y9" s="192"/>
      <c r="Z9" s="193"/>
    </row>
    <row r="10" spans="1:51" s="154" customFormat="1" ht="24.95" customHeight="1">
      <c r="A10" s="197"/>
      <c r="B10" s="198"/>
      <c r="C10" s="197" t="s">
        <v>79</v>
      </c>
      <c r="D10" s="199" t="s">
        <v>321</v>
      </c>
      <c r="E10" s="199" t="s">
        <v>79</v>
      </c>
      <c r="F10" s="200"/>
      <c r="G10" s="201" t="s">
        <v>322</v>
      </c>
      <c r="H10" s="197"/>
      <c r="I10" s="199"/>
      <c r="J10" s="199" t="s">
        <v>323</v>
      </c>
      <c r="K10" s="199" t="s">
        <v>324</v>
      </c>
      <c r="L10" s="198"/>
      <c r="M10" s="197"/>
      <c r="N10" s="199"/>
      <c r="O10" s="202" t="s">
        <v>325</v>
      </c>
      <c r="P10" s="202" t="s">
        <v>326</v>
      </c>
      <c r="Q10" s="244"/>
      <c r="R10" s="244"/>
      <c r="S10" s="244"/>
      <c r="T10" s="202" t="s">
        <v>327</v>
      </c>
      <c r="U10" s="199" t="s">
        <v>328</v>
      </c>
      <c r="V10" s="199" t="s">
        <v>176</v>
      </c>
      <c r="W10" s="199" t="s">
        <v>329</v>
      </c>
      <c r="X10" s="198" t="s">
        <v>330</v>
      </c>
      <c r="Y10" s="197" t="s">
        <v>331</v>
      </c>
      <c r="Z10" s="198" t="s">
        <v>86</v>
      </c>
      <c r="AB10" s="155"/>
    </row>
    <row r="11" spans="1:51" s="154" customFormat="1" ht="25.9" thickBot="1">
      <c r="A11" s="197" t="s">
        <v>0</v>
      </c>
      <c r="B11" s="198" t="s">
        <v>8</v>
      </c>
      <c r="C11" s="197" t="s">
        <v>21</v>
      </c>
      <c r="D11" s="199" t="s">
        <v>21</v>
      </c>
      <c r="E11" s="199" t="s">
        <v>3</v>
      </c>
      <c r="F11" s="203" t="s">
        <v>332</v>
      </c>
      <c r="G11" s="204" t="s">
        <v>332</v>
      </c>
      <c r="H11" s="205" t="s">
        <v>333</v>
      </c>
      <c r="I11" s="206" t="s">
        <v>334</v>
      </c>
      <c r="J11" s="199" t="s">
        <v>335</v>
      </c>
      <c r="K11" s="199" t="s">
        <v>336</v>
      </c>
      <c r="L11" s="198" t="s">
        <v>45</v>
      </c>
      <c r="M11" s="207" t="s">
        <v>156</v>
      </c>
      <c r="N11" s="202" t="s">
        <v>337</v>
      </c>
      <c r="O11" s="202" t="s">
        <v>338</v>
      </c>
      <c r="P11" s="202" t="s">
        <v>339</v>
      </c>
      <c r="Q11" s="247" t="s">
        <v>398</v>
      </c>
      <c r="R11" s="247" t="s">
        <v>399</v>
      </c>
      <c r="S11" s="244" t="s">
        <v>35</v>
      </c>
      <c r="T11" s="202" t="s">
        <v>48</v>
      </c>
      <c r="U11" s="199" t="s">
        <v>340</v>
      </c>
      <c r="V11" s="199" t="s">
        <v>400</v>
      </c>
      <c r="W11" s="199" t="s">
        <v>317</v>
      </c>
      <c r="X11" s="198" t="s">
        <v>169</v>
      </c>
      <c r="Y11" s="197" t="s">
        <v>43</v>
      </c>
      <c r="Z11" s="198" t="s">
        <v>6</v>
      </c>
      <c r="AB11" s="155"/>
      <c r="AC11" s="156"/>
      <c r="AD11" s="156"/>
      <c r="AE11" s="156"/>
      <c r="AF11" s="156"/>
      <c r="AG11" s="156"/>
      <c r="AH11" s="156"/>
      <c r="AI11" s="156"/>
    </row>
    <row r="12" spans="1:51" s="154" customFormat="1" ht="27" thickTop="1" thickBot="1">
      <c r="A12" s="208"/>
      <c r="B12" s="209"/>
      <c r="C12" s="208" t="s">
        <v>341</v>
      </c>
      <c r="D12" s="210" t="s">
        <v>342</v>
      </c>
      <c r="E12" s="210" t="s">
        <v>343</v>
      </c>
      <c r="F12" s="211"/>
      <c r="G12" s="212"/>
      <c r="H12" s="208"/>
      <c r="I12" s="210"/>
      <c r="J12" s="210" t="s">
        <v>81</v>
      </c>
      <c r="K12" s="210" t="s">
        <v>82</v>
      </c>
      <c r="L12" s="209" t="s">
        <v>83</v>
      </c>
      <c r="M12" s="213" t="s">
        <v>344</v>
      </c>
      <c r="N12" s="210"/>
      <c r="O12" s="214" t="s">
        <v>345</v>
      </c>
      <c r="P12" s="214" t="s">
        <v>346</v>
      </c>
      <c r="Q12" s="245"/>
      <c r="R12" s="245"/>
      <c r="S12" s="245"/>
      <c r="T12" s="214" t="s">
        <v>85</v>
      </c>
      <c r="U12" s="210" t="s">
        <v>347</v>
      </c>
      <c r="V12" s="210" t="s">
        <v>347</v>
      </c>
      <c r="W12" s="210" t="s">
        <v>81</v>
      </c>
      <c r="X12" s="209" t="s">
        <v>83</v>
      </c>
      <c r="Y12" s="208" t="s">
        <v>344</v>
      </c>
      <c r="Z12" s="209"/>
      <c r="AA12" s="157" t="s">
        <v>348</v>
      </c>
      <c r="AB12" s="158" t="s">
        <v>349</v>
      </c>
      <c r="AC12" s="158" t="s">
        <v>350</v>
      </c>
      <c r="AD12" s="158" t="s">
        <v>45</v>
      </c>
      <c r="AE12" s="158" t="s">
        <v>289</v>
      </c>
      <c r="AF12" s="251" t="s">
        <v>409</v>
      </c>
      <c r="AG12" s="158" t="s">
        <v>351</v>
      </c>
      <c r="AH12" s="158" t="s">
        <v>352</v>
      </c>
      <c r="AI12" s="158" t="s">
        <v>353</v>
      </c>
      <c r="AJ12" s="158" t="s">
        <v>354</v>
      </c>
      <c r="AK12" s="158" t="s">
        <v>321</v>
      </c>
      <c r="AL12" s="158" t="s">
        <v>170</v>
      </c>
    </row>
    <row r="13" spans="1:51" s="154" customFormat="1" ht="12" customHeight="1" thickTop="1">
      <c r="A13" s="139"/>
      <c r="B13" s="140"/>
      <c r="C13" s="159"/>
      <c r="D13" s="160"/>
      <c r="E13" s="160"/>
      <c r="F13" s="161"/>
      <c r="G13" s="162"/>
      <c r="H13" s="215"/>
      <c r="I13" s="216"/>
      <c r="J13" s="217"/>
      <c r="K13" s="163"/>
      <c r="L13" s="164"/>
      <c r="M13" s="141"/>
      <c r="N13" s="142"/>
      <c r="O13" s="142"/>
      <c r="P13" s="143"/>
      <c r="Q13" s="246"/>
      <c r="R13" s="246"/>
      <c r="S13" s="246"/>
      <c r="T13" s="142"/>
      <c r="U13" s="165"/>
      <c r="V13" s="165"/>
      <c r="W13" s="165"/>
      <c r="X13" s="166"/>
      <c r="Y13" s="167"/>
      <c r="Z13" s="168"/>
      <c r="AA13" s="169"/>
      <c r="AB13" s="170"/>
      <c r="AC13" s="171"/>
      <c r="AD13" s="172"/>
      <c r="AE13" s="170"/>
      <c r="AF13" s="171"/>
      <c r="AG13" s="171"/>
      <c r="AH13" s="156"/>
      <c r="AI13" s="173"/>
      <c r="AJ13" s="156"/>
      <c r="AK13" s="171"/>
      <c r="AL13" s="171"/>
      <c r="AM13" s="174"/>
      <c r="AN13" s="175"/>
      <c r="AO13" s="174"/>
      <c r="AP13" s="174"/>
      <c r="AQ13" s="174"/>
      <c r="AR13" s="174"/>
      <c r="AS13" s="174"/>
      <c r="AT13" s="174"/>
      <c r="AU13" s="176"/>
      <c r="AV13" s="177"/>
      <c r="AW13" s="177"/>
      <c r="AX13" s="177"/>
      <c r="AY13" s="177"/>
    </row>
    <row r="14" spans="1:51" s="154" customFormat="1" ht="12" hidden="1" customHeight="1">
      <c r="A14" s="139" t="s">
        <v>375</v>
      </c>
      <c r="B14" s="140" t="s">
        <v>363</v>
      </c>
      <c r="C14" s="159"/>
      <c r="D14" s="225">
        <f>'Rationals-MCDOT'!V110/43560</f>
        <v>0</v>
      </c>
      <c r="E14" s="163">
        <f>'Rationals-MCDOT'!V112</f>
        <v>0</v>
      </c>
      <c r="F14" s="178">
        <f>D14*E14</f>
        <v>0</v>
      </c>
      <c r="G14" s="162"/>
      <c r="H14" s="228">
        <f>D14</f>
        <v>0</v>
      </c>
      <c r="I14" s="216">
        <f>F14</f>
        <v>0</v>
      </c>
      <c r="J14" s="217">
        <f>'Rationals-MCDOT'!T118</f>
        <v>0</v>
      </c>
      <c r="K14" s="163" t="e">
        <f>VLOOKUP(ROUND(J14,1),'SHA Intensity'!$B$3:$D$163,3,TRUE)</f>
        <v>#N/A</v>
      </c>
      <c r="L14" s="180" t="e">
        <f>K14*F14</f>
        <v>#N/A</v>
      </c>
      <c r="M14" s="141">
        <v>36</v>
      </c>
      <c r="N14" s="322" t="s">
        <v>202</v>
      </c>
      <c r="O14" s="142">
        <v>1.2999999999999999E-2</v>
      </c>
      <c r="P14" s="143">
        <f>(Q14-R14)/T14</f>
        <v>1.9918032786885302E-2</v>
      </c>
      <c r="Q14" s="246">
        <v>316.20999999999998</v>
      </c>
      <c r="R14" s="246">
        <v>313.77999999999997</v>
      </c>
      <c r="S14" s="246">
        <v>322.54000000000002</v>
      </c>
      <c r="T14" s="142">
        <v>122</v>
      </c>
      <c r="U14" s="181" t="e">
        <f>AL14</f>
        <v>#N/A</v>
      </c>
      <c r="V14" s="181">
        <f>X14*576/(3.14159*M14^2)</f>
        <v>13.352838516584931</v>
      </c>
      <c r="W14" s="181" t="e">
        <f>T14/U14/(60)</f>
        <v>#N/A</v>
      </c>
      <c r="X14" s="182">
        <f>PI()*(((M14/2)/12)^2*(1.49/O14)*(M14/48)^0.66667*(P14^0.5))</f>
        <v>94.385573899465612</v>
      </c>
      <c r="Y14" s="183" t="e">
        <f>AI14*12</f>
        <v>#N/A</v>
      </c>
      <c r="Z14" s="184" t="e">
        <f>L14/X14</f>
        <v>#N/A</v>
      </c>
      <c r="AA14" s="169"/>
      <c r="AB14" s="170">
        <f t="shared" ref="AB14:AC20" si="0">O14</f>
        <v>1.2999999999999999E-2</v>
      </c>
      <c r="AC14" s="171">
        <f t="shared" si="0"/>
        <v>1.9918032786885302E-2</v>
      </c>
      <c r="AD14" s="172" t="e">
        <f t="shared" ref="AD14:AE20" si="1">L14</f>
        <v>#N/A</v>
      </c>
      <c r="AE14" s="170">
        <f t="shared" si="1"/>
        <v>36</v>
      </c>
      <c r="AF14" s="171"/>
      <c r="AG14" s="171" t="e">
        <f t="shared" ref="AG14:AG20" si="2">((AD14*AB14)/(1.49*(AC14)^0.5))/(AE14/12)^2.66666667</f>
        <v>#N/A</v>
      </c>
      <c r="AH14" s="156" t="e">
        <f>VLOOKUP(AG14,TABLES!$A$2:$D$101,2)</f>
        <v>#N/A</v>
      </c>
      <c r="AI14" s="173" t="e">
        <f t="shared" ref="AI14:AI20" si="3">AH14*AE14/12</f>
        <v>#N/A</v>
      </c>
      <c r="AJ14" s="156" t="e">
        <f>VLOOKUP(AG14,TABLES!$A$2:$D$101,3)</f>
        <v>#N/A</v>
      </c>
      <c r="AK14" s="171" t="e">
        <f>AJ14*(AE14/12)^2</f>
        <v>#N/A</v>
      </c>
      <c r="AL14" s="171" t="e">
        <f t="shared" ref="AL14:AL20" si="4">AD14/AK14</f>
        <v>#N/A</v>
      </c>
      <c r="AM14" s="174"/>
      <c r="AN14" s="175"/>
      <c r="AO14" s="174"/>
      <c r="AP14" s="174"/>
      <c r="AQ14" s="174"/>
      <c r="AR14" s="174"/>
      <c r="AS14" s="174"/>
      <c r="AT14" s="174"/>
      <c r="AU14" s="176"/>
      <c r="AV14" s="177"/>
      <c r="AW14" s="177"/>
      <c r="AX14" s="177"/>
      <c r="AY14" s="177"/>
    </row>
    <row r="15" spans="1:51" s="154" customFormat="1" ht="12" hidden="1" customHeight="1">
      <c r="A15" s="328" t="s">
        <v>374</v>
      </c>
      <c r="B15" s="329" t="s">
        <v>363</v>
      </c>
      <c r="C15" s="159"/>
      <c r="D15" s="226">
        <f>'Rationals-MCDOT'!M110/43560</f>
        <v>0</v>
      </c>
      <c r="E15" s="179">
        <f>'Rationals-MCDOT'!M112</f>
        <v>0</v>
      </c>
      <c r="F15" s="178">
        <f t="shared" ref="F15:F16" si="5">D15*E15</f>
        <v>0</v>
      </c>
      <c r="G15" s="162"/>
      <c r="H15" s="228">
        <f>D15</f>
        <v>0</v>
      </c>
      <c r="I15" s="216">
        <f>F15</f>
        <v>0</v>
      </c>
      <c r="J15" s="217">
        <f>'Rationals-MCDOT'!K118</f>
        <v>0</v>
      </c>
      <c r="K15" s="163" t="e">
        <f>VLOOKUP(ROUND(J15,1),'SHA Intensity'!$B$3:$D$163,3,TRUE)</f>
        <v>#N/A</v>
      </c>
      <c r="L15" s="180" t="e">
        <f>K15*I15</f>
        <v>#N/A</v>
      </c>
      <c r="M15" s="141">
        <v>18</v>
      </c>
      <c r="N15" s="322" t="s">
        <v>202</v>
      </c>
      <c r="O15" s="142">
        <v>1.2999999999999999E-2</v>
      </c>
      <c r="P15" s="143">
        <f t="shared" ref="P15:P20" si="6">(Q15-R15)/T15</f>
        <v>2.5238095238096645E-2</v>
      </c>
      <c r="Q15" s="246">
        <v>316.36</v>
      </c>
      <c r="R15" s="246">
        <v>315.83</v>
      </c>
      <c r="S15" s="246">
        <v>321.74</v>
      </c>
      <c r="T15" s="142">
        <v>21</v>
      </c>
      <c r="U15" s="181" t="e">
        <f>AL15</f>
        <v>#N/A</v>
      </c>
      <c r="V15" s="181">
        <f t="shared" ref="V15:V63" si="7">X15*576/(3.14159*M15^2)</f>
        <v>9.4687139264752194</v>
      </c>
      <c r="W15" s="181" t="e">
        <f>T15/U15/(60)</f>
        <v>#N/A</v>
      </c>
      <c r="X15" s="182">
        <f>PI()*(((M15/2)/12)^2*(1.49/O15)*(M15/48)^0.66667*(P15^0.5))</f>
        <v>16.732584553654846</v>
      </c>
      <c r="Y15" s="183" t="e">
        <f>AI15*12</f>
        <v>#N/A</v>
      </c>
      <c r="Z15" s="184" t="e">
        <f>L15/X15</f>
        <v>#N/A</v>
      </c>
      <c r="AA15" s="169"/>
      <c r="AB15" s="170">
        <f t="shared" si="0"/>
        <v>1.2999999999999999E-2</v>
      </c>
      <c r="AC15" s="171">
        <f t="shared" si="0"/>
        <v>2.5238095238096645E-2</v>
      </c>
      <c r="AD15" s="172" t="e">
        <f t="shared" si="1"/>
        <v>#N/A</v>
      </c>
      <c r="AE15" s="170">
        <f t="shared" si="1"/>
        <v>18</v>
      </c>
      <c r="AF15" s="171"/>
      <c r="AG15" s="171" t="e">
        <f t="shared" si="2"/>
        <v>#N/A</v>
      </c>
      <c r="AH15" s="156" t="e">
        <f>VLOOKUP(AG15,TABLES!$A$2:$D$101,2)</f>
        <v>#N/A</v>
      </c>
      <c r="AI15" s="173" t="e">
        <f t="shared" si="3"/>
        <v>#N/A</v>
      </c>
      <c r="AJ15" s="156" t="e">
        <f>VLOOKUP(AG15,TABLES!$A$2:$D$101,3)</f>
        <v>#N/A</v>
      </c>
      <c r="AK15" s="171" t="e">
        <f t="shared" ref="AK15:AK20" si="8">AJ15*(AE15/12)^2</f>
        <v>#N/A</v>
      </c>
      <c r="AL15" s="171" t="e">
        <f t="shared" si="4"/>
        <v>#N/A</v>
      </c>
      <c r="AM15" s="174"/>
      <c r="AN15" s="175"/>
      <c r="AO15" s="174"/>
      <c r="AP15" s="174"/>
      <c r="AQ15" s="174"/>
      <c r="AR15" s="174"/>
      <c r="AS15" s="174"/>
      <c r="AT15" s="174"/>
      <c r="AU15" s="176"/>
      <c r="AV15" s="177"/>
      <c r="AW15" s="177"/>
      <c r="AX15" s="177"/>
      <c r="AY15" s="177"/>
    </row>
    <row r="16" spans="1:51" s="154" customFormat="1" ht="12" hidden="1" customHeight="1">
      <c r="A16" s="328" t="s">
        <v>373</v>
      </c>
      <c r="B16" s="329" t="s">
        <v>363</v>
      </c>
      <c r="C16" s="159"/>
      <c r="D16" s="225">
        <f>'Rationals-MCDOT'!D110/43560</f>
        <v>0</v>
      </c>
      <c r="E16" s="163">
        <f>'Rationals-MCDOT'!D112</f>
        <v>0</v>
      </c>
      <c r="F16" s="178">
        <f t="shared" si="5"/>
        <v>0</v>
      </c>
      <c r="G16" s="162"/>
      <c r="H16" s="228">
        <f>D16</f>
        <v>0</v>
      </c>
      <c r="I16" s="216">
        <f>F16</f>
        <v>0</v>
      </c>
      <c r="J16" s="217">
        <f>'Rationals-MCDOT'!B118</f>
        <v>0</v>
      </c>
      <c r="K16" s="163" t="e">
        <f>VLOOKUP(ROUND(J16,1),'SHA Intensity'!$B$3:$D$163,3,TRUE)</f>
        <v>#N/A</v>
      </c>
      <c r="L16" s="180" t="e">
        <f>K16*F16</f>
        <v>#N/A</v>
      </c>
      <c r="M16" s="141">
        <v>15</v>
      </c>
      <c r="N16" s="322" t="s">
        <v>202</v>
      </c>
      <c r="O16" s="142">
        <v>1.2999999999999999E-2</v>
      </c>
      <c r="P16" s="323">
        <v>0.01</v>
      </c>
      <c r="Q16" s="324">
        <v>313.12</v>
      </c>
      <c r="R16" s="324">
        <v>313.10000000000002</v>
      </c>
      <c r="S16" s="246">
        <v>322.25</v>
      </c>
      <c r="T16" s="142">
        <v>2</v>
      </c>
      <c r="U16" s="181" t="e">
        <f>AL16</f>
        <v>#N/A</v>
      </c>
      <c r="V16" s="181">
        <f t="shared" si="7"/>
        <v>5.2780675836068784</v>
      </c>
      <c r="W16" s="181" t="e">
        <f>T16/U16/(60)</f>
        <v>#N/A</v>
      </c>
      <c r="X16" s="182">
        <f>PI()*(((M16/2)/12)^2*(1.49/O16)*(M16/48)^0.66667*(P16^0.5))</f>
        <v>6.4771579453060673</v>
      </c>
      <c r="Y16" s="183" t="e">
        <f>AI16*12</f>
        <v>#N/A</v>
      </c>
      <c r="Z16" s="184" t="e">
        <f>L16/X16</f>
        <v>#N/A</v>
      </c>
      <c r="AA16" s="169"/>
      <c r="AB16" s="170">
        <f t="shared" si="0"/>
        <v>1.2999999999999999E-2</v>
      </c>
      <c r="AC16" s="171">
        <f t="shared" si="0"/>
        <v>0.01</v>
      </c>
      <c r="AD16" s="172" t="e">
        <f t="shared" si="1"/>
        <v>#N/A</v>
      </c>
      <c r="AE16" s="170">
        <f t="shared" si="1"/>
        <v>15</v>
      </c>
      <c r="AF16" s="171"/>
      <c r="AG16" s="171" t="e">
        <f>((AD16*AB16)/(1.49*(AC16)^0.5))/(AE16/12)^2.66666667</f>
        <v>#N/A</v>
      </c>
      <c r="AH16" s="156" t="e">
        <f>VLOOKUP(AG16,TABLES!$A$2:$D$101,2)</f>
        <v>#N/A</v>
      </c>
      <c r="AI16" s="173" t="e">
        <f>AH16*AE16/12</f>
        <v>#N/A</v>
      </c>
      <c r="AJ16" s="156" t="e">
        <f>VLOOKUP(AG16,TABLES!$A$2:$D$101,3)</f>
        <v>#N/A</v>
      </c>
      <c r="AK16" s="171" t="e">
        <f>AJ16*(AE16/12)^2</f>
        <v>#N/A</v>
      </c>
      <c r="AL16" s="171" t="e">
        <f>AD16/AK16</f>
        <v>#N/A</v>
      </c>
      <c r="AM16" s="174"/>
      <c r="AN16" s="175"/>
      <c r="AO16" s="174"/>
      <c r="AP16" s="174"/>
      <c r="AQ16" s="174"/>
      <c r="AR16" s="174"/>
      <c r="AS16" s="174"/>
      <c r="AT16" s="174"/>
      <c r="AU16" s="176"/>
      <c r="AV16" s="177"/>
      <c r="AW16" s="177"/>
      <c r="AX16" s="177"/>
      <c r="AY16" s="177"/>
    </row>
    <row r="17" spans="1:51" s="154" customFormat="1" ht="12" hidden="1" customHeight="1">
      <c r="A17" s="139" t="s">
        <v>363</v>
      </c>
      <c r="B17" s="140" t="s">
        <v>361</v>
      </c>
      <c r="C17" s="159"/>
      <c r="D17" s="226" t="s">
        <v>286</v>
      </c>
      <c r="E17" s="179" t="s">
        <v>286</v>
      </c>
      <c r="F17" s="178" t="s">
        <v>286</v>
      </c>
      <c r="G17" s="162"/>
      <c r="H17" s="228">
        <f>H14+H15+H16</f>
        <v>0</v>
      </c>
      <c r="I17" s="216">
        <f>I14+I15+I16</f>
        <v>0</v>
      </c>
      <c r="J17" s="217" t="e">
        <f>J16+W16</f>
        <v>#N/A</v>
      </c>
      <c r="K17" s="163" t="e">
        <f>VLOOKUP(ROUND(J17,1),'SHA Intensity'!$B$3:$D$163,3,TRUE)</f>
        <v>#N/A</v>
      </c>
      <c r="L17" s="180" t="e">
        <f>K17*I17</f>
        <v>#N/A</v>
      </c>
      <c r="M17" s="141">
        <v>45</v>
      </c>
      <c r="N17" s="322" t="s">
        <v>202</v>
      </c>
      <c r="O17" s="142">
        <v>1.2999999999999999E-2</v>
      </c>
      <c r="P17" s="143">
        <f t="shared" si="6"/>
        <v>2.6562500000000711E-2</v>
      </c>
      <c r="Q17" s="246">
        <v>312.99</v>
      </c>
      <c r="R17" s="246">
        <v>312.14</v>
      </c>
      <c r="S17" s="246">
        <v>321.92</v>
      </c>
      <c r="T17" s="142">
        <v>32</v>
      </c>
      <c r="U17" s="181" t="e">
        <f>AL17</f>
        <v>#N/A</v>
      </c>
      <c r="V17" s="181">
        <f t="shared" si="7"/>
        <v>17.893357849209242</v>
      </c>
      <c r="W17" s="181" t="e">
        <f>T17/U17/(60)</f>
        <v>#N/A</v>
      </c>
      <c r="X17" s="182">
        <f>PI()*(((M17/2)/12)^2*(1.49/O17)*(M17/48)^0.66667*(P17^0.5))</f>
        <v>197.6259167068263</v>
      </c>
      <c r="Y17" s="183" t="e">
        <f>AI17*12</f>
        <v>#N/A</v>
      </c>
      <c r="Z17" s="184" t="e">
        <f>L17/X17</f>
        <v>#N/A</v>
      </c>
      <c r="AA17" s="169"/>
      <c r="AB17" s="170">
        <f t="shared" si="0"/>
        <v>1.2999999999999999E-2</v>
      </c>
      <c r="AC17" s="171">
        <f t="shared" si="0"/>
        <v>2.6562500000000711E-2</v>
      </c>
      <c r="AD17" s="172" t="e">
        <f t="shared" si="1"/>
        <v>#N/A</v>
      </c>
      <c r="AE17" s="170">
        <f t="shared" si="1"/>
        <v>45</v>
      </c>
      <c r="AF17" s="171"/>
      <c r="AG17" s="171" t="e">
        <f t="shared" si="2"/>
        <v>#N/A</v>
      </c>
      <c r="AH17" s="156" t="e">
        <f>VLOOKUP(AG17,TABLES!$A$2:$D$101,2)</f>
        <v>#N/A</v>
      </c>
      <c r="AI17" s="173" t="e">
        <f t="shared" si="3"/>
        <v>#N/A</v>
      </c>
      <c r="AJ17" s="156" t="e">
        <f>VLOOKUP(AG17,TABLES!$A$2:$D$101,3)</f>
        <v>#N/A</v>
      </c>
      <c r="AK17" s="171" t="e">
        <f t="shared" si="8"/>
        <v>#N/A</v>
      </c>
      <c r="AL17" s="171" t="e">
        <f t="shared" si="4"/>
        <v>#N/A</v>
      </c>
      <c r="AM17" s="174"/>
      <c r="AN17" s="175"/>
      <c r="AO17" s="174"/>
      <c r="AP17" s="174"/>
      <c r="AQ17" s="174"/>
      <c r="AR17" s="174"/>
      <c r="AS17" s="174"/>
      <c r="AT17" s="174"/>
      <c r="AU17" s="176"/>
      <c r="AV17" s="177"/>
      <c r="AW17" s="177"/>
      <c r="AX17" s="177"/>
      <c r="AY17" s="177"/>
    </row>
    <row r="18" spans="1:51" s="154" customFormat="1" ht="12" hidden="1" customHeight="1">
      <c r="A18" s="330" t="s">
        <v>372</v>
      </c>
      <c r="B18" s="329" t="s">
        <v>381</v>
      </c>
      <c r="C18" s="159"/>
      <c r="D18" s="226">
        <f>'Rationals-MCDOT'!V80/43560</f>
        <v>2.4603620293847563</v>
      </c>
      <c r="E18" s="179">
        <f>'Rationals-MCDOT'!V82</f>
        <v>0.57788517240803383</v>
      </c>
      <c r="F18" s="178">
        <f t="shared" ref="F18" si="9">D18*E18</f>
        <v>1.4218067355371899</v>
      </c>
      <c r="G18" s="162"/>
      <c r="H18" s="228">
        <f>D18</f>
        <v>2.4603620293847563</v>
      </c>
      <c r="I18" s="216">
        <f>F18</f>
        <v>1.4218067355371899</v>
      </c>
      <c r="J18" s="217">
        <f>'Rationals-MCDOT'!T88</f>
        <v>10</v>
      </c>
      <c r="K18" s="163">
        <f>VLOOKUP(ROUND(J18,1),'SHA Intensity'!$B$3:$D$163,3,TRUE)</f>
        <v>6</v>
      </c>
      <c r="L18" s="180">
        <f>K18*F18</f>
        <v>8.5308404132231388</v>
      </c>
      <c r="M18" s="141">
        <v>15</v>
      </c>
      <c r="N18" s="322" t="s">
        <v>202</v>
      </c>
      <c r="O18" s="142">
        <v>1.2999999999999999E-2</v>
      </c>
      <c r="P18" s="323">
        <v>0.01</v>
      </c>
      <c r="Q18" s="324">
        <v>317.22000000000003</v>
      </c>
      <c r="R18" s="324">
        <v>317.2</v>
      </c>
      <c r="S18" s="246">
        <v>322.64999999999998</v>
      </c>
      <c r="T18" s="142">
        <v>2</v>
      </c>
      <c r="U18" s="181">
        <f t="shared" ref="U18:U29" si="10">AL18</f>
        <v>6.9515378972024564</v>
      </c>
      <c r="V18" s="181">
        <f t="shared" si="7"/>
        <v>5.2780675836068784</v>
      </c>
      <c r="W18" s="181">
        <f t="shared" ref="W18:W29" si="11">T18/U18/(60)</f>
        <v>4.7951020085422883E-3</v>
      </c>
      <c r="X18" s="182">
        <f t="shared" ref="X18:X29" si="12">PI()*(((M18/2)/12)^2*(1.49/O18)*(M18/48)^0.66667*(P18^0.5))</f>
        <v>6.4771579453060673</v>
      </c>
      <c r="Y18" s="183">
        <f t="shared" ref="Y18:Y29" si="13">AI18*12</f>
        <v>15</v>
      </c>
      <c r="Z18" s="184">
        <f t="shared" ref="Z18:Z29" si="14">L18/X18</f>
        <v>1.3170653680609032</v>
      </c>
      <c r="AA18" s="169"/>
      <c r="AB18" s="170">
        <f t="shared" si="0"/>
        <v>1.2999999999999999E-2</v>
      </c>
      <c r="AC18" s="171">
        <f t="shared" si="0"/>
        <v>0.01</v>
      </c>
      <c r="AD18" s="172">
        <f t="shared" si="1"/>
        <v>8.5308404132231388</v>
      </c>
      <c r="AE18" s="170">
        <f t="shared" si="1"/>
        <v>15</v>
      </c>
      <c r="AF18" s="171"/>
      <c r="AG18" s="171">
        <f t="shared" si="2"/>
        <v>0.4105085433129958</v>
      </c>
      <c r="AH18" s="156">
        <f>VLOOKUP(AG18,TABLES!$A$2:$D$101,2)</f>
        <v>1</v>
      </c>
      <c r="AI18" s="173">
        <f t="shared" si="3"/>
        <v>1.25</v>
      </c>
      <c r="AJ18" s="156">
        <f>VLOOKUP(AG18,TABLES!$A$2:$D$101,3)</f>
        <v>0.78539999999999999</v>
      </c>
      <c r="AK18" s="171">
        <f t="shared" si="8"/>
        <v>1.2271874999999999</v>
      </c>
      <c r="AL18" s="171">
        <f t="shared" si="4"/>
        <v>6.9515378972024564</v>
      </c>
      <c r="AM18" s="174"/>
      <c r="AN18" s="175"/>
      <c r="AO18" s="174"/>
      <c r="AP18" s="174"/>
      <c r="AQ18" s="174"/>
      <c r="AR18" s="174"/>
      <c r="AS18" s="174"/>
      <c r="AT18" s="174"/>
      <c r="AU18" s="176"/>
      <c r="AV18" s="177"/>
      <c r="AW18" s="177"/>
      <c r="AX18" s="177"/>
      <c r="AY18" s="177"/>
    </row>
    <row r="19" spans="1:51" s="154" customFormat="1" ht="12" hidden="1" customHeight="1">
      <c r="A19" s="139" t="s">
        <v>381</v>
      </c>
      <c r="B19" s="329" t="s">
        <v>361</v>
      </c>
      <c r="C19" s="159"/>
      <c r="D19" s="226" t="s">
        <v>286</v>
      </c>
      <c r="E19" s="179" t="s">
        <v>286</v>
      </c>
      <c r="F19" s="178" t="s">
        <v>286</v>
      </c>
      <c r="G19" s="162"/>
      <c r="H19" s="228">
        <f>H18</f>
        <v>2.4603620293847563</v>
      </c>
      <c r="I19" s="216">
        <f>I18</f>
        <v>1.4218067355371899</v>
      </c>
      <c r="J19" s="217">
        <f>J18+W18</f>
        <v>10.004795102008542</v>
      </c>
      <c r="K19" s="163">
        <f>VLOOKUP(ROUND(J19,1),'SHA Intensity'!$B$3:$D$163,3,TRUE)</f>
        <v>6</v>
      </c>
      <c r="L19" s="180">
        <f>K19*I19</f>
        <v>8.5308404132231388</v>
      </c>
      <c r="M19" s="141">
        <v>18</v>
      </c>
      <c r="N19" s="322" t="s">
        <v>202</v>
      </c>
      <c r="O19" s="142">
        <v>1.2999999999999999E-2</v>
      </c>
      <c r="P19" s="143">
        <f t="shared" si="6"/>
        <v>2.4615384615384091E-2</v>
      </c>
      <c r="Q19" s="246">
        <v>317.11</v>
      </c>
      <c r="R19" s="246">
        <v>316.47000000000003</v>
      </c>
      <c r="S19" s="246">
        <v>322.14</v>
      </c>
      <c r="T19" s="142">
        <v>26</v>
      </c>
      <c r="U19" s="181">
        <f t="shared" si="10"/>
        <v>9.6549137461145218</v>
      </c>
      <c r="V19" s="181">
        <f t="shared" si="7"/>
        <v>9.3511714826284287</v>
      </c>
      <c r="W19" s="181">
        <f t="shared" si="11"/>
        <v>4.4882154799955824E-2</v>
      </c>
      <c r="X19" s="182">
        <f t="shared" si="12"/>
        <v>16.524870085187235</v>
      </c>
      <c r="Y19" s="183">
        <f t="shared" si="13"/>
        <v>9</v>
      </c>
      <c r="Z19" s="184">
        <f t="shared" si="14"/>
        <v>0.51624251018288592</v>
      </c>
      <c r="AA19" s="169"/>
      <c r="AB19" s="170">
        <f t="shared" si="0"/>
        <v>1.2999999999999999E-2</v>
      </c>
      <c r="AC19" s="171">
        <f t="shared" si="0"/>
        <v>2.4615384615384091E-2</v>
      </c>
      <c r="AD19" s="172">
        <f t="shared" si="1"/>
        <v>8.5308404132231388</v>
      </c>
      <c r="AE19" s="170">
        <f t="shared" si="1"/>
        <v>18</v>
      </c>
      <c r="AF19" s="171"/>
      <c r="AG19" s="171">
        <f t="shared" si="2"/>
        <v>0.16090476194649031</v>
      </c>
      <c r="AH19" s="156">
        <f>VLOOKUP(AG19,TABLES!$A$2:$D$101,2)</f>
        <v>0.5</v>
      </c>
      <c r="AI19" s="173">
        <f t="shared" si="3"/>
        <v>0.75</v>
      </c>
      <c r="AJ19" s="156">
        <f>VLOOKUP(AG19,TABLES!$A$2:$D$101,3)</f>
        <v>0.39269999999999999</v>
      </c>
      <c r="AK19" s="171">
        <f t="shared" si="8"/>
        <v>0.883575</v>
      </c>
      <c r="AL19" s="171">
        <f t="shared" si="4"/>
        <v>9.6549137461145218</v>
      </c>
      <c r="AM19" s="174"/>
      <c r="AN19" s="175"/>
      <c r="AO19" s="174"/>
      <c r="AP19" s="174"/>
      <c r="AQ19" s="174"/>
      <c r="AR19" s="174"/>
      <c r="AS19" s="174"/>
      <c r="AT19" s="174"/>
      <c r="AU19" s="176"/>
      <c r="AV19" s="177"/>
      <c r="AW19" s="177"/>
      <c r="AX19" s="177"/>
      <c r="AY19" s="177"/>
    </row>
    <row r="20" spans="1:51" s="154" customFormat="1" ht="12" hidden="1" customHeight="1">
      <c r="A20" s="139" t="s">
        <v>361</v>
      </c>
      <c r="B20" s="329" t="s">
        <v>304</v>
      </c>
      <c r="C20" s="159"/>
      <c r="D20" s="226" t="s">
        <v>286</v>
      </c>
      <c r="E20" s="179" t="s">
        <v>286</v>
      </c>
      <c r="F20" s="178" t="s">
        <v>286</v>
      </c>
      <c r="G20" s="186"/>
      <c r="H20" s="228">
        <f>H19+H17</f>
        <v>2.4603620293847563</v>
      </c>
      <c r="I20" s="216">
        <f>I19+I17</f>
        <v>1.4218067355371899</v>
      </c>
      <c r="J20" s="217">
        <f>J19+W19</f>
        <v>10.049677256808497</v>
      </c>
      <c r="K20" s="163">
        <f>VLOOKUP(ROUND(J20,1),'SHA Intensity'!$B$3:$D$163,3,TRUE)</f>
        <v>6</v>
      </c>
      <c r="L20" s="180">
        <f>K20*I20</f>
        <v>8.5308404132231388</v>
      </c>
      <c r="M20" s="141">
        <v>42</v>
      </c>
      <c r="N20" s="322" t="s">
        <v>202</v>
      </c>
      <c r="O20" s="142">
        <v>1.2999999999999999E-2</v>
      </c>
      <c r="P20" s="143">
        <f t="shared" si="6"/>
        <v>1.398203592814376E-2</v>
      </c>
      <c r="Q20" s="246">
        <v>311.43</v>
      </c>
      <c r="R20" s="246">
        <v>306.76</v>
      </c>
      <c r="S20" s="246">
        <v>322.10000000000002</v>
      </c>
      <c r="T20" s="142">
        <v>334</v>
      </c>
      <c r="U20" s="181">
        <f t="shared" si="10"/>
        <v>7.24656748983681</v>
      </c>
      <c r="V20" s="181">
        <f t="shared" si="7"/>
        <v>12.398438682395172</v>
      </c>
      <c r="W20" s="181">
        <f t="shared" si="11"/>
        <v>0.7681797864263078</v>
      </c>
      <c r="X20" s="182">
        <f t="shared" si="12"/>
        <v>119.28685862694168</v>
      </c>
      <c r="Y20" s="183">
        <f t="shared" si="13"/>
        <v>7.5600000000000005</v>
      </c>
      <c r="Z20" s="184">
        <f t="shared" si="14"/>
        <v>7.1515341349565859E-2</v>
      </c>
      <c r="AA20" s="169"/>
      <c r="AB20" s="170">
        <f t="shared" si="0"/>
        <v>1.2999999999999999E-2</v>
      </c>
      <c r="AC20" s="171">
        <f t="shared" si="0"/>
        <v>1.398203592814376E-2</v>
      </c>
      <c r="AD20" s="172">
        <f t="shared" si="1"/>
        <v>8.5308404132231388</v>
      </c>
      <c r="AE20" s="170">
        <f t="shared" si="1"/>
        <v>42</v>
      </c>
      <c r="AF20" s="171"/>
      <c r="AG20" s="171">
        <f t="shared" si="2"/>
        <v>2.2290282601511707E-2</v>
      </c>
      <c r="AH20" s="156">
        <f>VLOOKUP(AG20,TABLES!$A$2:$D$101,2)</f>
        <v>0.18</v>
      </c>
      <c r="AI20" s="173">
        <f t="shared" si="3"/>
        <v>0.63</v>
      </c>
      <c r="AJ20" s="156">
        <f>VLOOKUP(AG20,TABLES!$A$2:$D$101,3)</f>
        <v>9.6100000000000005E-2</v>
      </c>
      <c r="AK20" s="171">
        <f t="shared" si="8"/>
        <v>1.177225</v>
      </c>
      <c r="AL20" s="171">
        <f t="shared" si="4"/>
        <v>7.24656748983681</v>
      </c>
      <c r="AM20" s="174"/>
      <c r="AN20" s="175"/>
      <c r="AO20" s="174"/>
      <c r="AP20" s="174"/>
      <c r="AQ20" s="174"/>
      <c r="AR20" s="174"/>
      <c r="AS20" s="174"/>
      <c r="AT20" s="174"/>
      <c r="AU20" s="176"/>
      <c r="AV20" s="177"/>
      <c r="AW20" s="177"/>
      <c r="AX20" s="177"/>
      <c r="AY20" s="177"/>
    </row>
    <row r="21" spans="1:51" s="154" customFormat="1" ht="12" hidden="1" customHeight="1">
      <c r="A21" s="139"/>
      <c r="B21" s="329"/>
      <c r="C21" s="159"/>
      <c r="D21" s="226"/>
      <c r="E21" s="179"/>
      <c r="F21" s="178"/>
      <c r="G21" s="162"/>
      <c r="H21" s="228"/>
      <c r="I21" s="216"/>
      <c r="J21" s="217"/>
      <c r="K21" s="163"/>
      <c r="L21" s="180"/>
      <c r="M21" s="141"/>
      <c r="N21" s="322"/>
      <c r="O21" s="142"/>
      <c r="P21" s="143"/>
      <c r="Q21" s="246"/>
      <c r="R21" s="246"/>
      <c r="S21" s="246"/>
      <c r="T21" s="142"/>
      <c r="U21" s="181"/>
      <c r="V21" s="181"/>
      <c r="W21" s="181"/>
      <c r="X21" s="182"/>
      <c r="Y21" s="183"/>
      <c r="Z21" s="184"/>
      <c r="AA21" s="169"/>
      <c r="AB21" s="170"/>
      <c r="AC21" s="171"/>
      <c r="AD21" s="172"/>
      <c r="AE21" s="170"/>
      <c r="AF21" s="171"/>
      <c r="AG21" s="171"/>
      <c r="AH21" s="156"/>
      <c r="AI21" s="173"/>
      <c r="AJ21" s="156"/>
      <c r="AK21" s="171"/>
      <c r="AL21" s="171"/>
      <c r="AM21" s="174"/>
      <c r="AN21" s="175"/>
      <c r="AO21" s="174"/>
      <c r="AP21" s="174"/>
      <c r="AQ21" s="174"/>
      <c r="AR21" s="174"/>
      <c r="AS21" s="174"/>
      <c r="AT21" s="174"/>
      <c r="AU21" s="176"/>
      <c r="AV21" s="177"/>
      <c r="AW21" s="177"/>
      <c r="AX21" s="177"/>
      <c r="AY21" s="177"/>
    </row>
    <row r="22" spans="1:51" s="154" customFormat="1" ht="12" hidden="1" customHeight="1">
      <c r="A22" s="139" t="s">
        <v>272</v>
      </c>
      <c r="B22" s="329" t="s">
        <v>304</v>
      </c>
      <c r="C22" s="159"/>
      <c r="D22" s="226">
        <f>'Rationals-MCDOT'!V20/43560</f>
        <v>0.1859176675849403</v>
      </c>
      <c r="E22" s="179">
        <f>'Rationals-MCDOT'!V22</f>
        <v>0.76855344798002456</v>
      </c>
      <c r="F22" s="178">
        <f>D22*E22</f>
        <v>0.14288766446280993</v>
      </c>
      <c r="G22" s="162"/>
      <c r="H22" s="228">
        <f>D22</f>
        <v>0.1859176675849403</v>
      </c>
      <c r="I22" s="216">
        <f>F22</f>
        <v>0.14288766446280993</v>
      </c>
      <c r="J22" s="217">
        <f>'Rationals-MCDOT'!T28</f>
        <v>7</v>
      </c>
      <c r="K22" s="163">
        <f>VLOOKUP(ROUND(J22,1),'SHA Intensity'!$B$3:$D$163,3,TRUE)</f>
        <v>6.9432000000000009</v>
      </c>
      <c r="L22" s="180">
        <f t="shared" ref="L22" si="15">K22*I22</f>
        <v>0.99209763189818201</v>
      </c>
      <c r="M22" s="141">
        <v>15</v>
      </c>
      <c r="N22" s="322" t="s">
        <v>202</v>
      </c>
      <c r="O22" s="142">
        <v>1.2999999999999999E-2</v>
      </c>
      <c r="P22" s="143">
        <f>(Q22-R22)/T22</f>
        <v>0.19153846153846224</v>
      </c>
      <c r="Q22" s="246">
        <v>310.63</v>
      </c>
      <c r="R22" s="246">
        <v>308.14</v>
      </c>
      <c r="S22" s="246">
        <v>313.12</v>
      </c>
      <c r="T22" s="142">
        <v>13</v>
      </c>
      <c r="U22" s="181">
        <f t="shared" si="10"/>
        <v>11.89030869690705</v>
      </c>
      <c r="V22" s="181">
        <f t="shared" si="7"/>
        <v>23.09951940369746</v>
      </c>
      <c r="W22" s="181">
        <f t="shared" si="11"/>
        <v>1.8222122922933594E-2</v>
      </c>
      <c r="X22" s="182">
        <f t="shared" si="12"/>
        <v>28.347351235727306</v>
      </c>
      <c r="Y22" s="183">
        <f t="shared" si="13"/>
        <v>1.7999999999999998</v>
      </c>
      <c r="Z22" s="184">
        <f t="shared" si="14"/>
        <v>3.4997895346490136E-2</v>
      </c>
      <c r="AA22" s="169"/>
      <c r="AB22" s="170">
        <f>O22</f>
        <v>1.2999999999999999E-2</v>
      </c>
      <c r="AC22" s="171">
        <f>P22</f>
        <v>0.19153846153846224</v>
      </c>
      <c r="AD22" s="172">
        <f>L22</f>
        <v>0.99209763189818201</v>
      </c>
      <c r="AE22" s="170">
        <f>M22</f>
        <v>15</v>
      </c>
      <c r="AF22" s="171"/>
      <c r="AG22" s="171">
        <f t="shared" ref="AG22:AG34" si="16">((AD22*AB22)/(1.49*(AC22)^0.5))/(AE22/12)^2.66666667</f>
        <v>1.0908293078012199E-2</v>
      </c>
      <c r="AH22" s="156">
        <f>VLOOKUP(AG22,TABLES!$A$2:$D$101,2)</f>
        <v>0.12</v>
      </c>
      <c r="AI22" s="173">
        <f t="shared" ref="AI22:AI34" si="17">AH22*AE22/12</f>
        <v>0.15</v>
      </c>
      <c r="AJ22" s="156">
        <f>VLOOKUP(AG22,TABLES!$A$2:$D$101,3)</f>
        <v>5.3400000000000003E-2</v>
      </c>
      <c r="AK22" s="171">
        <f t="shared" ref="AK22:AK33" si="18">AJ22*(AE22/12)^2</f>
        <v>8.3437499999999998E-2</v>
      </c>
      <c r="AL22" s="171">
        <f t="shared" ref="AL22:AL34" si="19">AD22/AK22</f>
        <v>11.89030869690705</v>
      </c>
      <c r="AM22" s="174"/>
      <c r="AN22" s="175"/>
      <c r="AO22" s="174"/>
      <c r="AP22" s="174"/>
      <c r="AQ22" s="174"/>
      <c r="AR22" s="174"/>
      <c r="AS22" s="174"/>
      <c r="AT22" s="174"/>
      <c r="AU22" s="176"/>
      <c r="AV22" s="177"/>
      <c r="AW22" s="177"/>
      <c r="AX22" s="177"/>
      <c r="AY22" s="177"/>
    </row>
    <row r="23" spans="1:51" s="154" customFormat="1" ht="12" hidden="1" customHeight="1">
      <c r="A23" s="139"/>
      <c r="B23" s="140"/>
      <c r="C23" s="159"/>
      <c r="D23" s="225"/>
      <c r="E23" s="163"/>
      <c r="F23" s="178"/>
      <c r="G23" s="162"/>
      <c r="H23" s="228"/>
      <c r="I23" s="216"/>
      <c r="J23" s="217"/>
      <c r="K23" s="163"/>
      <c r="L23" s="180"/>
      <c r="M23" s="141"/>
      <c r="N23" s="322"/>
      <c r="O23" s="142"/>
      <c r="P23" s="143"/>
      <c r="Q23" s="246"/>
      <c r="R23" s="246"/>
      <c r="S23" s="246"/>
      <c r="T23" s="142"/>
      <c r="U23" s="181"/>
      <c r="V23" s="181"/>
      <c r="W23" s="181"/>
      <c r="X23" s="182"/>
      <c r="Y23" s="183"/>
      <c r="Z23" s="184"/>
      <c r="AA23" s="169"/>
      <c r="AB23" s="170"/>
      <c r="AC23" s="171"/>
      <c r="AD23" s="172"/>
      <c r="AE23" s="170"/>
      <c r="AF23" s="171"/>
      <c r="AG23" s="171"/>
      <c r="AH23" s="156"/>
      <c r="AI23" s="173"/>
      <c r="AJ23" s="156"/>
      <c r="AK23" s="171"/>
      <c r="AL23" s="171"/>
      <c r="AM23" s="174"/>
      <c r="AN23" s="175"/>
      <c r="AO23" s="174"/>
      <c r="AP23" s="174"/>
      <c r="AQ23" s="174"/>
      <c r="AR23" s="174"/>
      <c r="AS23" s="174"/>
      <c r="AT23" s="174"/>
      <c r="AU23" s="176"/>
      <c r="AV23" s="177"/>
      <c r="AW23" s="177"/>
      <c r="AX23" s="177"/>
      <c r="AY23" s="177"/>
    </row>
    <row r="24" spans="1:51" s="154" customFormat="1" ht="12" hidden="1" customHeight="1">
      <c r="A24" s="139" t="s">
        <v>376</v>
      </c>
      <c r="B24" s="329" t="s">
        <v>369</v>
      </c>
      <c r="C24" s="159"/>
      <c r="D24" s="225">
        <f>'Rationals-MCDOT'!D140/43560</f>
        <v>0</v>
      </c>
      <c r="E24" s="163">
        <f>'Rationals-MCDOT'!D142</f>
        <v>0</v>
      </c>
      <c r="F24" s="178">
        <f>D24*E24</f>
        <v>0</v>
      </c>
      <c r="G24" s="162"/>
      <c r="H24" s="228">
        <f>D24</f>
        <v>0</v>
      </c>
      <c r="I24" s="216">
        <f>F24</f>
        <v>0</v>
      </c>
      <c r="J24" s="217">
        <f>'Rationals-MCDOT'!B148</f>
        <v>0</v>
      </c>
      <c r="K24" s="163" t="e">
        <f>VLOOKUP(ROUND(J24,1),'SHA Intensity'!$B$3:$D$163,3,TRUE)</f>
        <v>#N/A</v>
      </c>
      <c r="L24" s="180" t="e">
        <f>K24*F24</f>
        <v>#N/A</v>
      </c>
      <c r="M24" s="141">
        <v>18</v>
      </c>
      <c r="N24" s="322" t="s">
        <v>202</v>
      </c>
      <c r="O24" s="142">
        <v>1.2999999999999999E-2</v>
      </c>
      <c r="P24" s="143">
        <f>(Q24-R24)/T24</f>
        <v>5.7228915662650599E-2</v>
      </c>
      <c r="Q24" s="246">
        <v>314.24</v>
      </c>
      <c r="R24" s="246">
        <v>309.49</v>
      </c>
      <c r="S24" s="246">
        <v>314.19</v>
      </c>
      <c r="T24" s="142">
        <v>83</v>
      </c>
      <c r="U24" s="181" t="e">
        <f t="shared" si="10"/>
        <v>#N/A</v>
      </c>
      <c r="V24" s="181">
        <f t="shared" si="7"/>
        <v>14.258389255363356</v>
      </c>
      <c r="W24" s="181" t="e">
        <f t="shared" si="11"/>
        <v>#N/A</v>
      </c>
      <c r="X24" s="182">
        <f t="shared" si="12"/>
        <v>25.196632369175791</v>
      </c>
      <c r="Y24" s="183" t="e">
        <f t="shared" si="13"/>
        <v>#N/A</v>
      </c>
      <c r="Z24" s="184" t="e">
        <f t="shared" si="14"/>
        <v>#N/A</v>
      </c>
      <c r="AA24" s="169"/>
      <c r="AB24" s="170">
        <f>O24</f>
        <v>1.2999999999999999E-2</v>
      </c>
      <c r="AC24" s="171">
        <f>P24</f>
        <v>5.7228915662650599E-2</v>
      </c>
      <c r="AD24" s="172" t="e">
        <f>L24</f>
        <v>#N/A</v>
      </c>
      <c r="AE24" s="170">
        <f>M24</f>
        <v>18</v>
      </c>
      <c r="AF24" s="171"/>
      <c r="AG24" s="171" t="e">
        <f t="shared" si="16"/>
        <v>#N/A</v>
      </c>
      <c r="AH24" s="156" t="e">
        <f>VLOOKUP(AG24,TABLES!$A$2:$D$101,2)</f>
        <v>#N/A</v>
      </c>
      <c r="AI24" s="173" t="e">
        <f t="shared" si="17"/>
        <v>#N/A</v>
      </c>
      <c r="AJ24" s="156" t="e">
        <f>VLOOKUP(AG24,TABLES!$A$2:$D$101,3)</f>
        <v>#N/A</v>
      </c>
      <c r="AK24" s="171" t="e">
        <f t="shared" si="18"/>
        <v>#N/A</v>
      </c>
      <c r="AL24" s="171" t="e">
        <f t="shared" si="19"/>
        <v>#N/A</v>
      </c>
      <c r="AM24" s="174"/>
      <c r="AN24" s="175"/>
      <c r="AO24" s="174"/>
      <c r="AP24" s="174"/>
      <c r="AQ24" s="174"/>
      <c r="AR24" s="174"/>
      <c r="AS24" s="174"/>
      <c r="AT24" s="174"/>
      <c r="AU24" s="176"/>
      <c r="AV24" s="177"/>
      <c r="AW24" s="177"/>
      <c r="AX24" s="177"/>
      <c r="AY24" s="177"/>
    </row>
    <row r="25" spans="1:51" s="154" customFormat="1" ht="12" hidden="1" customHeight="1">
      <c r="A25" s="139" t="s">
        <v>369</v>
      </c>
      <c r="B25" s="140" t="s">
        <v>304</v>
      </c>
      <c r="C25" s="159"/>
      <c r="D25" s="226">
        <f>'Rationals-MCDOT'!V50/43560</f>
        <v>0</v>
      </c>
      <c r="E25" s="179">
        <f>'Rationals-MCDOT'!V52</f>
        <v>0</v>
      </c>
      <c r="F25" s="178">
        <f>E25*D25</f>
        <v>0</v>
      </c>
      <c r="G25" s="162"/>
      <c r="H25" s="326">
        <f>H24+D25</f>
        <v>0</v>
      </c>
      <c r="I25" s="327">
        <f>I24+F25</f>
        <v>0</v>
      </c>
      <c r="J25" s="217" t="e">
        <f>J24+W24</f>
        <v>#N/A</v>
      </c>
      <c r="K25" s="163" t="e">
        <f>VLOOKUP(ROUND(J25,1),'SHA Intensity'!$B$3:$D$163,3,TRUE)</f>
        <v>#N/A</v>
      </c>
      <c r="L25" s="180" t="e">
        <f>K25*I25</f>
        <v>#N/A</v>
      </c>
      <c r="M25" s="141">
        <v>18</v>
      </c>
      <c r="N25" s="322" t="s">
        <v>202</v>
      </c>
      <c r="O25" s="142">
        <v>1.2999999999999999E-2</v>
      </c>
      <c r="P25" s="143">
        <f>(Q25-R25)/T25</f>
        <v>8.1875000000000142E-2</v>
      </c>
      <c r="Q25" s="246">
        <v>309.42</v>
      </c>
      <c r="R25" s="246">
        <v>306.8</v>
      </c>
      <c r="S25" s="246">
        <v>313.18</v>
      </c>
      <c r="T25" s="142">
        <v>32</v>
      </c>
      <c r="U25" s="181" t="e">
        <f t="shared" si="10"/>
        <v>#N/A</v>
      </c>
      <c r="V25" s="181">
        <f t="shared" si="7"/>
        <v>17.054475390348728</v>
      </c>
      <c r="W25" s="181" t="e">
        <f t="shared" si="11"/>
        <v>#N/A</v>
      </c>
      <c r="X25" s="182">
        <f t="shared" si="12"/>
        <v>30.137720254630683</v>
      </c>
      <c r="Y25" s="183" t="e">
        <f t="shared" si="13"/>
        <v>#N/A</v>
      </c>
      <c r="Z25" s="184" t="e">
        <f t="shared" si="14"/>
        <v>#N/A</v>
      </c>
      <c r="AA25" s="169"/>
      <c r="AB25" s="170">
        <f>O25</f>
        <v>1.2999999999999999E-2</v>
      </c>
      <c r="AC25" s="171">
        <f>P25</f>
        <v>8.1875000000000142E-2</v>
      </c>
      <c r="AD25" s="172" t="e">
        <f>L25</f>
        <v>#N/A</v>
      </c>
      <c r="AE25" s="170">
        <f>M25</f>
        <v>18</v>
      </c>
      <c r="AF25" s="171"/>
      <c r="AG25" s="171" t="e">
        <f t="shared" si="16"/>
        <v>#N/A</v>
      </c>
      <c r="AH25" s="156" t="e">
        <f>VLOOKUP(AG25,TABLES!$A$2:$D$101,2)</f>
        <v>#N/A</v>
      </c>
      <c r="AI25" s="173" t="e">
        <f t="shared" si="17"/>
        <v>#N/A</v>
      </c>
      <c r="AJ25" s="156" t="e">
        <f>VLOOKUP(AG25,TABLES!$A$2:$D$101,3)</f>
        <v>#N/A</v>
      </c>
      <c r="AK25" s="171" t="e">
        <f t="shared" si="18"/>
        <v>#N/A</v>
      </c>
      <c r="AL25" s="171" t="e">
        <f t="shared" si="19"/>
        <v>#N/A</v>
      </c>
      <c r="AM25" s="174"/>
      <c r="AN25" s="175"/>
      <c r="AO25" s="174"/>
      <c r="AP25" s="174"/>
      <c r="AQ25" s="174"/>
      <c r="AR25" s="174"/>
      <c r="AS25" s="174"/>
      <c r="AT25" s="174"/>
      <c r="AU25" s="176"/>
      <c r="AV25" s="177"/>
      <c r="AW25" s="177"/>
      <c r="AX25" s="177"/>
      <c r="AY25" s="177"/>
    </row>
    <row r="26" spans="1:51" s="154" customFormat="1" ht="12" hidden="1" customHeight="1">
      <c r="A26" s="139"/>
      <c r="B26" s="140"/>
      <c r="C26" s="159"/>
      <c r="D26" s="227"/>
      <c r="E26" s="160"/>
      <c r="F26" s="178"/>
      <c r="G26" s="162"/>
      <c r="H26" s="228"/>
      <c r="I26" s="216"/>
      <c r="J26" s="217"/>
      <c r="K26" s="163"/>
      <c r="L26" s="180"/>
      <c r="M26" s="141"/>
      <c r="N26" s="322"/>
      <c r="O26" s="142"/>
      <c r="P26" s="143"/>
      <c r="Q26" s="246"/>
      <c r="R26" s="246"/>
      <c r="S26" s="246"/>
      <c r="T26" s="142"/>
      <c r="U26" s="181"/>
      <c r="V26" s="181"/>
      <c r="W26" s="181"/>
      <c r="X26" s="182"/>
      <c r="Y26" s="183"/>
      <c r="Z26" s="184"/>
      <c r="AA26" s="169"/>
      <c r="AB26" s="170"/>
      <c r="AC26" s="171"/>
      <c r="AD26" s="172"/>
      <c r="AE26" s="170"/>
      <c r="AF26" s="171"/>
      <c r="AG26" s="171"/>
      <c r="AH26" s="156"/>
      <c r="AI26" s="173"/>
      <c r="AJ26" s="156"/>
      <c r="AK26" s="171"/>
      <c r="AL26" s="171"/>
      <c r="AM26" s="174"/>
      <c r="AN26" s="175"/>
      <c r="AO26" s="174"/>
      <c r="AP26" s="174"/>
      <c r="AQ26" s="174"/>
      <c r="AR26" s="174"/>
      <c r="AS26" s="174"/>
      <c r="AT26" s="174"/>
      <c r="AU26" s="176"/>
      <c r="AV26" s="177"/>
      <c r="AW26" s="177"/>
      <c r="AX26" s="177"/>
      <c r="AY26" s="177"/>
    </row>
    <row r="27" spans="1:51" s="154" customFormat="1" ht="12" hidden="1" customHeight="1">
      <c r="A27" s="139" t="s">
        <v>371</v>
      </c>
      <c r="B27" s="140" t="s">
        <v>360</v>
      </c>
      <c r="C27" s="159"/>
      <c r="D27" s="225">
        <f>'Rationals-MCDOT'!M80/43560</f>
        <v>0.25763567493112949</v>
      </c>
      <c r="E27" s="163">
        <f>'Rationals-MCDOT'!M82</f>
        <v>0.60817317896639012</v>
      </c>
      <c r="F27" s="178">
        <f>D27*E27</f>
        <v>0.15668710743801653</v>
      </c>
      <c r="G27" s="162"/>
      <c r="H27" s="228">
        <f>D27</f>
        <v>0.25763567493112949</v>
      </c>
      <c r="I27" s="216">
        <f>F27</f>
        <v>0.15668710743801653</v>
      </c>
      <c r="J27" s="217">
        <f>'Rationals-MCDOT'!K88</f>
        <v>10</v>
      </c>
      <c r="K27" s="163">
        <f>VLOOKUP(ROUND(J27,1),'SHA Intensity'!$B$3:$D$163,3,TRUE)</f>
        <v>6</v>
      </c>
      <c r="L27" s="180">
        <f>K27*I27</f>
        <v>0.94012264462809925</v>
      </c>
      <c r="M27" s="141">
        <v>15</v>
      </c>
      <c r="N27" s="322" t="s">
        <v>202</v>
      </c>
      <c r="O27" s="142">
        <v>1.2999999999999999E-2</v>
      </c>
      <c r="P27" s="143">
        <f>(Q27-R27)/T27</f>
        <v>2.4485294117646942E-2</v>
      </c>
      <c r="Q27" s="246">
        <v>311.5</v>
      </c>
      <c r="R27" s="246">
        <v>308.17</v>
      </c>
      <c r="S27" s="246">
        <v>315.20999999999998</v>
      </c>
      <c r="T27" s="142">
        <v>136</v>
      </c>
      <c r="U27" s="181">
        <f t="shared" si="10"/>
        <v>5.3817396472449328</v>
      </c>
      <c r="V27" s="181">
        <f t="shared" si="7"/>
        <v>8.2590027260370533</v>
      </c>
      <c r="W27" s="181">
        <f t="shared" si="11"/>
        <v>0.42117731723180601</v>
      </c>
      <c r="X27" s="182">
        <f t="shared" si="12"/>
        <v>10.135312646129199</v>
      </c>
      <c r="Y27" s="183">
        <f t="shared" si="13"/>
        <v>3</v>
      </c>
      <c r="Z27" s="184">
        <f t="shared" si="14"/>
        <v>9.2757143015923013E-2</v>
      </c>
      <c r="AA27" s="169"/>
      <c r="AB27" s="170">
        <f t="shared" ref="AB27:AC29" si="20">O27</f>
        <v>1.2999999999999999E-2</v>
      </c>
      <c r="AC27" s="171">
        <f t="shared" si="20"/>
        <v>2.4485294117646942E-2</v>
      </c>
      <c r="AD27" s="172">
        <f t="shared" ref="AD27:AE29" si="21">L27</f>
        <v>0.94012264462809925</v>
      </c>
      <c r="AE27" s="170">
        <f t="shared" si="21"/>
        <v>15</v>
      </c>
      <c r="AF27" s="171"/>
      <c r="AG27" s="171">
        <f>((AD27*AB27)/(1.49*(AC27)^0.5))/(AE27/12)^2.66666667</f>
        <v>2.8910941388887099E-2</v>
      </c>
      <c r="AH27" s="156">
        <f>VLOOKUP(AG27,TABLES!$A$2:$D$101,2)</f>
        <v>0.2</v>
      </c>
      <c r="AI27" s="173">
        <f t="shared" si="17"/>
        <v>0.25</v>
      </c>
      <c r="AJ27" s="156">
        <f>VLOOKUP(AG27,TABLES!$A$2:$D$101,3)</f>
        <v>0.1118</v>
      </c>
      <c r="AK27" s="171">
        <f>AJ27*(AE27/12)^2</f>
        <v>0.1746875</v>
      </c>
      <c r="AL27" s="171">
        <f t="shared" si="19"/>
        <v>5.3817396472449328</v>
      </c>
      <c r="AM27" s="174"/>
      <c r="AN27" s="175"/>
      <c r="AO27" s="174"/>
      <c r="AP27" s="174"/>
      <c r="AQ27" s="174"/>
      <c r="AR27" s="174"/>
      <c r="AS27" s="174"/>
      <c r="AT27" s="174"/>
      <c r="AU27" s="176"/>
      <c r="AV27" s="177"/>
      <c r="AW27" s="177"/>
      <c r="AX27" s="177"/>
      <c r="AY27" s="177"/>
    </row>
    <row r="28" spans="1:51" s="154" customFormat="1" ht="12" hidden="1" customHeight="1">
      <c r="A28" s="139" t="s">
        <v>370</v>
      </c>
      <c r="B28" s="140" t="s">
        <v>360</v>
      </c>
      <c r="C28" s="159"/>
      <c r="D28" s="226">
        <f>'Rationals-MCDOT'!D80/43560</f>
        <v>0.66559113865932051</v>
      </c>
      <c r="E28" s="179">
        <f>'Rationals-MCDOT'!D82</f>
        <v>0.6541852472049432</v>
      </c>
      <c r="F28" s="178">
        <f>D28*E28</f>
        <v>0.4354199035812672</v>
      </c>
      <c r="G28" s="162"/>
      <c r="H28" s="228">
        <f>D28</f>
        <v>0.66559113865932051</v>
      </c>
      <c r="I28" s="327">
        <f>F28</f>
        <v>0.4354199035812672</v>
      </c>
      <c r="J28" s="217">
        <f>'Rationals-MCDOT'!B88</f>
        <v>7</v>
      </c>
      <c r="K28" s="163">
        <f>VLOOKUP(ROUND(J28,1),'SHA Intensity'!$B$3:$D$163,3,TRUE)</f>
        <v>6.9432000000000009</v>
      </c>
      <c r="L28" s="180">
        <f>K28*I28</f>
        <v>3.0232074745454547</v>
      </c>
      <c r="M28" s="141">
        <v>15</v>
      </c>
      <c r="N28" s="322" t="s">
        <v>202</v>
      </c>
      <c r="O28" s="142">
        <v>1.2999999999999999E-2</v>
      </c>
      <c r="P28" s="323">
        <v>0.01</v>
      </c>
      <c r="Q28" s="324">
        <v>308.17</v>
      </c>
      <c r="R28" s="324">
        <v>308.14</v>
      </c>
      <c r="S28" s="246">
        <v>312.7</v>
      </c>
      <c r="T28" s="142">
        <v>3</v>
      </c>
      <c r="U28" s="181">
        <f t="shared" si="10"/>
        <v>5.1914483061687449</v>
      </c>
      <c r="V28" s="181">
        <f t="shared" si="7"/>
        <v>5.2780675836068784</v>
      </c>
      <c r="W28" s="181">
        <f t="shared" si="11"/>
        <v>9.6312237069927937E-3</v>
      </c>
      <c r="X28" s="182">
        <f t="shared" si="12"/>
        <v>6.4771579453060673</v>
      </c>
      <c r="Y28" s="183">
        <f t="shared" si="13"/>
        <v>7.1999999999999993</v>
      </c>
      <c r="Z28" s="184">
        <f t="shared" si="14"/>
        <v>0.46674907421955697</v>
      </c>
      <c r="AA28" s="169"/>
      <c r="AB28" s="170">
        <f t="shared" si="20"/>
        <v>1.2999999999999999E-2</v>
      </c>
      <c r="AC28" s="171">
        <f t="shared" si="20"/>
        <v>0.01</v>
      </c>
      <c r="AD28" s="172">
        <f t="shared" si="21"/>
        <v>3.0232074745454547</v>
      </c>
      <c r="AE28" s="170">
        <f t="shared" si="21"/>
        <v>15</v>
      </c>
      <c r="AF28" s="171"/>
      <c r="AG28" s="171">
        <f t="shared" si="16"/>
        <v>0.14547833934215149</v>
      </c>
      <c r="AH28" s="156">
        <f>VLOOKUP(AG28,TABLES!$A$2:$D$101,2)</f>
        <v>0.48</v>
      </c>
      <c r="AI28" s="173">
        <f t="shared" si="17"/>
        <v>0.6</v>
      </c>
      <c r="AJ28" s="156">
        <f>VLOOKUP(AG28,TABLES!$A$2:$D$101,3)</f>
        <v>0.37269999999999998</v>
      </c>
      <c r="AK28" s="171">
        <f t="shared" si="18"/>
        <v>0.58234374999999994</v>
      </c>
      <c r="AL28" s="171">
        <f t="shared" si="19"/>
        <v>5.1914483061687449</v>
      </c>
      <c r="AM28" s="174"/>
      <c r="AN28" s="175"/>
      <c r="AO28" s="174"/>
      <c r="AP28" s="174"/>
      <c r="AQ28" s="174"/>
      <c r="AR28" s="174"/>
      <c r="AS28" s="174"/>
      <c r="AT28" s="174"/>
      <c r="AU28" s="176"/>
      <c r="AV28" s="177"/>
      <c r="AW28" s="177"/>
      <c r="AX28" s="177"/>
      <c r="AY28" s="177"/>
    </row>
    <row r="29" spans="1:51" s="154" customFormat="1" ht="12" hidden="1" customHeight="1">
      <c r="A29" s="139" t="s">
        <v>360</v>
      </c>
      <c r="B29" s="329" t="s">
        <v>304</v>
      </c>
      <c r="C29" s="159"/>
      <c r="D29" s="226" t="s">
        <v>286</v>
      </c>
      <c r="E29" s="179" t="s">
        <v>286</v>
      </c>
      <c r="F29" s="178" t="s">
        <v>286</v>
      </c>
      <c r="G29" s="162"/>
      <c r="H29" s="326">
        <f>H27+H28</f>
        <v>0.92322681359045</v>
      </c>
      <c r="I29" s="216">
        <f>I27+I28</f>
        <v>0.59210701101928376</v>
      </c>
      <c r="J29" s="217">
        <f>J28+W28</f>
        <v>7.0096312237069931</v>
      </c>
      <c r="K29" s="163">
        <f>VLOOKUP(ROUND(J29,1),'SHA Intensity'!$B$3:$D$163,3,TRUE)</f>
        <v>6.9432000000000009</v>
      </c>
      <c r="L29" s="180">
        <f>K29*I29</f>
        <v>4.1111173989090917</v>
      </c>
      <c r="M29" s="141">
        <v>15</v>
      </c>
      <c r="N29" s="322" t="s">
        <v>202</v>
      </c>
      <c r="O29" s="142">
        <v>1.2999999999999999E-2</v>
      </c>
      <c r="P29" s="143">
        <f t="shared" ref="P29" si="22">(Q29-R29)/T29</f>
        <v>1.1562500000000142E-2</v>
      </c>
      <c r="Q29" s="246">
        <v>308.04000000000002</v>
      </c>
      <c r="R29" s="246">
        <v>307.67</v>
      </c>
      <c r="S29" s="246">
        <v>312.16000000000003</v>
      </c>
      <c r="T29" s="142">
        <v>32</v>
      </c>
      <c r="U29" s="181">
        <f t="shared" si="10"/>
        <v>5.9446794742472182</v>
      </c>
      <c r="V29" s="181">
        <f t="shared" si="7"/>
        <v>5.6754567669525438</v>
      </c>
      <c r="W29" s="181">
        <f t="shared" si="11"/>
        <v>8.9716078998669652E-2</v>
      </c>
      <c r="X29" s="182">
        <f t="shared" si="12"/>
        <v>6.964827431441579</v>
      </c>
      <c r="Y29" s="183">
        <f t="shared" si="13"/>
        <v>8.25</v>
      </c>
      <c r="Z29" s="253">
        <f t="shared" si="14"/>
        <v>0.59026837913458152</v>
      </c>
      <c r="AA29" s="169"/>
      <c r="AB29" s="170">
        <f t="shared" si="20"/>
        <v>1.2999999999999999E-2</v>
      </c>
      <c r="AC29" s="171">
        <f t="shared" si="20"/>
        <v>1.1562500000000142E-2</v>
      </c>
      <c r="AD29" s="172">
        <f t="shared" si="21"/>
        <v>4.1111173989090917</v>
      </c>
      <c r="AE29" s="170">
        <f t="shared" si="21"/>
        <v>15</v>
      </c>
      <c r="AF29" s="171"/>
      <c r="AG29" s="171">
        <f t="shared" si="16"/>
        <v>0.18397736236813372</v>
      </c>
      <c r="AH29" s="156">
        <f>VLOOKUP(AG29,TABLES!$A$2:$D$101,2)</f>
        <v>0.55000000000000004</v>
      </c>
      <c r="AI29" s="173">
        <f>AH29*AE29/12</f>
        <v>0.6875</v>
      </c>
      <c r="AJ29" s="156">
        <f>VLOOKUP(AG29,TABLES!$A$2:$D$101,3)</f>
        <v>0.44259999999999999</v>
      </c>
      <c r="AK29" s="171">
        <f t="shared" si="18"/>
        <v>0.69156249999999997</v>
      </c>
      <c r="AL29" s="171">
        <f t="shared" si="19"/>
        <v>5.9446794742472182</v>
      </c>
      <c r="AM29" s="174"/>
      <c r="AN29" s="175"/>
      <c r="AO29" s="174"/>
      <c r="AP29" s="174"/>
      <c r="AQ29" s="174"/>
      <c r="AR29" s="174"/>
      <c r="AS29" s="174"/>
      <c r="AT29" s="174"/>
      <c r="AU29" s="176"/>
      <c r="AV29" s="177"/>
      <c r="AW29" s="177"/>
      <c r="AX29" s="177"/>
      <c r="AY29" s="177"/>
    </row>
    <row r="30" spans="1:51" s="154" customFormat="1" ht="12" hidden="1" customHeight="1">
      <c r="A30" s="139"/>
      <c r="B30" s="140"/>
      <c r="C30" s="159"/>
      <c r="D30" s="163"/>
      <c r="E30" s="163"/>
      <c r="F30" s="185"/>
      <c r="G30" s="162"/>
      <c r="H30" s="215"/>
      <c r="I30" s="216"/>
      <c r="J30" s="217"/>
      <c r="K30" s="163"/>
      <c r="L30" s="180"/>
      <c r="M30" s="141"/>
      <c r="N30" s="142"/>
      <c r="O30" s="142"/>
      <c r="P30" s="143"/>
      <c r="Q30" s="246"/>
      <c r="R30" s="246"/>
      <c r="S30" s="246"/>
      <c r="T30" s="142"/>
      <c r="U30" s="181"/>
      <c r="V30" s="181"/>
      <c r="W30" s="181"/>
      <c r="X30" s="182"/>
      <c r="Y30" s="183"/>
      <c r="Z30" s="184"/>
      <c r="AA30" s="169"/>
      <c r="AB30" s="170"/>
      <c r="AC30" s="171"/>
      <c r="AD30" s="172"/>
      <c r="AE30" s="170"/>
      <c r="AF30" s="171"/>
      <c r="AG30" s="171"/>
      <c r="AH30" s="156"/>
      <c r="AI30" s="173"/>
      <c r="AJ30" s="156"/>
      <c r="AK30" s="171"/>
      <c r="AL30" s="171"/>
      <c r="AM30" s="174"/>
      <c r="AN30" s="175"/>
      <c r="AO30" s="174"/>
      <c r="AP30" s="174"/>
      <c r="AQ30" s="174"/>
      <c r="AR30" s="174"/>
      <c r="AS30" s="174"/>
      <c r="AT30" s="174"/>
      <c r="AU30" s="176"/>
      <c r="AV30" s="177"/>
      <c r="AW30" s="177"/>
      <c r="AX30" s="177"/>
      <c r="AY30" s="177"/>
    </row>
    <row r="31" spans="1:51" s="154" customFormat="1" ht="12" hidden="1" customHeight="1">
      <c r="A31" s="139" t="s">
        <v>304</v>
      </c>
      <c r="B31" s="140" t="s">
        <v>382</v>
      </c>
      <c r="C31" s="159"/>
      <c r="D31" s="226" t="s">
        <v>286</v>
      </c>
      <c r="E31" s="179" t="s">
        <v>286</v>
      </c>
      <c r="F31" s="178" t="s">
        <v>286</v>
      </c>
      <c r="G31" s="162"/>
      <c r="H31" s="215">
        <f>H20+H22+H25+H29</f>
        <v>3.5695065105601467</v>
      </c>
      <c r="I31" s="216">
        <f>I20+I22+I25+I29</f>
        <v>2.1568014110192837</v>
      </c>
      <c r="J31" s="217">
        <f>J20+W20</f>
        <v>10.817857043234804</v>
      </c>
      <c r="K31" s="163">
        <f>VLOOKUP(ROUND(J31,1),'SHA Intensity'!$B$3:$D$163,3,TRUE)</f>
        <v>5.8527999999999967</v>
      </c>
      <c r="L31" s="180">
        <f>K31*I31</f>
        <v>12.623327298413656</v>
      </c>
      <c r="M31" s="141" t="s">
        <v>396</v>
      </c>
      <c r="N31" s="322" t="s">
        <v>202</v>
      </c>
      <c r="O31" s="142">
        <v>1.2999999999999999E-2</v>
      </c>
      <c r="P31" s="143">
        <f>(Q31-R31)/T31</f>
        <v>9.3852459016394284E-3</v>
      </c>
      <c r="Q31" s="246">
        <v>303.49</v>
      </c>
      <c r="R31" s="246">
        <v>301.2</v>
      </c>
      <c r="S31" s="246">
        <v>312.08</v>
      </c>
      <c r="T31" s="142">
        <v>244</v>
      </c>
      <c r="U31" s="181">
        <f t="shared" ref="U31:U34" si="23">AL31</f>
        <v>3.155831824603414</v>
      </c>
      <c r="V31" s="181">
        <v>10.1</v>
      </c>
      <c r="W31" s="181">
        <f t="shared" ref="W31:W34" si="24">T31/U31/(60)</f>
        <v>1.2886195756574308</v>
      </c>
      <c r="X31" s="182">
        <v>109.03</v>
      </c>
      <c r="Y31" s="183">
        <v>13.1</v>
      </c>
      <c r="Z31" s="184">
        <f>L31/X31</f>
        <v>0.11577847655153312</v>
      </c>
      <c r="AA31" s="169"/>
      <c r="AB31" s="170">
        <f t="shared" ref="AB31:AC34" si="25">O31</f>
        <v>1.2999999999999999E-2</v>
      </c>
      <c r="AC31" s="171">
        <f t="shared" si="25"/>
        <v>9.3852459016394284E-3</v>
      </c>
      <c r="AD31" s="172">
        <f t="shared" ref="AD31:AE34" si="26">L31</f>
        <v>12.623327298413656</v>
      </c>
      <c r="AE31" s="170" t="str">
        <f t="shared" si="26"/>
        <v>60 BY 33</v>
      </c>
      <c r="AF31" s="171">
        <v>4</v>
      </c>
      <c r="AG31" s="171" t="e">
        <f>((AD31*AB31)/(1.49*(AC31)^0.5))/(AE31/12)^2.66666667</f>
        <v>#VALUE!</v>
      </c>
      <c r="AH31" s="156" t="e">
        <f>VLOOKUP(AG31,TABLES!$A$2:$D$101,2)</f>
        <v>#VALUE!</v>
      </c>
      <c r="AI31" s="173" t="e">
        <f>AH31*AE31/12</f>
        <v>#VALUE!</v>
      </c>
      <c r="AJ31" s="156" t="e">
        <f>VLOOKUP(AG31,TABLES!$A$2:$D$101,3)</f>
        <v>#VALUE!</v>
      </c>
      <c r="AK31" s="171">
        <v>4</v>
      </c>
      <c r="AL31" s="171">
        <f t="shared" si="19"/>
        <v>3.155831824603414</v>
      </c>
      <c r="AM31" s="174"/>
      <c r="AN31" s="175"/>
      <c r="AO31" s="174"/>
      <c r="AP31" s="174"/>
      <c r="AQ31" s="174"/>
      <c r="AR31" s="174"/>
      <c r="AS31" s="174"/>
      <c r="AT31" s="174"/>
      <c r="AU31" s="176"/>
      <c r="AV31" s="177"/>
      <c r="AW31" s="177"/>
      <c r="AX31" s="177"/>
      <c r="AY31" s="177"/>
    </row>
    <row r="32" spans="1:51" s="154" customFormat="1" ht="12" hidden="1" customHeight="1">
      <c r="A32" s="139" t="s">
        <v>359</v>
      </c>
      <c r="B32" s="140" t="s">
        <v>382</v>
      </c>
      <c r="C32" s="159"/>
      <c r="D32" s="163">
        <f>'Rationals-MCDOT'!D20/43560</f>
        <v>5.4965105601469229E-2</v>
      </c>
      <c r="E32" s="163">
        <f>'Rationals-MCDOT'!D22</f>
        <v>0.84907512905758742</v>
      </c>
      <c r="F32" s="185">
        <f>E32*D32</f>
        <v>4.6669504132231407E-2</v>
      </c>
      <c r="G32" s="162"/>
      <c r="H32" s="219">
        <f>D32</f>
        <v>5.4965105601469229E-2</v>
      </c>
      <c r="I32" s="218">
        <f>F32</f>
        <v>4.6669504132231407E-2</v>
      </c>
      <c r="J32" s="217">
        <f>'Rationals-MCDOT'!B28</f>
        <v>5</v>
      </c>
      <c r="K32" s="163">
        <f>VLOOKUP(ROUND(J32,1),'SHA Intensity'!$B$3:$D$163,3,TRUE)</f>
        <v>7.5720000000000001</v>
      </c>
      <c r="L32" s="180">
        <f>K32*I32</f>
        <v>0.35338148528925623</v>
      </c>
      <c r="M32" s="141">
        <v>15</v>
      </c>
      <c r="N32" s="322" t="s">
        <v>202</v>
      </c>
      <c r="O32" s="142">
        <v>1.2999999999999999E-2</v>
      </c>
      <c r="P32" s="143">
        <f t="shared" ref="P32:P34" si="27">(Q32-R32)/T32</f>
        <v>0.12647058823529611</v>
      </c>
      <c r="Q32" s="246">
        <v>303.85000000000002</v>
      </c>
      <c r="R32" s="246">
        <v>301.7</v>
      </c>
      <c r="S32" s="246">
        <v>308.31</v>
      </c>
      <c r="T32" s="142">
        <v>17</v>
      </c>
      <c r="U32" s="181">
        <f t="shared" si="23"/>
        <v>7.6926581831674827</v>
      </c>
      <c r="V32" s="181">
        <f t="shared" si="7"/>
        <v>18.770235268639407</v>
      </c>
      <c r="W32" s="181">
        <f t="shared" si="24"/>
        <v>3.683165514273113E-2</v>
      </c>
      <c r="X32" s="182">
        <f t="shared" ref="X32:X33" si="28">PI()*(((M32/2)/12)^2*(1.49/O32)*(M32/48)^0.66667*(P32^0.5))</f>
        <v>23.034524772501907</v>
      </c>
      <c r="Y32" s="183">
        <f t="shared" ref="Y32:Y33" si="29">AI32*12</f>
        <v>1.2</v>
      </c>
      <c r="Z32" s="184">
        <f t="shared" ref="Z32:Z34" si="30">L32/X32</f>
        <v>1.5341383804501799E-2</v>
      </c>
      <c r="AA32" s="169"/>
      <c r="AB32" s="170">
        <f t="shared" si="25"/>
        <v>1.2999999999999999E-2</v>
      </c>
      <c r="AC32" s="171">
        <f t="shared" si="25"/>
        <v>0.12647058823529611</v>
      </c>
      <c r="AD32" s="172">
        <f t="shared" si="26"/>
        <v>0.35338148528925623</v>
      </c>
      <c r="AE32" s="170">
        <f t="shared" si="26"/>
        <v>15</v>
      </c>
      <c r="AF32" s="171"/>
      <c r="AG32" s="171">
        <f t="shared" si="16"/>
        <v>4.7816678433081393E-3</v>
      </c>
      <c r="AH32" s="156">
        <f>VLOOKUP(AG32,TABLES!$A$2:$D$101,2)</f>
        <v>0.08</v>
      </c>
      <c r="AI32" s="173">
        <f t="shared" si="17"/>
        <v>9.9999999999999992E-2</v>
      </c>
      <c r="AJ32" s="156">
        <f>VLOOKUP(AG32,TABLES!$A$2:$D$101,3)</f>
        <v>2.9399999999999999E-2</v>
      </c>
      <c r="AK32" s="171">
        <f t="shared" si="18"/>
        <v>4.5937499999999999E-2</v>
      </c>
      <c r="AL32" s="171">
        <f t="shared" si="19"/>
        <v>7.6926581831674827</v>
      </c>
      <c r="AM32" s="174"/>
      <c r="AN32" s="175"/>
      <c r="AO32" s="174"/>
      <c r="AP32" s="174"/>
      <c r="AQ32" s="174"/>
      <c r="AR32" s="174"/>
      <c r="AS32" s="174"/>
      <c r="AT32" s="174"/>
      <c r="AU32" s="176"/>
      <c r="AV32" s="177"/>
      <c r="AW32" s="177"/>
      <c r="AX32" s="177"/>
      <c r="AY32" s="177"/>
    </row>
    <row r="33" spans="1:51" s="154" customFormat="1" ht="12" hidden="1" customHeight="1">
      <c r="A33" s="139" t="s">
        <v>362</v>
      </c>
      <c r="B33" s="140" t="s">
        <v>382</v>
      </c>
      <c r="C33" s="159"/>
      <c r="D33" s="163">
        <f>'Rationals-MCDOT'!M20/43560</f>
        <v>2.0137199265381085</v>
      </c>
      <c r="E33" s="163">
        <f>'Rationals-MCDOT'!M22</f>
        <v>0.58212056548716995</v>
      </c>
      <c r="F33" s="185">
        <f>E33*D33</f>
        <v>1.172227782369146</v>
      </c>
      <c r="G33" s="239"/>
      <c r="H33" s="215">
        <f>D33</f>
        <v>2.0137199265381085</v>
      </c>
      <c r="I33" s="216">
        <f>F33</f>
        <v>1.172227782369146</v>
      </c>
      <c r="J33" s="217">
        <f>'Rationals-MCDOT'!K28</f>
        <v>10</v>
      </c>
      <c r="K33" s="163">
        <f>VLOOKUP(ROUND(J33,1),'SHA Intensity'!$B$3:$D$163,3,TRUE)</f>
        <v>6</v>
      </c>
      <c r="L33" s="180">
        <f>K33*I33</f>
        <v>7.0333666942148767</v>
      </c>
      <c r="M33" s="141">
        <v>15</v>
      </c>
      <c r="N33" s="322" t="s">
        <v>202</v>
      </c>
      <c r="O33" s="142">
        <v>1.2999999999999999E-2</v>
      </c>
      <c r="P33" s="143">
        <f t="shared" si="27"/>
        <v>0.46799999999999498</v>
      </c>
      <c r="Q33" s="246">
        <v>303.94</v>
      </c>
      <c r="R33" s="246">
        <v>301.60000000000002</v>
      </c>
      <c r="S33" s="246">
        <v>308.35000000000002</v>
      </c>
      <c r="T33" s="142">
        <v>5</v>
      </c>
      <c r="U33" s="181">
        <f t="shared" si="23"/>
        <v>27.734779324075916</v>
      </c>
      <c r="V33" s="181">
        <f t="shared" si="7"/>
        <v>36.10753770504553</v>
      </c>
      <c r="W33" s="181">
        <f t="shared" si="24"/>
        <v>3.0046510325392644E-3</v>
      </c>
      <c r="X33" s="182">
        <f t="shared" si="28"/>
        <v>44.310577882341398</v>
      </c>
      <c r="Y33" s="183">
        <f t="shared" si="29"/>
        <v>3.9000000000000004</v>
      </c>
      <c r="Z33" s="184">
        <f t="shared" si="30"/>
        <v>0.15872884151704567</v>
      </c>
      <c r="AA33" s="169"/>
      <c r="AB33" s="170">
        <f t="shared" si="25"/>
        <v>1.2999999999999999E-2</v>
      </c>
      <c r="AC33" s="171">
        <f t="shared" si="25"/>
        <v>0.46799999999999498</v>
      </c>
      <c r="AD33" s="172">
        <f t="shared" si="26"/>
        <v>7.0333666942148767</v>
      </c>
      <c r="AE33" s="170">
        <f t="shared" si="26"/>
        <v>15</v>
      </c>
      <c r="AF33" s="171"/>
      <c r="AG33" s="171">
        <f t="shared" si="16"/>
        <v>4.9473281351900766E-2</v>
      </c>
      <c r="AH33" s="156">
        <f>VLOOKUP(AG33,TABLES!$A$2:$D$101,2)</f>
        <v>0.26</v>
      </c>
      <c r="AI33" s="173">
        <f t="shared" si="17"/>
        <v>0.32500000000000001</v>
      </c>
      <c r="AJ33" s="156">
        <f>VLOOKUP(AG33,TABLES!$A$2:$D$101,3)</f>
        <v>0.1623</v>
      </c>
      <c r="AK33" s="171">
        <f t="shared" si="18"/>
        <v>0.25359375000000001</v>
      </c>
      <c r="AL33" s="171">
        <f t="shared" si="19"/>
        <v>27.734779324075916</v>
      </c>
      <c r="AM33" s="174"/>
      <c r="AN33" s="175"/>
      <c r="AO33" s="174"/>
      <c r="AP33" s="174"/>
      <c r="AQ33" s="174"/>
      <c r="AR33" s="174"/>
      <c r="AS33" s="174"/>
      <c r="AT33" s="174"/>
      <c r="AU33" s="176"/>
      <c r="AV33" s="177"/>
      <c r="AW33" s="177"/>
      <c r="AX33" s="177"/>
      <c r="AY33" s="177"/>
    </row>
    <row r="34" spans="1:51" s="154" customFormat="1" ht="12" hidden="1" customHeight="1">
      <c r="A34" s="139" t="s">
        <v>382</v>
      </c>
      <c r="B34" s="140" t="s">
        <v>383</v>
      </c>
      <c r="C34" s="159"/>
      <c r="D34" s="226" t="s">
        <v>286</v>
      </c>
      <c r="E34" s="179" t="s">
        <v>286</v>
      </c>
      <c r="F34" s="178" t="s">
        <v>286</v>
      </c>
      <c r="G34" s="239"/>
      <c r="H34" s="219">
        <f>H33+H32+H31</f>
        <v>5.6381915426997242</v>
      </c>
      <c r="I34" s="218">
        <f>I33+I32+I31</f>
        <v>3.3756986975206611</v>
      </c>
      <c r="J34" s="217">
        <f>J32+W32</f>
        <v>5.0368316551427315</v>
      </c>
      <c r="K34" s="163">
        <f>VLOOKUP(ROUND(J34,1),'SHA Intensity'!$B$3:$D$163,3,TRUE)</f>
        <v>7.5720000000000001</v>
      </c>
      <c r="L34" s="180">
        <f>K34*I34</f>
        <v>25.560790537626445</v>
      </c>
      <c r="M34" s="141" t="s">
        <v>396</v>
      </c>
      <c r="N34" s="322" t="s">
        <v>202</v>
      </c>
      <c r="O34" s="142">
        <v>1.2999999999999999E-2</v>
      </c>
      <c r="P34" s="143">
        <f t="shared" si="27"/>
        <v>9.3939393939394631E-3</v>
      </c>
      <c r="Q34" s="246">
        <v>301.2</v>
      </c>
      <c r="R34" s="246">
        <v>300.89</v>
      </c>
      <c r="S34" s="246">
        <v>312.16000000000003</v>
      </c>
      <c r="T34" s="142">
        <v>33</v>
      </c>
      <c r="U34" s="181">
        <f t="shared" si="23"/>
        <v>5.1121581075252891</v>
      </c>
      <c r="V34" s="181">
        <v>10.1</v>
      </c>
      <c r="W34" s="181">
        <f t="shared" si="24"/>
        <v>0.10758665683488532</v>
      </c>
      <c r="X34" s="182">
        <v>109.03</v>
      </c>
      <c r="Y34" s="183">
        <v>15.5</v>
      </c>
      <c r="Z34" s="184">
        <f t="shared" si="30"/>
        <v>0.234438141223759</v>
      </c>
      <c r="AA34" s="169"/>
      <c r="AB34" s="170">
        <f t="shared" si="25"/>
        <v>1.2999999999999999E-2</v>
      </c>
      <c r="AC34" s="171">
        <f t="shared" si="25"/>
        <v>9.3939393939394631E-3</v>
      </c>
      <c r="AD34" s="172">
        <f t="shared" si="26"/>
        <v>25.560790537626445</v>
      </c>
      <c r="AE34" s="170" t="str">
        <f t="shared" si="26"/>
        <v>60 BY 33</v>
      </c>
      <c r="AF34" s="171">
        <v>5</v>
      </c>
      <c r="AG34" s="171" t="e">
        <f t="shared" si="16"/>
        <v>#VALUE!</v>
      </c>
      <c r="AH34" s="156" t="e">
        <f>VLOOKUP(AG34,TABLES!$A$2:$D$101,2)</f>
        <v>#VALUE!</v>
      </c>
      <c r="AI34" s="173" t="e">
        <f t="shared" si="17"/>
        <v>#VALUE!</v>
      </c>
      <c r="AJ34" s="156" t="e">
        <f>VLOOKUP(AG34,TABLES!$A$2:$D$101,3)</f>
        <v>#VALUE!</v>
      </c>
      <c r="AK34" s="171">
        <v>5</v>
      </c>
      <c r="AL34" s="171">
        <f t="shared" si="19"/>
        <v>5.1121581075252891</v>
      </c>
      <c r="AM34" s="174"/>
      <c r="AN34" s="175"/>
      <c r="AO34" s="174"/>
      <c r="AP34" s="174"/>
      <c r="AQ34" s="174"/>
      <c r="AR34" s="174"/>
      <c r="AS34" s="174"/>
      <c r="AT34" s="174"/>
      <c r="AU34" s="176"/>
      <c r="AV34" s="177"/>
      <c r="AW34" s="177"/>
      <c r="AX34" s="177"/>
      <c r="AY34" s="177"/>
    </row>
    <row r="35" spans="1:51" s="154" customFormat="1" ht="12" hidden="1" customHeight="1">
      <c r="A35" s="139"/>
      <c r="B35" s="140"/>
      <c r="C35" s="159"/>
      <c r="D35" s="163"/>
      <c r="E35" s="163"/>
      <c r="F35" s="185"/>
      <c r="G35" s="239"/>
      <c r="H35" s="215"/>
      <c r="I35" s="216"/>
      <c r="J35" s="217"/>
      <c r="K35" s="163"/>
      <c r="L35" s="164"/>
      <c r="M35" s="141"/>
      <c r="N35" s="142"/>
      <c r="O35" s="142"/>
      <c r="P35" s="143"/>
      <c r="Q35" s="246"/>
      <c r="R35" s="246"/>
      <c r="S35" s="246"/>
      <c r="T35" s="142"/>
      <c r="U35" s="165"/>
      <c r="V35" s="181"/>
      <c r="W35" s="165"/>
      <c r="X35" s="166"/>
      <c r="Y35" s="167"/>
      <c r="Z35" s="168"/>
      <c r="AA35" s="169"/>
      <c r="AB35" s="170"/>
      <c r="AC35" s="171"/>
      <c r="AD35" s="172"/>
      <c r="AE35" s="170"/>
      <c r="AF35" s="171"/>
      <c r="AG35" s="171"/>
      <c r="AH35" s="156"/>
      <c r="AI35" s="173"/>
      <c r="AJ35" s="156"/>
      <c r="AK35" s="171"/>
      <c r="AL35" s="171"/>
      <c r="AM35" s="174"/>
      <c r="AN35" s="175"/>
      <c r="AO35" s="174"/>
      <c r="AP35" s="174"/>
      <c r="AQ35" s="174"/>
      <c r="AR35" s="174"/>
      <c r="AS35" s="174"/>
      <c r="AT35" s="174"/>
      <c r="AU35" s="176"/>
      <c r="AV35" s="177"/>
      <c r="AW35" s="177"/>
      <c r="AX35" s="177"/>
      <c r="AY35" s="177"/>
    </row>
    <row r="36" spans="1:51" ht="13.15" hidden="1">
      <c r="A36" s="328" t="s">
        <v>378</v>
      </c>
      <c r="B36" s="331" t="s">
        <v>377</v>
      </c>
      <c r="C36" s="159"/>
      <c r="D36" s="163">
        <f>'Rationals-MCDOT'!V140/43560</f>
        <v>0</v>
      </c>
      <c r="E36" s="163">
        <f>'Rationals-MCDOT'!V142</f>
        <v>0</v>
      </c>
      <c r="F36" s="185">
        <f>D36*E36</f>
        <v>0</v>
      </c>
      <c r="G36" s="239"/>
      <c r="H36" s="219">
        <f>D36</f>
        <v>0</v>
      </c>
      <c r="I36" s="218">
        <f>F36</f>
        <v>0</v>
      </c>
      <c r="J36" s="217">
        <f>'Rationals-MCDOT'!T148</f>
        <v>0</v>
      </c>
      <c r="K36" s="163" t="e">
        <f>VLOOKUP(ROUND(J36,1),'SHA Intensity'!$B$3:$D$163,3,TRUE)</f>
        <v>#N/A</v>
      </c>
      <c r="L36" s="180" t="e">
        <f t="shared" ref="L36:L37" si="31">K36*I36</f>
        <v>#N/A</v>
      </c>
      <c r="M36" s="141">
        <v>30</v>
      </c>
      <c r="N36" s="322" t="s">
        <v>202</v>
      </c>
      <c r="O36" s="142">
        <v>1.2999999999999999E-2</v>
      </c>
      <c r="P36" s="143">
        <f>(Q36-R36)/T36</f>
        <v>1.5224719101123481E-2</v>
      </c>
      <c r="Q36" s="246">
        <v>307.2</v>
      </c>
      <c r="R36" s="246">
        <v>304.49</v>
      </c>
      <c r="S36" s="246">
        <v>313.37</v>
      </c>
      <c r="T36" s="142">
        <v>178</v>
      </c>
      <c r="U36" s="181" t="e">
        <f t="shared" ref="U36:U37" si="32">AL36</f>
        <v>#N/A</v>
      </c>
      <c r="V36" s="181">
        <f t="shared" si="7"/>
        <v>10.338017390172778</v>
      </c>
      <c r="W36" s="181" t="e">
        <f t="shared" ref="W36:W37" si="33">T36/U36/(60)</f>
        <v>#N/A</v>
      </c>
      <c r="X36" s="182">
        <f t="shared" ref="X36:X37" si="34">PI()*(((M36/2)/12)^2*(1.49/O36)*(M36/48)^0.66667*(P36^0.5))</f>
        <v>50.746581332488901</v>
      </c>
      <c r="Y36" s="183" t="e">
        <f t="shared" ref="Y36:Y37" si="35">AI36*12</f>
        <v>#N/A</v>
      </c>
      <c r="Z36" s="184" t="e">
        <f t="shared" ref="Z36:Z37" si="36">L36/X36</f>
        <v>#N/A</v>
      </c>
      <c r="AA36" s="169"/>
      <c r="AB36" s="170">
        <f t="shared" ref="AB36:AC51" si="37">O36</f>
        <v>1.2999999999999999E-2</v>
      </c>
      <c r="AC36" s="171">
        <f t="shared" si="37"/>
        <v>1.5224719101123481E-2</v>
      </c>
      <c r="AD36" s="172" t="e">
        <f t="shared" ref="AD36:AE51" si="38">L36</f>
        <v>#N/A</v>
      </c>
      <c r="AE36" s="170">
        <f t="shared" si="38"/>
        <v>30</v>
      </c>
      <c r="AF36" s="171"/>
      <c r="AG36" s="171" t="e">
        <f t="shared" ref="AG36:AG91" si="39">((AD36*AB36)/(1.49*(AC36)^0.5))/(AE36/12)^2.66666667</f>
        <v>#N/A</v>
      </c>
      <c r="AH36" s="156" t="e">
        <f>VLOOKUP(AG36,TABLES!$A$2:$D$101,2)</f>
        <v>#N/A</v>
      </c>
      <c r="AI36" s="173" t="e">
        <f t="shared" ref="AI36:AI91" si="40">AH36*AE36/12</f>
        <v>#N/A</v>
      </c>
      <c r="AJ36" s="156" t="e">
        <f>VLOOKUP(AG36,TABLES!$A$2:$D$101,3)</f>
        <v>#N/A</v>
      </c>
      <c r="AK36" s="171" t="e">
        <f t="shared" ref="AK36:AK91" si="41">AJ36*(AE36/12)^2</f>
        <v>#N/A</v>
      </c>
      <c r="AL36" s="171" t="e">
        <f t="shared" ref="AL36:AL91" si="42">AD36/AK36</f>
        <v>#N/A</v>
      </c>
    </row>
    <row r="37" spans="1:51" ht="13.15" hidden="1">
      <c r="A37" s="139" t="s">
        <v>377</v>
      </c>
      <c r="B37" s="140" t="s">
        <v>383</v>
      </c>
      <c r="C37" s="159"/>
      <c r="D37" s="163">
        <f>'Rationals-MCDOT'!M140/43560</f>
        <v>0</v>
      </c>
      <c r="E37" s="163">
        <f>'Rationals-MCDOT'!M142</f>
        <v>0</v>
      </c>
      <c r="F37" s="185">
        <f>D37*E37</f>
        <v>0</v>
      </c>
      <c r="G37" s="239"/>
      <c r="H37" s="215">
        <f>H36+D37</f>
        <v>0</v>
      </c>
      <c r="I37" s="216">
        <f>I36+F37</f>
        <v>0</v>
      </c>
      <c r="J37" s="217">
        <f>'Rationals-MCDOT'!K148</f>
        <v>0</v>
      </c>
      <c r="K37" s="163" t="e">
        <f>VLOOKUP(ROUND(J37,1),'SHA Intensity'!$B$3:$D$163,3,TRUE)</f>
        <v>#N/A</v>
      </c>
      <c r="L37" s="180" t="e">
        <f t="shared" si="31"/>
        <v>#N/A</v>
      </c>
      <c r="M37" s="141">
        <v>30</v>
      </c>
      <c r="N37" s="322" t="s">
        <v>202</v>
      </c>
      <c r="O37" s="142">
        <v>1.2999999999999999E-2</v>
      </c>
      <c r="P37" s="143">
        <f>(Q37-R37)/T37</f>
        <v>6.2105263157895094E-2</v>
      </c>
      <c r="Q37" s="246">
        <v>304.41000000000003</v>
      </c>
      <c r="R37" s="246">
        <v>300.87</v>
      </c>
      <c r="S37" s="246">
        <v>308.27</v>
      </c>
      <c r="T37" s="142">
        <v>57</v>
      </c>
      <c r="U37" s="181" t="e">
        <f t="shared" si="32"/>
        <v>#N/A</v>
      </c>
      <c r="V37" s="181">
        <f t="shared" si="7"/>
        <v>20.879823215510903</v>
      </c>
      <c r="W37" s="181" t="e">
        <f t="shared" si="33"/>
        <v>#N/A</v>
      </c>
      <c r="X37" s="182">
        <f t="shared" si="34"/>
        <v>102.49350596190141</v>
      </c>
      <c r="Y37" s="183" t="e">
        <f t="shared" si="35"/>
        <v>#N/A</v>
      </c>
      <c r="Z37" s="184" t="e">
        <f t="shared" si="36"/>
        <v>#N/A</v>
      </c>
      <c r="AA37" s="169"/>
      <c r="AB37" s="170">
        <f t="shared" si="37"/>
        <v>1.2999999999999999E-2</v>
      </c>
      <c r="AC37" s="171">
        <f t="shared" si="37"/>
        <v>6.2105263157895094E-2</v>
      </c>
      <c r="AD37" s="172" t="e">
        <f t="shared" si="38"/>
        <v>#N/A</v>
      </c>
      <c r="AE37" s="170">
        <f t="shared" si="38"/>
        <v>30</v>
      </c>
      <c r="AF37" s="171"/>
      <c r="AG37" s="171" t="e">
        <f t="shared" si="39"/>
        <v>#N/A</v>
      </c>
      <c r="AH37" s="156" t="e">
        <f>VLOOKUP(AG37,TABLES!$A$2:$D$101,2)</f>
        <v>#N/A</v>
      </c>
      <c r="AI37" s="173" t="e">
        <f t="shared" si="40"/>
        <v>#N/A</v>
      </c>
      <c r="AJ37" s="156" t="e">
        <f>VLOOKUP(AG37,TABLES!$A$2:$D$101,3)</f>
        <v>#N/A</v>
      </c>
      <c r="AK37" s="171" t="e">
        <f t="shared" si="41"/>
        <v>#N/A</v>
      </c>
      <c r="AL37" s="171" t="e">
        <f t="shared" si="42"/>
        <v>#N/A</v>
      </c>
    </row>
    <row r="38" spans="1:51" ht="13.15" hidden="1">
      <c r="A38" s="139"/>
      <c r="B38" s="140"/>
      <c r="C38" s="159"/>
      <c r="D38" s="163"/>
      <c r="E38" s="163"/>
      <c r="F38" s="185"/>
      <c r="G38" s="239"/>
      <c r="H38" s="219"/>
      <c r="I38" s="218"/>
      <c r="J38" s="217"/>
      <c r="K38" s="163"/>
      <c r="L38" s="180"/>
      <c r="M38" s="141"/>
      <c r="N38" s="142"/>
      <c r="O38" s="142"/>
      <c r="P38" s="143"/>
      <c r="Q38" s="246"/>
      <c r="R38" s="246"/>
      <c r="S38" s="246"/>
      <c r="T38" s="142"/>
      <c r="U38" s="181"/>
      <c r="V38" s="181"/>
      <c r="W38" s="181"/>
      <c r="X38" s="182"/>
      <c r="Y38" s="183"/>
      <c r="Z38" s="184"/>
      <c r="AA38" s="169"/>
      <c r="AB38" s="170">
        <f t="shared" si="37"/>
        <v>0</v>
      </c>
      <c r="AC38" s="171">
        <f t="shared" si="37"/>
        <v>0</v>
      </c>
      <c r="AD38" s="172">
        <f t="shared" si="38"/>
        <v>0</v>
      </c>
      <c r="AE38" s="170">
        <f t="shared" si="38"/>
        <v>0</v>
      </c>
      <c r="AF38" s="171"/>
      <c r="AG38" s="171" t="e">
        <f t="shared" si="39"/>
        <v>#DIV/0!</v>
      </c>
      <c r="AH38" s="156" t="e">
        <f>VLOOKUP(AG38,TABLES!$A$2:$D$101,2)</f>
        <v>#DIV/0!</v>
      </c>
      <c r="AI38" s="173" t="e">
        <f t="shared" si="40"/>
        <v>#DIV/0!</v>
      </c>
      <c r="AJ38" s="156" t="e">
        <f>VLOOKUP(AG38,TABLES!$A$2:$D$101,3)</f>
        <v>#DIV/0!</v>
      </c>
      <c r="AK38" s="171" t="e">
        <f t="shared" si="41"/>
        <v>#DIV/0!</v>
      </c>
      <c r="AL38" s="171" t="e">
        <f t="shared" si="42"/>
        <v>#DIV/0!</v>
      </c>
    </row>
    <row r="39" spans="1:51" ht="13.15" hidden="1">
      <c r="A39" s="139" t="s">
        <v>384</v>
      </c>
      <c r="B39" s="140" t="s">
        <v>385</v>
      </c>
      <c r="C39" s="159"/>
      <c r="D39" s="163">
        <f>'Rationals-MCDOT'!V170/43560</f>
        <v>0</v>
      </c>
      <c r="E39" s="163">
        <f>'Rationals-MCDOT'!V172</f>
        <v>0</v>
      </c>
      <c r="F39" s="185">
        <f>D39*E39</f>
        <v>0</v>
      </c>
      <c r="G39" s="239"/>
      <c r="H39" s="215">
        <f>D39</f>
        <v>0</v>
      </c>
      <c r="I39" s="216">
        <f>F39</f>
        <v>0</v>
      </c>
      <c r="J39" s="217">
        <f>'Rationals-MCDOT'!T178</f>
        <v>0</v>
      </c>
      <c r="K39" s="163" t="e">
        <f>VLOOKUP(ROUND(J39,1),'SHA Intensity'!$B$3:$D$163,3,TRUE)</f>
        <v>#N/A</v>
      </c>
      <c r="L39" s="180">
        <v>8.08</v>
      </c>
      <c r="M39" s="141">
        <v>18</v>
      </c>
      <c r="N39" s="322" t="s">
        <v>202</v>
      </c>
      <c r="O39" s="142">
        <v>1.2999999999999999E-2</v>
      </c>
      <c r="P39" s="143">
        <f>(Q39-R39)/T39</f>
        <v>1.0666666666666439E-2</v>
      </c>
      <c r="Q39" s="246">
        <v>325.20999999999998</v>
      </c>
      <c r="R39" s="246">
        <v>324.89</v>
      </c>
      <c r="S39" s="246">
        <v>337.4</v>
      </c>
      <c r="T39" s="142">
        <v>30</v>
      </c>
      <c r="U39" s="181">
        <f t="shared" ref="U39:U46" si="43">AL39</f>
        <v>6.7654693125680305</v>
      </c>
      <c r="V39" s="181">
        <f t="shared" si="7"/>
        <v>6.1556946677251654</v>
      </c>
      <c r="W39" s="181">
        <f t="shared" ref="W39:W46" si="44">T39/U39/(60)</f>
        <v>7.390470297029704E-2</v>
      </c>
      <c r="X39" s="182">
        <f t="shared" ref="X39:X46" si="45">PI()*(((M39/2)/12)^2*(1.49/O39)*(M39/48)^0.66667*(P39^0.5))</f>
        <v>10.878001206288019</v>
      </c>
      <c r="Y39" s="183">
        <f t="shared" ref="Y39:Y46" si="46">AI39*12</f>
        <v>11.52</v>
      </c>
      <c r="Z39" s="184">
        <f t="shared" ref="Z39:Z46" si="47">L39/X39</f>
        <v>0.74278351755737659</v>
      </c>
      <c r="AA39" s="169"/>
      <c r="AB39" s="170">
        <f t="shared" si="37"/>
        <v>1.2999999999999999E-2</v>
      </c>
      <c r="AC39" s="171">
        <f t="shared" si="37"/>
        <v>1.0666666666666439E-2</v>
      </c>
      <c r="AD39" s="172">
        <f t="shared" si="38"/>
        <v>8.08</v>
      </c>
      <c r="AE39" s="170">
        <f t="shared" si="38"/>
        <v>18</v>
      </c>
      <c r="AF39" s="171"/>
      <c r="AG39" s="171">
        <f t="shared" si="39"/>
        <v>0.2315140708346658</v>
      </c>
      <c r="AH39" s="156">
        <f>VLOOKUP(AG39,TABLES!$A$2:$D$101,2)</f>
        <v>0.64</v>
      </c>
      <c r="AI39" s="173">
        <f t="shared" si="40"/>
        <v>0.96</v>
      </c>
      <c r="AJ39" s="156">
        <f>VLOOKUP(AG39,TABLES!$A$2:$D$101,3)</f>
        <v>0.53080000000000005</v>
      </c>
      <c r="AK39" s="171">
        <f t="shared" si="41"/>
        <v>1.1943000000000001</v>
      </c>
      <c r="AL39" s="171">
        <f t="shared" si="42"/>
        <v>6.7654693125680305</v>
      </c>
    </row>
    <row r="40" spans="1:51" ht="13.15" hidden="1">
      <c r="A40" s="139" t="s">
        <v>385</v>
      </c>
      <c r="B40" s="140" t="s">
        <v>386</v>
      </c>
      <c r="C40" s="159"/>
      <c r="D40" s="226" t="s">
        <v>286</v>
      </c>
      <c r="E40" s="179" t="s">
        <v>286</v>
      </c>
      <c r="F40" s="178" t="s">
        <v>286</v>
      </c>
      <c r="G40" s="239"/>
      <c r="H40" s="219">
        <f>H39</f>
        <v>0</v>
      </c>
      <c r="I40" s="218">
        <f>I39</f>
        <v>0</v>
      </c>
      <c r="J40" s="217">
        <f>J39+W39</f>
        <v>7.390470297029704E-2</v>
      </c>
      <c r="K40" s="163" t="e">
        <f>VLOOKUP(ROUND(J40,1),'SHA Intensity'!$B$3:$D$163,3,TRUE)</f>
        <v>#N/A</v>
      </c>
      <c r="L40" s="180" t="e">
        <f t="shared" ref="L40:L46" si="48">K40*I40</f>
        <v>#N/A</v>
      </c>
      <c r="M40" s="141">
        <v>18</v>
      </c>
      <c r="N40" s="322" t="s">
        <v>202</v>
      </c>
      <c r="O40" s="142">
        <v>1.2999999999999999E-2</v>
      </c>
      <c r="P40" s="143">
        <f t="shared" ref="P40:P45" si="49">(Q40-R40)/T40</f>
        <v>4.8191881918819193E-2</v>
      </c>
      <c r="Q40" s="246">
        <v>321.12</v>
      </c>
      <c r="R40" s="246">
        <v>308.06</v>
      </c>
      <c r="S40" s="246">
        <v>336.69</v>
      </c>
      <c r="T40" s="142">
        <v>271</v>
      </c>
      <c r="U40" s="181" t="e">
        <f t="shared" si="43"/>
        <v>#N/A</v>
      </c>
      <c r="V40" s="181">
        <f t="shared" si="7"/>
        <v>13.084274634014452</v>
      </c>
      <c r="W40" s="181" t="e">
        <f t="shared" si="44"/>
        <v>#N/A</v>
      </c>
      <c r="X40" s="182">
        <f t="shared" si="45"/>
        <v>23.121802320453824</v>
      </c>
      <c r="Y40" s="183" t="e">
        <f t="shared" si="46"/>
        <v>#N/A</v>
      </c>
      <c r="Z40" s="184" t="e">
        <f t="shared" si="47"/>
        <v>#N/A</v>
      </c>
      <c r="AA40" s="169"/>
      <c r="AB40" s="170">
        <f t="shared" si="37"/>
        <v>1.2999999999999999E-2</v>
      </c>
      <c r="AC40" s="171">
        <f t="shared" si="37"/>
        <v>4.8191881918819193E-2</v>
      </c>
      <c r="AD40" s="172" t="e">
        <f t="shared" si="38"/>
        <v>#N/A</v>
      </c>
      <c r="AE40" s="170">
        <f t="shared" si="38"/>
        <v>18</v>
      </c>
      <c r="AF40" s="171"/>
      <c r="AG40" s="171" t="e">
        <f t="shared" si="39"/>
        <v>#N/A</v>
      </c>
      <c r="AH40" s="156" t="e">
        <f>VLOOKUP(AG40,TABLES!$A$2:$D$101,2)</f>
        <v>#N/A</v>
      </c>
      <c r="AI40" s="173" t="e">
        <f t="shared" si="40"/>
        <v>#N/A</v>
      </c>
      <c r="AJ40" s="156" t="e">
        <f>VLOOKUP(AG40,TABLES!$A$2:$D$101,3)</f>
        <v>#N/A</v>
      </c>
      <c r="AK40" s="171" t="e">
        <f t="shared" si="41"/>
        <v>#N/A</v>
      </c>
      <c r="AL40" s="171" t="e">
        <f t="shared" si="42"/>
        <v>#N/A</v>
      </c>
    </row>
    <row r="41" spans="1:51" ht="13.15" hidden="1">
      <c r="A41" s="139" t="s">
        <v>386</v>
      </c>
      <c r="B41" s="140" t="s">
        <v>387</v>
      </c>
      <c r="C41" s="159"/>
      <c r="D41" s="226" t="s">
        <v>286</v>
      </c>
      <c r="E41" s="179" t="s">
        <v>286</v>
      </c>
      <c r="F41" s="178" t="s">
        <v>286</v>
      </c>
      <c r="G41" s="239"/>
      <c r="H41" s="219">
        <f t="shared" ref="H41:I46" si="50">H40</f>
        <v>0</v>
      </c>
      <c r="I41" s="218">
        <f t="shared" si="50"/>
        <v>0</v>
      </c>
      <c r="J41" s="217" t="e">
        <f t="shared" ref="J41:J46" si="51">J40+W40</f>
        <v>#N/A</v>
      </c>
      <c r="K41" s="163" t="e">
        <f>VLOOKUP(ROUND(J41,1),'SHA Intensity'!$B$3:$D$163,3,TRUE)</f>
        <v>#N/A</v>
      </c>
      <c r="L41" s="180" t="e">
        <f t="shared" si="48"/>
        <v>#N/A</v>
      </c>
      <c r="M41" s="141">
        <v>24</v>
      </c>
      <c r="N41" s="322" t="s">
        <v>202</v>
      </c>
      <c r="O41" s="142">
        <v>1.2999999999999999E-2</v>
      </c>
      <c r="P41" s="143">
        <f t="shared" si="49"/>
        <v>9.0000000000031825E-3</v>
      </c>
      <c r="Q41" s="246">
        <v>307.54000000000002</v>
      </c>
      <c r="R41" s="246">
        <v>307.45</v>
      </c>
      <c r="S41" s="246">
        <v>317.36</v>
      </c>
      <c r="T41" s="142">
        <v>10</v>
      </c>
      <c r="U41" s="181" t="e">
        <f t="shared" si="43"/>
        <v>#N/A</v>
      </c>
      <c r="V41" s="181">
        <f t="shared" si="7"/>
        <v>6.8497839008511656</v>
      </c>
      <c r="W41" s="181" t="e">
        <f t="shared" si="44"/>
        <v>#N/A</v>
      </c>
      <c r="X41" s="182">
        <f t="shared" si="45"/>
        <v>21.519212605075012</v>
      </c>
      <c r="Y41" s="183" t="e">
        <f t="shared" si="46"/>
        <v>#N/A</v>
      </c>
      <c r="Z41" s="184" t="e">
        <f t="shared" si="47"/>
        <v>#N/A</v>
      </c>
      <c r="AA41" s="169"/>
      <c r="AB41" s="170">
        <f t="shared" si="37"/>
        <v>1.2999999999999999E-2</v>
      </c>
      <c r="AC41" s="171">
        <f t="shared" si="37"/>
        <v>9.0000000000031825E-3</v>
      </c>
      <c r="AD41" s="172" t="e">
        <f t="shared" si="38"/>
        <v>#N/A</v>
      </c>
      <c r="AE41" s="170">
        <f t="shared" si="38"/>
        <v>24</v>
      </c>
      <c r="AF41" s="171"/>
      <c r="AG41" s="171" t="e">
        <f t="shared" si="39"/>
        <v>#N/A</v>
      </c>
      <c r="AH41" s="156" t="e">
        <f>VLOOKUP(AG41,TABLES!$A$2:$D$101,2)</f>
        <v>#N/A</v>
      </c>
      <c r="AI41" s="173" t="e">
        <f t="shared" si="40"/>
        <v>#N/A</v>
      </c>
      <c r="AJ41" s="156" t="e">
        <f>VLOOKUP(AG41,TABLES!$A$2:$D$101,3)</f>
        <v>#N/A</v>
      </c>
      <c r="AK41" s="171" t="e">
        <f t="shared" si="41"/>
        <v>#N/A</v>
      </c>
      <c r="AL41" s="171" t="e">
        <f t="shared" si="42"/>
        <v>#N/A</v>
      </c>
    </row>
    <row r="42" spans="1:51" ht="13.15" hidden="1">
      <c r="A42" s="139" t="s">
        <v>387</v>
      </c>
      <c r="B42" s="140" t="s">
        <v>388</v>
      </c>
      <c r="C42" s="159"/>
      <c r="D42" s="226" t="s">
        <v>286</v>
      </c>
      <c r="E42" s="179" t="s">
        <v>286</v>
      </c>
      <c r="F42" s="178" t="s">
        <v>286</v>
      </c>
      <c r="G42" s="239"/>
      <c r="H42" s="219">
        <f t="shared" si="50"/>
        <v>0</v>
      </c>
      <c r="I42" s="218">
        <f t="shared" si="50"/>
        <v>0</v>
      </c>
      <c r="J42" s="217" t="e">
        <f t="shared" si="51"/>
        <v>#N/A</v>
      </c>
      <c r="K42" s="163" t="e">
        <f>VLOOKUP(ROUND(J42,1),'SHA Intensity'!$B$3:$D$163,3,TRUE)</f>
        <v>#N/A</v>
      </c>
      <c r="L42" s="180" t="e">
        <f t="shared" si="48"/>
        <v>#N/A</v>
      </c>
      <c r="M42" s="141">
        <v>24</v>
      </c>
      <c r="N42" s="322" t="s">
        <v>202</v>
      </c>
      <c r="O42" s="142">
        <v>1.2999999999999999E-2</v>
      </c>
      <c r="P42" s="143">
        <f t="shared" si="49"/>
        <v>9.9999999999994312E-3</v>
      </c>
      <c r="Q42" s="246">
        <v>307.39</v>
      </c>
      <c r="R42" s="246">
        <v>307.19</v>
      </c>
      <c r="S42" s="246">
        <v>316.93</v>
      </c>
      <c r="T42" s="142">
        <v>20</v>
      </c>
      <c r="U42" s="181" t="e">
        <f t="shared" si="43"/>
        <v>#N/A</v>
      </c>
      <c r="V42" s="181">
        <f t="shared" si="7"/>
        <v>7.220306202212738</v>
      </c>
      <c r="W42" s="181" t="e">
        <f t="shared" si="44"/>
        <v>#N/A</v>
      </c>
      <c r="X42" s="182">
        <f t="shared" si="45"/>
        <v>22.683241761809516</v>
      </c>
      <c r="Y42" s="183" t="e">
        <f t="shared" si="46"/>
        <v>#N/A</v>
      </c>
      <c r="Z42" s="184" t="e">
        <f t="shared" si="47"/>
        <v>#N/A</v>
      </c>
      <c r="AA42" s="169"/>
      <c r="AB42" s="170">
        <f t="shared" si="37"/>
        <v>1.2999999999999999E-2</v>
      </c>
      <c r="AC42" s="171">
        <f t="shared" si="37"/>
        <v>9.9999999999994312E-3</v>
      </c>
      <c r="AD42" s="172" t="e">
        <f t="shared" si="38"/>
        <v>#N/A</v>
      </c>
      <c r="AE42" s="170">
        <f t="shared" si="38"/>
        <v>24</v>
      </c>
      <c r="AF42" s="171"/>
      <c r="AG42" s="171" t="e">
        <f t="shared" si="39"/>
        <v>#N/A</v>
      </c>
      <c r="AH42" s="156" t="e">
        <f>VLOOKUP(AG42,TABLES!$A$2:$D$101,2)</f>
        <v>#N/A</v>
      </c>
      <c r="AI42" s="173" t="e">
        <f t="shared" si="40"/>
        <v>#N/A</v>
      </c>
      <c r="AJ42" s="156" t="e">
        <f>VLOOKUP(AG42,TABLES!$A$2:$D$101,3)</f>
        <v>#N/A</v>
      </c>
      <c r="AK42" s="171" t="e">
        <f t="shared" si="41"/>
        <v>#N/A</v>
      </c>
      <c r="AL42" s="171" t="e">
        <f t="shared" si="42"/>
        <v>#N/A</v>
      </c>
    </row>
    <row r="43" spans="1:51" ht="13.15" hidden="1">
      <c r="A43" s="139" t="s">
        <v>388</v>
      </c>
      <c r="B43" s="140" t="s">
        <v>389</v>
      </c>
      <c r="C43" s="159"/>
      <c r="D43" s="226" t="s">
        <v>286</v>
      </c>
      <c r="E43" s="179" t="s">
        <v>286</v>
      </c>
      <c r="F43" s="178" t="s">
        <v>286</v>
      </c>
      <c r="G43" s="239"/>
      <c r="H43" s="219">
        <f t="shared" si="50"/>
        <v>0</v>
      </c>
      <c r="I43" s="218">
        <f t="shared" si="50"/>
        <v>0</v>
      </c>
      <c r="J43" s="217" t="e">
        <f t="shared" si="51"/>
        <v>#N/A</v>
      </c>
      <c r="K43" s="163" t="e">
        <f>VLOOKUP(ROUND(J43,1),'SHA Intensity'!$B$3:$D$163,3,TRUE)</f>
        <v>#N/A</v>
      </c>
      <c r="L43" s="180" t="e">
        <f t="shared" si="48"/>
        <v>#N/A</v>
      </c>
      <c r="M43" s="141">
        <v>24</v>
      </c>
      <c r="N43" s="322" t="s">
        <v>202</v>
      </c>
      <c r="O43" s="142">
        <v>1.2999999999999999E-2</v>
      </c>
      <c r="P43" s="143">
        <f t="shared" si="49"/>
        <v>1.270270270270344E-2</v>
      </c>
      <c r="Q43" s="246">
        <v>306.86</v>
      </c>
      <c r="R43" s="246">
        <v>306.39</v>
      </c>
      <c r="S43" s="246">
        <v>316.92</v>
      </c>
      <c r="T43" s="142">
        <v>37</v>
      </c>
      <c r="U43" s="181" t="e">
        <f t="shared" si="43"/>
        <v>#N/A</v>
      </c>
      <c r="V43" s="181">
        <f t="shared" si="7"/>
        <v>8.1377376126304153</v>
      </c>
      <c r="W43" s="181" t="e">
        <f t="shared" si="44"/>
        <v>#N/A</v>
      </c>
      <c r="X43" s="182">
        <f t="shared" si="45"/>
        <v>25.565435106463589</v>
      </c>
      <c r="Y43" s="183" t="e">
        <f t="shared" si="46"/>
        <v>#N/A</v>
      </c>
      <c r="Z43" s="184" t="e">
        <f t="shared" si="47"/>
        <v>#N/A</v>
      </c>
      <c r="AA43" s="169"/>
      <c r="AB43" s="170">
        <f t="shared" si="37"/>
        <v>1.2999999999999999E-2</v>
      </c>
      <c r="AC43" s="171">
        <f t="shared" si="37"/>
        <v>1.270270270270344E-2</v>
      </c>
      <c r="AD43" s="172" t="e">
        <f t="shared" si="38"/>
        <v>#N/A</v>
      </c>
      <c r="AE43" s="170">
        <f t="shared" si="38"/>
        <v>24</v>
      </c>
      <c r="AF43" s="171"/>
      <c r="AG43" s="171" t="e">
        <f t="shared" si="39"/>
        <v>#N/A</v>
      </c>
      <c r="AH43" s="156" t="e">
        <f>VLOOKUP(AG43,TABLES!$A$2:$D$101,2)</f>
        <v>#N/A</v>
      </c>
      <c r="AI43" s="173" t="e">
        <f t="shared" si="40"/>
        <v>#N/A</v>
      </c>
      <c r="AJ43" s="156" t="e">
        <f>VLOOKUP(AG43,TABLES!$A$2:$D$101,3)</f>
        <v>#N/A</v>
      </c>
      <c r="AK43" s="171" t="e">
        <f t="shared" si="41"/>
        <v>#N/A</v>
      </c>
      <c r="AL43" s="171" t="e">
        <f t="shared" si="42"/>
        <v>#N/A</v>
      </c>
    </row>
    <row r="44" spans="1:51" ht="13.15" hidden="1">
      <c r="A44" s="139" t="s">
        <v>389</v>
      </c>
      <c r="B44" s="140" t="s">
        <v>390</v>
      </c>
      <c r="C44" s="159"/>
      <c r="D44" s="226" t="s">
        <v>286</v>
      </c>
      <c r="E44" s="179" t="s">
        <v>286</v>
      </c>
      <c r="F44" s="178" t="s">
        <v>286</v>
      </c>
      <c r="G44" s="239"/>
      <c r="H44" s="219">
        <f t="shared" si="50"/>
        <v>0</v>
      </c>
      <c r="I44" s="218">
        <f t="shared" si="50"/>
        <v>0</v>
      </c>
      <c r="J44" s="217" t="e">
        <f t="shared" si="51"/>
        <v>#N/A</v>
      </c>
      <c r="K44" s="163" t="e">
        <f>VLOOKUP(ROUND(J44,1),'SHA Intensity'!$B$3:$D$163,3,TRUE)</f>
        <v>#N/A</v>
      </c>
      <c r="L44" s="180" t="e">
        <f t="shared" si="48"/>
        <v>#N/A</v>
      </c>
      <c r="M44" s="141">
        <v>24</v>
      </c>
      <c r="N44" s="322" t="s">
        <v>202</v>
      </c>
      <c r="O44" s="142">
        <v>1.2999999999999999E-2</v>
      </c>
      <c r="P44" s="143">
        <f t="shared" si="49"/>
        <v>2.8730158730158765E-2</v>
      </c>
      <c r="Q44" s="246">
        <v>306.32</v>
      </c>
      <c r="R44" s="246">
        <v>304.51</v>
      </c>
      <c r="S44" s="246">
        <v>316.82</v>
      </c>
      <c r="T44" s="142">
        <v>63</v>
      </c>
      <c r="U44" s="181" t="e">
        <f t="shared" si="43"/>
        <v>#N/A</v>
      </c>
      <c r="V44" s="181">
        <f t="shared" si="7"/>
        <v>12.238399573319548</v>
      </c>
      <c r="W44" s="181" t="e">
        <f t="shared" si="44"/>
        <v>#N/A</v>
      </c>
      <c r="X44" s="182">
        <f t="shared" si="45"/>
        <v>38.448033715544959</v>
      </c>
      <c r="Y44" s="183" t="e">
        <f t="shared" si="46"/>
        <v>#N/A</v>
      </c>
      <c r="Z44" s="184" t="e">
        <f t="shared" si="47"/>
        <v>#N/A</v>
      </c>
      <c r="AA44" s="169"/>
      <c r="AB44" s="170">
        <f t="shared" si="37"/>
        <v>1.2999999999999999E-2</v>
      </c>
      <c r="AC44" s="171">
        <f t="shared" si="37"/>
        <v>2.8730158730158765E-2</v>
      </c>
      <c r="AD44" s="172" t="e">
        <f t="shared" si="38"/>
        <v>#N/A</v>
      </c>
      <c r="AE44" s="170">
        <f t="shared" si="38"/>
        <v>24</v>
      </c>
      <c r="AF44" s="171"/>
      <c r="AG44" s="171" t="e">
        <f t="shared" si="39"/>
        <v>#N/A</v>
      </c>
      <c r="AH44" s="156" t="e">
        <f>VLOOKUP(AG44,TABLES!$A$2:$D$101,2)</f>
        <v>#N/A</v>
      </c>
      <c r="AI44" s="173" t="e">
        <f t="shared" si="40"/>
        <v>#N/A</v>
      </c>
      <c r="AJ44" s="156" t="e">
        <f>VLOOKUP(AG44,TABLES!$A$2:$D$101,3)</f>
        <v>#N/A</v>
      </c>
      <c r="AK44" s="171" t="e">
        <f t="shared" si="41"/>
        <v>#N/A</v>
      </c>
      <c r="AL44" s="171" t="e">
        <f t="shared" si="42"/>
        <v>#N/A</v>
      </c>
    </row>
    <row r="45" spans="1:51" ht="13.15" hidden="1">
      <c r="A45" s="139" t="s">
        <v>390</v>
      </c>
      <c r="B45" s="140" t="s">
        <v>391</v>
      </c>
      <c r="C45" s="159"/>
      <c r="D45" s="226" t="s">
        <v>286</v>
      </c>
      <c r="E45" s="179" t="s">
        <v>286</v>
      </c>
      <c r="F45" s="178" t="s">
        <v>286</v>
      </c>
      <c r="G45" s="162"/>
      <c r="H45" s="219">
        <f t="shared" si="50"/>
        <v>0</v>
      </c>
      <c r="I45" s="218">
        <f t="shared" si="50"/>
        <v>0</v>
      </c>
      <c r="J45" s="217" t="e">
        <f t="shared" si="51"/>
        <v>#N/A</v>
      </c>
      <c r="K45" s="163" t="e">
        <f>VLOOKUP(ROUND(J45,1),'SHA Intensity'!$B$3:$D$163,3,TRUE)</f>
        <v>#N/A</v>
      </c>
      <c r="L45" s="180" t="e">
        <f t="shared" si="48"/>
        <v>#N/A</v>
      </c>
      <c r="M45" s="141">
        <v>24</v>
      </c>
      <c r="N45" s="322" t="s">
        <v>202</v>
      </c>
      <c r="O45" s="142">
        <v>1.2999999999999999E-2</v>
      </c>
      <c r="P45" s="143">
        <f t="shared" si="49"/>
        <v>1.0614035087719617E-2</v>
      </c>
      <c r="Q45" s="246">
        <v>304.29000000000002</v>
      </c>
      <c r="R45" s="246">
        <v>303.08</v>
      </c>
      <c r="S45" s="246">
        <v>314.64</v>
      </c>
      <c r="T45" s="142">
        <v>114</v>
      </c>
      <c r="U45" s="181" t="e">
        <f t="shared" si="43"/>
        <v>#N/A</v>
      </c>
      <c r="V45" s="181">
        <f t="shared" si="7"/>
        <v>7.4386799786948536</v>
      </c>
      <c r="W45" s="181" t="e">
        <f t="shared" si="44"/>
        <v>#N/A</v>
      </c>
      <c r="X45" s="182">
        <f t="shared" si="45"/>
        <v>23.369282634267964</v>
      </c>
      <c r="Y45" s="183" t="e">
        <f t="shared" si="46"/>
        <v>#N/A</v>
      </c>
      <c r="Z45" s="184" t="e">
        <f t="shared" si="47"/>
        <v>#N/A</v>
      </c>
      <c r="AA45" s="169"/>
      <c r="AB45" s="170">
        <f t="shared" si="37"/>
        <v>1.2999999999999999E-2</v>
      </c>
      <c r="AC45" s="171">
        <f t="shared" si="37"/>
        <v>1.0614035087719617E-2</v>
      </c>
      <c r="AD45" s="172" t="e">
        <f t="shared" si="38"/>
        <v>#N/A</v>
      </c>
      <c r="AE45" s="170">
        <f t="shared" si="38"/>
        <v>24</v>
      </c>
      <c r="AF45" s="171"/>
      <c r="AG45" s="171" t="e">
        <f t="shared" si="39"/>
        <v>#N/A</v>
      </c>
      <c r="AH45" s="156" t="e">
        <f>VLOOKUP(AG45,TABLES!$A$2:$D$101,2)</f>
        <v>#N/A</v>
      </c>
      <c r="AI45" s="173" t="e">
        <f t="shared" si="40"/>
        <v>#N/A</v>
      </c>
      <c r="AJ45" s="156" t="e">
        <f>VLOOKUP(AG45,TABLES!$A$2:$D$101,3)</f>
        <v>#N/A</v>
      </c>
      <c r="AK45" s="171" t="e">
        <f t="shared" si="41"/>
        <v>#N/A</v>
      </c>
      <c r="AL45" s="171" t="e">
        <f t="shared" si="42"/>
        <v>#N/A</v>
      </c>
    </row>
    <row r="46" spans="1:51" ht="13.15" hidden="1">
      <c r="A46" s="139" t="s">
        <v>391</v>
      </c>
      <c r="B46" s="140" t="s">
        <v>383</v>
      </c>
      <c r="C46" s="159"/>
      <c r="D46" s="226" t="s">
        <v>286</v>
      </c>
      <c r="E46" s="179" t="s">
        <v>286</v>
      </c>
      <c r="F46" s="178" t="s">
        <v>286</v>
      </c>
      <c r="G46" s="162"/>
      <c r="H46" s="219">
        <f t="shared" si="50"/>
        <v>0</v>
      </c>
      <c r="I46" s="218">
        <f t="shared" si="50"/>
        <v>0</v>
      </c>
      <c r="J46" s="217" t="e">
        <f t="shared" si="51"/>
        <v>#N/A</v>
      </c>
      <c r="K46" s="163" t="e">
        <f>VLOOKUP(ROUND(J46,1),'SHA Intensity'!$B$3:$D$163,3,TRUE)</f>
        <v>#N/A</v>
      </c>
      <c r="L46" s="180" t="e">
        <f t="shared" si="48"/>
        <v>#N/A</v>
      </c>
      <c r="M46" s="141">
        <v>24</v>
      </c>
      <c r="N46" s="322" t="s">
        <v>202</v>
      </c>
      <c r="O46" s="142">
        <v>1.2999999999999999E-2</v>
      </c>
      <c r="P46" s="143">
        <f>(Q46-R46)/T46</f>
        <v>2.4482758620688948E-2</v>
      </c>
      <c r="Q46" s="246">
        <v>302.89999999999998</v>
      </c>
      <c r="R46" s="246">
        <v>302.19</v>
      </c>
      <c r="S46" s="246">
        <v>309.42</v>
      </c>
      <c r="T46" s="142">
        <v>29</v>
      </c>
      <c r="U46" s="181" t="e">
        <f t="shared" si="43"/>
        <v>#N/A</v>
      </c>
      <c r="V46" s="181">
        <f t="shared" si="7"/>
        <v>11.29758951619027</v>
      </c>
      <c r="W46" s="181" t="e">
        <f t="shared" si="44"/>
        <v>#N/A</v>
      </c>
      <c r="X46" s="182">
        <f t="shared" si="45"/>
        <v>35.492394248168189</v>
      </c>
      <c r="Y46" s="183" t="e">
        <f t="shared" si="46"/>
        <v>#N/A</v>
      </c>
      <c r="Z46" s="184" t="e">
        <f t="shared" si="47"/>
        <v>#N/A</v>
      </c>
      <c r="AA46" s="169"/>
      <c r="AB46" s="170">
        <f t="shared" si="37"/>
        <v>1.2999999999999999E-2</v>
      </c>
      <c r="AC46" s="171">
        <f t="shared" si="37"/>
        <v>2.4482758620688948E-2</v>
      </c>
      <c r="AD46" s="172" t="e">
        <f t="shared" si="38"/>
        <v>#N/A</v>
      </c>
      <c r="AE46" s="170">
        <f t="shared" si="38"/>
        <v>24</v>
      </c>
      <c r="AF46" s="171"/>
      <c r="AG46" s="171" t="e">
        <f t="shared" si="39"/>
        <v>#N/A</v>
      </c>
      <c r="AH46" s="156" t="e">
        <f>VLOOKUP(AG46,TABLES!$A$2:$D$101,2)</f>
        <v>#N/A</v>
      </c>
      <c r="AI46" s="173" t="e">
        <f t="shared" si="40"/>
        <v>#N/A</v>
      </c>
      <c r="AJ46" s="156" t="e">
        <f>VLOOKUP(AG46,TABLES!$A$2:$D$101,3)</f>
        <v>#N/A</v>
      </c>
      <c r="AK46" s="171" t="e">
        <f t="shared" si="41"/>
        <v>#N/A</v>
      </c>
      <c r="AL46" s="171" t="e">
        <f t="shared" si="42"/>
        <v>#N/A</v>
      </c>
    </row>
    <row r="47" spans="1:51" ht="13.15" hidden="1">
      <c r="A47" s="139"/>
      <c r="B47" s="140"/>
      <c r="C47" s="159"/>
      <c r="D47" s="160"/>
      <c r="E47" s="160"/>
      <c r="F47" s="161"/>
      <c r="G47" s="162"/>
      <c r="H47" s="215"/>
      <c r="I47" s="216"/>
      <c r="J47" s="217"/>
      <c r="K47" s="163"/>
      <c r="L47" s="164"/>
      <c r="M47" s="141"/>
      <c r="N47" s="142"/>
      <c r="O47" s="142"/>
      <c r="P47" s="143"/>
      <c r="Q47" s="246"/>
      <c r="R47" s="246"/>
      <c r="S47" s="246"/>
      <c r="T47" s="142"/>
      <c r="U47" s="165"/>
      <c r="V47" s="181"/>
      <c r="W47" s="165"/>
      <c r="X47" s="166"/>
      <c r="Y47" s="167"/>
      <c r="Z47" s="168"/>
      <c r="AA47" s="169"/>
      <c r="AB47" s="170"/>
      <c r="AC47" s="171"/>
      <c r="AD47" s="172"/>
      <c r="AE47" s="170"/>
      <c r="AF47" s="171"/>
      <c r="AG47" s="171"/>
      <c r="AH47" s="156"/>
      <c r="AI47" s="173"/>
      <c r="AJ47" s="156"/>
      <c r="AK47" s="171"/>
      <c r="AL47" s="171"/>
    </row>
    <row r="48" spans="1:51" ht="13.15" hidden="1">
      <c r="A48" s="139" t="s">
        <v>383</v>
      </c>
      <c r="B48" s="140" t="s">
        <v>395</v>
      </c>
      <c r="C48" s="159"/>
      <c r="D48" s="226" t="s">
        <v>286</v>
      </c>
      <c r="E48" s="179" t="s">
        <v>286</v>
      </c>
      <c r="F48" s="178" t="s">
        <v>286</v>
      </c>
      <c r="G48" s="162"/>
      <c r="H48" s="219">
        <f>H34+H37+H46</f>
        <v>5.6381915426997242</v>
      </c>
      <c r="I48" s="218">
        <f>I46+I37+I34</f>
        <v>3.3756986975206611</v>
      </c>
      <c r="J48" s="217">
        <f>J34+W34</f>
        <v>5.144418311977617</v>
      </c>
      <c r="K48" s="163">
        <f>VLOOKUP(ROUND(J48,1),'SHA Intensity'!$B$3:$D$163,3,TRUE)</f>
        <v>7.5405600000000002</v>
      </c>
      <c r="L48" s="180">
        <f t="shared" ref="L48:L51" si="52">K48*I48</f>
        <v>25.454658570576395</v>
      </c>
      <c r="M48" s="141">
        <v>60</v>
      </c>
      <c r="N48" s="322" t="s">
        <v>202</v>
      </c>
      <c r="O48" s="142">
        <v>1.2999999999999999E-2</v>
      </c>
      <c r="P48" s="143">
        <f>(Q48-R48)/T48</f>
        <v>1.7510548523206895E-2</v>
      </c>
      <c r="Q48" s="246">
        <v>299.55</v>
      </c>
      <c r="R48" s="246">
        <v>295.39999999999998</v>
      </c>
      <c r="S48" s="246">
        <v>308.60000000000002</v>
      </c>
      <c r="T48" s="142">
        <v>237</v>
      </c>
      <c r="U48" s="181">
        <f t="shared" ref="U48:U51" si="53">AL48</f>
        <v>10.59507120523471</v>
      </c>
      <c r="V48" s="181">
        <f t="shared" si="7"/>
        <v>17.59949298661693</v>
      </c>
      <c r="W48" s="181">
        <f t="shared" ref="W48:W51" si="54">T48/U48/(60)</f>
        <v>0.37281486112603207</v>
      </c>
      <c r="X48" s="182">
        <f t="shared" ref="X48:X51" si="55">PI()*(((M48/2)/12)^2*(1.49/O48)*(M48/48)^0.66667*(P48^0.5))</f>
        <v>345.56494482391173</v>
      </c>
      <c r="Y48" s="183">
        <f t="shared" ref="Y48:Y51" si="56">AI48*12</f>
        <v>10.799999999999999</v>
      </c>
      <c r="Z48" s="184">
        <f t="shared" ref="Z48:Z51" si="57">L48/X48</f>
        <v>7.3660997597853078E-2</v>
      </c>
      <c r="AA48" s="169"/>
      <c r="AB48" s="170">
        <f t="shared" si="37"/>
        <v>1.2999999999999999E-2</v>
      </c>
      <c r="AC48" s="171">
        <f t="shared" si="37"/>
        <v>1.7510548523206895E-2</v>
      </c>
      <c r="AD48" s="172">
        <f t="shared" si="38"/>
        <v>25.454658570576395</v>
      </c>
      <c r="AE48" s="170">
        <f t="shared" si="38"/>
        <v>60</v>
      </c>
      <c r="AF48" s="171"/>
      <c r="AG48" s="171">
        <f t="shared" si="39"/>
        <v>2.2959079441427804E-2</v>
      </c>
      <c r="AH48" s="156">
        <f>VLOOKUP(AG48,TABLES!$A$2:$D$101,2)</f>
        <v>0.18</v>
      </c>
      <c r="AI48" s="173">
        <f t="shared" si="40"/>
        <v>0.89999999999999991</v>
      </c>
      <c r="AJ48" s="156">
        <f>VLOOKUP(AG48,TABLES!$A$2:$D$101,3)</f>
        <v>9.6100000000000005E-2</v>
      </c>
      <c r="AK48" s="171">
        <f t="shared" si="41"/>
        <v>2.4025000000000003</v>
      </c>
      <c r="AL48" s="171">
        <f t="shared" si="42"/>
        <v>10.59507120523471</v>
      </c>
    </row>
    <row r="49" spans="1:38" ht="13.15" hidden="1">
      <c r="A49" s="139" t="s">
        <v>520</v>
      </c>
      <c r="B49" s="140" t="s">
        <v>521</v>
      </c>
      <c r="C49" s="159"/>
      <c r="D49" s="226">
        <f>'Rationals-MCDOT'!D228/43560</f>
        <v>0</v>
      </c>
      <c r="E49" s="179">
        <f>'Rationals-MCDOT'!D230</f>
        <v>0</v>
      </c>
      <c r="F49" s="185">
        <f>D49*E49</f>
        <v>0</v>
      </c>
      <c r="G49" s="162"/>
      <c r="H49" s="215">
        <f>D49</f>
        <v>0</v>
      </c>
      <c r="I49" s="218">
        <f>F49</f>
        <v>0</v>
      </c>
      <c r="J49" s="217">
        <f>'Rationals-MCDOT'!B236</f>
        <v>0</v>
      </c>
      <c r="K49" s="163" t="e">
        <f>VLOOKUP(ROUND(J49,1),'SHA Intensity'!$B$3:$D$163,3,TRUE)</f>
        <v>#N/A</v>
      </c>
      <c r="L49" s="180" t="e">
        <f t="shared" si="52"/>
        <v>#N/A</v>
      </c>
      <c r="M49" s="141">
        <v>15</v>
      </c>
      <c r="N49" s="142" t="s">
        <v>202</v>
      </c>
      <c r="O49" s="142">
        <v>1.2999999999999999E-2</v>
      </c>
      <c r="P49" s="143">
        <f>(Q49-R49)/T49</f>
        <v>5.0000000000011372E-3</v>
      </c>
      <c r="Q49" s="325">
        <v>298.11</v>
      </c>
      <c r="R49" s="325">
        <v>297.95999999999998</v>
      </c>
      <c r="S49" s="246">
        <v>309.43</v>
      </c>
      <c r="T49" s="142">
        <v>30</v>
      </c>
      <c r="U49" s="181" t="e">
        <f t="shared" si="53"/>
        <v>#N/A</v>
      </c>
      <c r="V49" s="181">
        <f t="shared" si="7"/>
        <v>3.7321573799297432</v>
      </c>
      <c r="W49" s="181" t="e">
        <f t="shared" si="54"/>
        <v>#N/A</v>
      </c>
      <c r="X49" s="182">
        <f t="shared" si="55"/>
        <v>4.580042305942766</v>
      </c>
      <c r="Y49" s="183" t="e">
        <f t="shared" si="56"/>
        <v>#N/A</v>
      </c>
      <c r="Z49" s="184" t="e">
        <f t="shared" si="57"/>
        <v>#N/A</v>
      </c>
      <c r="AA49" s="169"/>
      <c r="AB49" s="170">
        <f t="shared" si="37"/>
        <v>1.2999999999999999E-2</v>
      </c>
      <c r="AC49" s="171">
        <f t="shared" si="37"/>
        <v>5.0000000000011372E-3</v>
      </c>
      <c r="AD49" s="172" t="e">
        <f t="shared" si="38"/>
        <v>#N/A</v>
      </c>
      <c r="AE49" s="170">
        <f t="shared" si="38"/>
        <v>15</v>
      </c>
      <c r="AF49" s="171"/>
      <c r="AG49" s="171" t="e">
        <f t="shared" si="39"/>
        <v>#N/A</v>
      </c>
      <c r="AH49" s="156" t="e">
        <f>VLOOKUP(AG49,TABLES!$A$2:$D$101,2)</f>
        <v>#N/A</v>
      </c>
      <c r="AI49" s="173" t="e">
        <f t="shared" si="40"/>
        <v>#N/A</v>
      </c>
      <c r="AJ49" s="156" t="e">
        <f>VLOOKUP(AG49,TABLES!$A$2:$D$101,3)</f>
        <v>#N/A</v>
      </c>
      <c r="AK49" s="171" t="e">
        <f t="shared" si="41"/>
        <v>#N/A</v>
      </c>
      <c r="AL49" s="171" t="e">
        <f t="shared" si="42"/>
        <v>#N/A</v>
      </c>
    </row>
    <row r="50" spans="1:38" ht="13.15" hidden="1">
      <c r="A50" s="139" t="s">
        <v>521</v>
      </c>
      <c r="B50" s="140" t="s">
        <v>395</v>
      </c>
      <c r="C50" s="159"/>
      <c r="D50" s="226">
        <f>'Rationals-MCDOT'!M228/43560</f>
        <v>0</v>
      </c>
      <c r="E50" s="179">
        <f>'Rationals-MCDOT'!M230</f>
        <v>0</v>
      </c>
      <c r="F50" s="185">
        <f>D50*E50</f>
        <v>0</v>
      </c>
      <c r="G50" s="162"/>
      <c r="H50" s="215">
        <f>H49+D50</f>
        <v>0</v>
      </c>
      <c r="I50" s="218">
        <f>I49+F50</f>
        <v>0</v>
      </c>
      <c r="J50" s="217" t="e">
        <f>J49+W49</f>
        <v>#N/A</v>
      </c>
      <c r="K50" s="163" t="e">
        <f>VLOOKUP(ROUND(J50,1),'SHA Intensity'!$B$3:$D$163,3,TRUE)</f>
        <v>#N/A</v>
      </c>
      <c r="L50" s="180" t="e">
        <f t="shared" si="52"/>
        <v>#N/A</v>
      </c>
      <c r="M50" s="141">
        <v>18</v>
      </c>
      <c r="N50" s="322" t="s">
        <v>202</v>
      </c>
      <c r="O50" s="142">
        <v>1.2999999999999999E-2</v>
      </c>
      <c r="P50" s="143">
        <f t="shared" ref="P50:P51" si="58">(Q50-R50)/T50</f>
        <v>5.0000000000000105E-3</v>
      </c>
      <c r="Q50" s="325">
        <v>297.86</v>
      </c>
      <c r="R50" s="246">
        <v>296.8</v>
      </c>
      <c r="S50" s="246">
        <v>309.43</v>
      </c>
      <c r="T50" s="142">
        <v>212</v>
      </c>
      <c r="U50" s="181" t="e">
        <f t="shared" si="53"/>
        <v>#N/A</v>
      </c>
      <c r="V50" s="181">
        <f t="shared" si="7"/>
        <v>4.2145160332842257</v>
      </c>
      <c r="W50" s="181" t="e">
        <f t="shared" si="54"/>
        <v>#N/A</v>
      </c>
      <c r="X50" s="182">
        <f t="shared" si="55"/>
        <v>7.4476583015655322</v>
      </c>
      <c r="Y50" s="183" t="e">
        <f t="shared" si="56"/>
        <v>#N/A</v>
      </c>
      <c r="Z50" s="184" t="e">
        <f t="shared" si="57"/>
        <v>#N/A</v>
      </c>
      <c r="AA50" s="169"/>
      <c r="AB50" s="170">
        <f t="shared" si="37"/>
        <v>1.2999999999999999E-2</v>
      </c>
      <c r="AC50" s="171">
        <f t="shared" si="37"/>
        <v>5.0000000000000105E-3</v>
      </c>
      <c r="AD50" s="172" t="e">
        <f t="shared" si="38"/>
        <v>#N/A</v>
      </c>
      <c r="AE50" s="170">
        <f t="shared" si="38"/>
        <v>18</v>
      </c>
      <c r="AF50" s="171"/>
      <c r="AG50" s="171" t="e">
        <f t="shared" si="39"/>
        <v>#N/A</v>
      </c>
      <c r="AH50" s="156" t="e">
        <f>VLOOKUP(AG50,TABLES!$A$2:$D$101,2)</f>
        <v>#N/A</v>
      </c>
      <c r="AI50" s="173" t="e">
        <f t="shared" si="40"/>
        <v>#N/A</v>
      </c>
      <c r="AJ50" s="156" t="e">
        <f>VLOOKUP(AG50,TABLES!$A$2:$D$101,3)</f>
        <v>#N/A</v>
      </c>
      <c r="AK50" s="171" t="e">
        <f t="shared" si="41"/>
        <v>#N/A</v>
      </c>
      <c r="AL50" s="171" t="e">
        <f t="shared" si="42"/>
        <v>#N/A</v>
      </c>
    </row>
    <row r="51" spans="1:38" ht="13.15" hidden="1">
      <c r="A51" s="139" t="s">
        <v>395</v>
      </c>
      <c r="B51" s="140" t="s">
        <v>392</v>
      </c>
      <c r="C51" s="159"/>
      <c r="D51" s="226" t="s">
        <v>286</v>
      </c>
      <c r="E51" s="179" t="s">
        <v>286</v>
      </c>
      <c r="F51" s="178" t="s">
        <v>286</v>
      </c>
      <c r="G51" s="162"/>
      <c r="H51" s="215">
        <f>H50+H48</f>
        <v>5.6381915426997242</v>
      </c>
      <c r="I51" s="218">
        <f>I50+I48</f>
        <v>3.3756986975206611</v>
      </c>
      <c r="J51" s="217">
        <f>J48+W48</f>
        <v>5.5172331731036488</v>
      </c>
      <c r="K51" s="163">
        <f>VLOOKUP(ROUND(J51,1),'SHA Intensity'!$B$3:$D$163,3,TRUE)</f>
        <v>7.4147999999999996</v>
      </c>
      <c r="L51" s="180">
        <f t="shared" si="52"/>
        <v>25.030130702376198</v>
      </c>
      <c r="M51" s="141">
        <v>60</v>
      </c>
      <c r="N51" s="142" t="s">
        <v>202</v>
      </c>
      <c r="O51" s="142">
        <v>1.2999999999999999E-2</v>
      </c>
      <c r="P51" s="143">
        <f t="shared" si="58"/>
        <v>4.9740932642488933E-3</v>
      </c>
      <c r="Q51" s="246">
        <v>293.60000000000002</v>
      </c>
      <c r="R51" s="325">
        <v>292.64</v>
      </c>
      <c r="S51" s="246">
        <v>300.39999999999998</v>
      </c>
      <c r="T51" s="142">
        <v>193</v>
      </c>
      <c r="U51" s="181">
        <f t="shared" si="53"/>
        <v>6.9096289033474667</v>
      </c>
      <c r="V51" s="181">
        <f t="shared" si="7"/>
        <v>9.3800951396289705</v>
      </c>
      <c r="W51" s="181">
        <f t="shared" si="54"/>
        <v>0.46553392543386912</v>
      </c>
      <c r="X51" s="182">
        <f t="shared" si="55"/>
        <v>184.17758181066861</v>
      </c>
      <c r="Y51" s="183">
        <f t="shared" si="56"/>
        <v>14.399999999999999</v>
      </c>
      <c r="Z51" s="184">
        <f t="shared" si="57"/>
        <v>0.13590215734348571</v>
      </c>
      <c r="AA51" s="169"/>
      <c r="AB51" s="170">
        <f t="shared" si="37"/>
        <v>1.2999999999999999E-2</v>
      </c>
      <c r="AC51" s="171">
        <f t="shared" si="37"/>
        <v>4.9740932642488933E-3</v>
      </c>
      <c r="AD51" s="172">
        <f t="shared" si="38"/>
        <v>25.030130702376198</v>
      </c>
      <c r="AE51" s="170">
        <f t="shared" si="38"/>
        <v>60</v>
      </c>
      <c r="AF51" s="171"/>
      <c r="AG51" s="171">
        <f t="shared" si="39"/>
        <v>4.2358758752426263E-2</v>
      </c>
      <c r="AH51" s="156">
        <f>VLOOKUP(AG51,TABLES!$A$2:$D$101,2)</f>
        <v>0.24</v>
      </c>
      <c r="AI51" s="173">
        <f t="shared" si="40"/>
        <v>1.2</v>
      </c>
      <c r="AJ51" s="156">
        <f>VLOOKUP(AG51,TABLES!$A$2:$D$101,3)</f>
        <v>0.1449</v>
      </c>
      <c r="AK51" s="171">
        <f t="shared" si="41"/>
        <v>3.6225000000000001</v>
      </c>
      <c r="AL51" s="171">
        <f t="shared" si="42"/>
        <v>6.9096289033474667</v>
      </c>
    </row>
    <row r="52" spans="1:38" ht="12" hidden="1" customHeight="1">
      <c r="A52" s="139"/>
      <c r="B52" s="140"/>
      <c r="C52" s="159"/>
      <c r="D52" s="160"/>
      <c r="E52" s="160"/>
      <c r="F52" s="161"/>
      <c r="G52" s="162"/>
      <c r="H52" s="215"/>
      <c r="I52" s="216"/>
      <c r="J52" s="217"/>
      <c r="K52" s="163"/>
      <c r="L52" s="164"/>
      <c r="M52" s="141"/>
      <c r="N52" s="142"/>
      <c r="O52" s="142"/>
      <c r="P52" s="143"/>
      <c r="Q52" s="246"/>
      <c r="R52" s="246"/>
      <c r="S52" s="246"/>
      <c r="T52" s="142"/>
      <c r="U52" s="165"/>
      <c r="V52" s="181"/>
      <c r="W52" s="165"/>
      <c r="X52" s="166"/>
      <c r="Y52" s="167"/>
      <c r="Z52" s="168"/>
      <c r="AA52" s="169"/>
      <c r="AB52" s="170"/>
      <c r="AC52" s="171"/>
      <c r="AD52" s="172"/>
      <c r="AE52" s="170"/>
      <c r="AF52" s="171"/>
      <c r="AG52" s="171"/>
      <c r="AH52" s="156"/>
      <c r="AI52" s="173"/>
      <c r="AJ52" s="156"/>
      <c r="AK52" s="171"/>
      <c r="AL52" s="171"/>
    </row>
    <row r="53" spans="1:38" ht="13.5" hidden="1" customHeight="1">
      <c r="A53" s="139" t="s">
        <v>277</v>
      </c>
      <c r="B53" s="140" t="s">
        <v>393</v>
      </c>
      <c r="C53" s="159"/>
      <c r="D53" s="163">
        <f>'Rationals-MCDOT'!D50/43560</f>
        <v>0.21433746556473826</v>
      </c>
      <c r="E53" s="163">
        <f>'Rationals-MCDOT'!D52</f>
        <v>0.84040974493763221</v>
      </c>
      <c r="F53" s="185">
        <f>D53*E53</f>
        <v>0.18013129476584022</v>
      </c>
      <c r="G53" s="162"/>
      <c r="H53" s="219">
        <f>D53</f>
        <v>0.21433746556473826</v>
      </c>
      <c r="I53" s="218">
        <f>F53</f>
        <v>0.18013129476584022</v>
      </c>
      <c r="J53" s="217">
        <f>'Rationals-MCDOT'!B58</f>
        <v>5</v>
      </c>
      <c r="K53" s="163">
        <f>VLOOKUP(ROUND(J53,1),'SHA Intensity'!$B$3:$D$163,3,TRUE)</f>
        <v>7.5720000000000001</v>
      </c>
      <c r="L53" s="180">
        <f t="shared" ref="L53" si="59">K53*I53</f>
        <v>1.3639541639669421</v>
      </c>
      <c r="M53" s="141" t="s">
        <v>397</v>
      </c>
      <c r="N53" s="322" t="s">
        <v>202</v>
      </c>
      <c r="O53" s="142">
        <v>1.2999999999999999E-2</v>
      </c>
      <c r="P53" s="143">
        <f>(Q53-R53)/T53</f>
        <v>5.0645161290322357E-2</v>
      </c>
      <c r="Q53" s="246">
        <v>323.33999999999997</v>
      </c>
      <c r="R53" s="246">
        <v>321.77</v>
      </c>
      <c r="S53" s="246">
        <v>325</v>
      </c>
      <c r="T53" s="142">
        <v>31</v>
      </c>
      <c r="U53" s="181">
        <f t="shared" ref="U53" si="60">AL53</f>
        <v>1.3639541639669421</v>
      </c>
      <c r="V53" s="181">
        <v>13.49</v>
      </c>
      <c r="W53" s="181">
        <f>T53/U53/(60)</f>
        <v>0.37880060805268306</v>
      </c>
      <c r="X53" s="182">
        <v>26.48</v>
      </c>
      <c r="Y53" s="183">
        <v>7.4</v>
      </c>
      <c r="Z53" s="184">
        <f t="shared" ref="Z53" si="61">L53/X53</f>
        <v>5.1508843050111108E-2</v>
      </c>
      <c r="AA53" s="169"/>
      <c r="AB53" s="170">
        <f t="shared" ref="AB53:AC91" si="62">O53</f>
        <v>1.2999999999999999E-2</v>
      </c>
      <c r="AC53" s="171">
        <f t="shared" si="62"/>
        <v>5.0645161290322357E-2</v>
      </c>
      <c r="AD53" s="172">
        <f t="shared" ref="AD53:AE91" si="63">L53</f>
        <v>1.3639541639669421</v>
      </c>
      <c r="AE53" s="170" t="str">
        <f t="shared" si="63"/>
        <v>15 BY 24</v>
      </c>
      <c r="AF53" s="171"/>
      <c r="AG53" s="171" t="e">
        <f t="shared" si="39"/>
        <v>#VALUE!</v>
      </c>
      <c r="AH53" s="156" t="e">
        <f>VLOOKUP(AG53,TABLES!$A$2:$D$101,2)</f>
        <v>#VALUE!</v>
      </c>
      <c r="AI53" s="173" t="e">
        <f t="shared" si="40"/>
        <v>#VALUE!</v>
      </c>
      <c r="AJ53" s="156" t="e">
        <f>VLOOKUP(AG53,TABLES!$A$2:$D$101,3)</f>
        <v>#VALUE!</v>
      </c>
      <c r="AK53" s="171">
        <v>1</v>
      </c>
      <c r="AL53" s="171">
        <f t="shared" si="42"/>
        <v>1.3639541639669421</v>
      </c>
    </row>
    <row r="54" spans="1:38" ht="13.15" hidden="1">
      <c r="A54" s="139"/>
      <c r="B54" s="140"/>
      <c r="C54" s="159"/>
      <c r="D54" s="160"/>
      <c r="E54" s="160"/>
      <c r="F54" s="161"/>
      <c r="G54" s="162"/>
      <c r="H54" s="215"/>
      <c r="I54" s="216"/>
      <c r="J54" s="217"/>
      <c r="K54" s="163"/>
      <c r="L54" s="164"/>
      <c r="M54" s="141"/>
      <c r="N54" s="142"/>
      <c r="O54" s="142"/>
      <c r="P54" s="143"/>
      <c r="Q54" s="246"/>
      <c r="R54" s="246"/>
      <c r="S54" s="246"/>
      <c r="T54" s="142"/>
      <c r="U54" s="165"/>
      <c r="V54" s="181"/>
      <c r="W54" s="165"/>
      <c r="X54" s="166"/>
      <c r="Y54" s="167"/>
      <c r="Z54" s="168"/>
      <c r="AA54" s="169"/>
      <c r="AB54" s="170"/>
      <c r="AC54" s="171"/>
      <c r="AD54" s="172"/>
      <c r="AE54" s="170"/>
      <c r="AF54" s="171"/>
      <c r="AG54" s="171"/>
      <c r="AH54" s="156"/>
      <c r="AI54" s="173"/>
      <c r="AJ54" s="156"/>
      <c r="AK54" s="171"/>
      <c r="AL54" s="171"/>
    </row>
    <row r="55" spans="1:38" ht="13.15">
      <c r="A55" s="139" t="s">
        <v>358</v>
      </c>
      <c r="B55" s="140" t="s">
        <v>540</v>
      </c>
      <c r="C55" s="159"/>
      <c r="D55" s="163">
        <f>'Rationals-MCDOT'!M50/43560</f>
        <v>0</v>
      </c>
      <c r="E55" s="163">
        <f>'Rationals-MCDOT'!M52</f>
        <v>0</v>
      </c>
      <c r="F55" s="185">
        <f>D55*E55</f>
        <v>0</v>
      </c>
      <c r="G55" s="162"/>
      <c r="H55" s="219">
        <f>D55</f>
        <v>0</v>
      </c>
      <c r="I55" s="218">
        <f>F55</f>
        <v>0</v>
      </c>
      <c r="J55" s="217" t="str">
        <f>'Rationals-MCDOT'!K58</f>
        <v>MIN</v>
      </c>
      <c r="K55" s="163" t="e">
        <f>VLOOKUP(ROUND(J55,1),'SHA Intensity'!$B$3:$D$163,3,TRUE)</f>
        <v>#VALUE!</v>
      </c>
      <c r="L55" s="180" t="e">
        <f t="shared" ref="L55" si="64">K55*I55</f>
        <v>#VALUE!</v>
      </c>
      <c r="M55" s="141">
        <v>18</v>
      </c>
      <c r="N55" s="322" t="s">
        <v>202</v>
      </c>
      <c r="O55" s="142">
        <v>1.2999999999999999E-2</v>
      </c>
      <c r="P55" s="143">
        <f>(Q55-R55)/T55</f>
        <v>1.4285714285714285E-2</v>
      </c>
      <c r="Q55" s="324">
        <v>320.75</v>
      </c>
      <c r="R55" s="324">
        <v>320.25</v>
      </c>
      <c r="S55" s="246">
        <v>323.83</v>
      </c>
      <c r="T55" s="142">
        <v>35</v>
      </c>
      <c r="U55" s="181" t="e">
        <f t="shared" ref="U55" si="65">AL55</f>
        <v>#VALUE!</v>
      </c>
      <c r="V55" s="181">
        <f t="shared" si="7"/>
        <v>7.1238323143034208</v>
      </c>
      <c r="W55" s="181" t="e">
        <f t="shared" ref="W55" si="66">T55/U55/(60)</f>
        <v>#VALUE!</v>
      </c>
      <c r="X55" s="182">
        <f t="shared" ref="X55" si="67">PI()*(((M55/2)/12)^2*(1.49/O55)*(M55/48)^0.66667*(P55^0.5))</f>
        <v>12.588840202664521</v>
      </c>
      <c r="Y55" s="183" t="e">
        <f t="shared" ref="Y55" si="68">AI55*12</f>
        <v>#VALUE!</v>
      </c>
      <c r="Z55" s="184" t="e">
        <f t="shared" ref="Z55" si="69">L55/X55</f>
        <v>#VALUE!</v>
      </c>
      <c r="AA55" s="169"/>
      <c r="AB55" s="170">
        <f t="shared" si="62"/>
        <v>1.2999999999999999E-2</v>
      </c>
      <c r="AC55" s="171">
        <f t="shared" si="62"/>
        <v>1.4285714285714285E-2</v>
      </c>
      <c r="AD55" s="172" t="e">
        <f t="shared" si="63"/>
        <v>#VALUE!</v>
      </c>
      <c r="AE55" s="170">
        <f t="shared" si="63"/>
        <v>18</v>
      </c>
      <c r="AF55" s="171"/>
      <c r="AG55" s="171" t="e">
        <f t="shared" si="39"/>
        <v>#VALUE!</v>
      </c>
      <c r="AH55" s="156" t="e">
        <f>VLOOKUP(AG55,TABLES!$A$2:$D$101,2)</f>
        <v>#VALUE!</v>
      </c>
      <c r="AI55" s="173" t="e">
        <f t="shared" si="40"/>
        <v>#VALUE!</v>
      </c>
      <c r="AJ55" s="156" t="e">
        <f>VLOOKUP(AG55,TABLES!$A$2:$D$101,3)</f>
        <v>#VALUE!</v>
      </c>
      <c r="AK55" s="171" t="e">
        <f t="shared" si="41"/>
        <v>#VALUE!</v>
      </c>
      <c r="AL55" s="171" t="e">
        <f t="shared" si="42"/>
        <v>#VALUE!</v>
      </c>
    </row>
    <row r="56" spans="1:38" ht="13.15">
      <c r="A56" s="139"/>
      <c r="B56" s="140"/>
      <c r="C56" s="159"/>
      <c r="D56" s="163"/>
      <c r="E56" s="163"/>
      <c r="F56" s="185"/>
      <c r="G56" s="239"/>
      <c r="H56" s="215"/>
      <c r="I56" s="216"/>
      <c r="J56" s="217"/>
      <c r="K56" s="163"/>
      <c r="L56" s="164"/>
      <c r="M56" s="141"/>
      <c r="N56" s="142"/>
      <c r="O56" s="142"/>
      <c r="P56" s="143"/>
      <c r="Q56" s="246"/>
      <c r="R56" s="246"/>
      <c r="S56" s="246"/>
      <c r="T56" s="142"/>
      <c r="U56" s="165"/>
      <c r="V56" s="181"/>
      <c r="W56" s="165"/>
      <c r="X56" s="166"/>
      <c r="Y56" s="167"/>
      <c r="Z56" s="168"/>
      <c r="AA56" s="169"/>
      <c r="AB56" s="170"/>
      <c r="AC56" s="171"/>
      <c r="AD56" s="172"/>
      <c r="AE56" s="170"/>
      <c r="AF56" s="171"/>
      <c r="AG56" s="171"/>
      <c r="AH56" s="156"/>
      <c r="AI56" s="173"/>
      <c r="AJ56" s="156"/>
      <c r="AK56" s="171"/>
      <c r="AL56" s="171"/>
    </row>
    <row r="57" spans="1:38" ht="13.15" hidden="1">
      <c r="A57" s="139" t="s">
        <v>394</v>
      </c>
      <c r="B57" s="140" t="s">
        <v>379</v>
      </c>
      <c r="C57" s="159"/>
      <c r="D57" s="163">
        <f>'Rationals-MCDOT'!D199/43560</f>
        <v>0</v>
      </c>
      <c r="E57" s="163">
        <f>'Rationals-MCDOT'!D201</f>
        <v>0</v>
      </c>
      <c r="F57" s="185">
        <f>D57*E57</f>
        <v>0</v>
      </c>
      <c r="G57" s="239"/>
      <c r="H57" s="219">
        <f>D57</f>
        <v>0</v>
      </c>
      <c r="I57" s="218">
        <f>F57</f>
        <v>0</v>
      </c>
      <c r="J57" s="217">
        <f>'Rationals-MCDOT'!B207</f>
        <v>0</v>
      </c>
      <c r="K57" s="163" t="e">
        <f>VLOOKUP(ROUND(J57,1),'SHA Intensity'!$B$3:$D$163,3,TRUE)</f>
        <v>#N/A</v>
      </c>
      <c r="L57" s="180" t="e">
        <f t="shared" ref="L57:L63" si="70">K57*I57</f>
        <v>#N/A</v>
      </c>
      <c r="M57" s="141">
        <v>27</v>
      </c>
      <c r="N57" s="322" t="s">
        <v>202</v>
      </c>
      <c r="O57" s="142">
        <v>1.2999999999999999E-2</v>
      </c>
      <c r="P57" s="143">
        <f>(Q57-R57)/T57</f>
        <v>8.9999999999989203E-3</v>
      </c>
      <c r="Q57" s="246">
        <v>334.33</v>
      </c>
      <c r="R57" s="246">
        <v>333.97</v>
      </c>
      <c r="S57" s="246">
        <v>343.65</v>
      </c>
      <c r="T57" s="142">
        <v>40</v>
      </c>
      <c r="U57" s="181" t="e">
        <f t="shared" ref="U57:U63" si="71">AL57</f>
        <v>#N/A</v>
      </c>
      <c r="V57" s="181">
        <f t="shared" si="7"/>
        <v>7.4093263247500625</v>
      </c>
      <c r="W57" s="181" t="e">
        <f t="shared" ref="W57:W63" si="72">T57/U57/(60)</f>
        <v>#N/A</v>
      </c>
      <c r="X57" s="182">
        <f t="shared" ref="X57:X63" si="73">PI()*(((M57/2)/12)^2*(1.49/O57)*(M57/48)^0.66667*(P57^0.5))</f>
        <v>29.460036008973365</v>
      </c>
      <c r="Y57" s="183" t="e">
        <f t="shared" ref="Y57:Y63" si="74">AI57*12</f>
        <v>#N/A</v>
      </c>
      <c r="Z57" s="184" t="e">
        <f t="shared" ref="Z57:Z63" si="75">L57/X57</f>
        <v>#N/A</v>
      </c>
      <c r="AA57" s="169"/>
      <c r="AB57" s="170">
        <f t="shared" si="62"/>
        <v>1.2999999999999999E-2</v>
      </c>
      <c r="AC57" s="171">
        <f t="shared" si="62"/>
        <v>8.9999999999989203E-3</v>
      </c>
      <c r="AD57" s="172" t="e">
        <f t="shared" si="63"/>
        <v>#N/A</v>
      </c>
      <c r="AE57" s="170">
        <f t="shared" si="63"/>
        <v>27</v>
      </c>
      <c r="AF57" s="171"/>
      <c r="AG57" s="171" t="e">
        <f t="shared" si="39"/>
        <v>#N/A</v>
      </c>
      <c r="AH57" s="156" t="e">
        <f>VLOOKUP(AG57,TABLES!$A$2:$D$101,2)</f>
        <v>#N/A</v>
      </c>
      <c r="AI57" s="173" t="e">
        <f t="shared" si="40"/>
        <v>#N/A</v>
      </c>
      <c r="AJ57" s="156" t="e">
        <f>VLOOKUP(AG57,TABLES!$A$2:$D$101,3)</f>
        <v>#N/A</v>
      </c>
      <c r="AK57" s="171" t="e">
        <f t="shared" si="41"/>
        <v>#N/A</v>
      </c>
      <c r="AL57" s="171" t="e">
        <f t="shared" si="42"/>
        <v>#N/A</v>
      </c>
    </row>
    <row r="58" spans="1:38" ht="13.15" hidden="1">
      <c r="A58" s="139" t="s">
        <v>379</v>
      </c>
      <c r="B58" s="140" t="s">
        <v>395</v>
      </c>
      <c r="C58" s="159"/>
      <c r="D58" s="163">
        <f>'Rationals-MCDOT'!D170/43560</f>
        <v>0</v>
      </c>
      <c r="E58" s="163">
        <f>'Rationals-MCDOT'!D172</f>
        <v>0</v>
      </c>
      <c r="F58" s="185">
        <f>D58*E58</f>
        <v>0</v>
      </c>
      <c r="G58" s="239"/>
      <c r="H58" s="215">
        <f>D58+H57</f>
        <v>0</v>
      </c>
      <c r="I58" s="216">
        <f>F58+I57</f>
        <v>0</v>
      </c>
      <c r="J58" s="217" t="e">
        <f>J57+W57</f>
        <v>#N/A</v>
      </c>
      <c r="K58" s="163" t="e">
        <f>VLOOKUP(ROUND(J58,1),'SHA Intensity'!$B$3:$D$163,3,TRUE)</f>
        <v>#N/A</v>
      </c>
      <c r="L58" s="180" t="e">
        <f t="shared" si="70"/>
        <v>#N/A</v>
      </c>
      <c r="M58" s="141">
        <v>30</v>
      </c>
      <c r="N58" s="322" t="s">
        <v>202</v>
      </c>
      <c r="O58" s="142">
        <v>1.2999999999999999E-2</v>
      </c>
      <c r="P58" s="323">
        <f>(Q58-R58)/T58</f>
        <v>4.269662921348583E-3</v>
      </c>
      <c r="Q58" s="246">
        <v>333.66</v>
      </c>
      <c r="R58" s="246">
        <v>332.9</v>
      </c>
      <c r="S58" s="246">
        <v>343.34</v>
      </c>
      <c r="T58" s="142">
        <v>178</v>
      </c>
      <c r="U58" s="181" t="e">
        <f t="shared" si="71"/>
        <v>#N/A</v>
      </c>
      <c r="V58" s="181">
        <f t="shared" si="7"/>
        <v>5.4746884426757898</v>
      </c>
      <c r="W58" s="181" t="e">
        <f t="shared" si="72"/>
        <v>#N/A</v>
      </c>
      <c r="X58" s="182">
        <f t="shared" si="73"/>
        <v>26.873791350977868</v>
      </c>
      <c r="Y58" s="183" t="e">
        <f t="shared" si="74"/>
        <v>#N/A</v>
      </c>
      <c r="Z58" s="184" t="e">
        <f t="shared" si="75"/>
        <v>#N/A</v>
      </c>
      <c r="AA58" s="169"/>
      <c r="AB58" s="170">
        <f t="shared" si="62"/>
        <v>1.2999999999999999E-2</v>
      </c>
      <c r="AC58" s="171">
        <f t="shared" si="62"/>
        <v>4.269662921348583E-3</v>
      </c>
      <c r="AD58" s="172" t="e">
        <f t="shared" si="63"/>
        <v>#N/A</v>
      </c>
      <c r="AE58" s="170">
        <f t="shared" si="63"/>
        <v>30</v>
      </c>
      <c r="AF58" s="171"/>
      <c r="AG58" s="171" t="e">
        <f t="shared" si="39"/>
        <v>#N/A</v>
      </c>
      <c r="AH58" s="156" t="e">
        <f>VLOOKUP(AG58,TABLES!$A$2:$D$101,2)</f>
        <v>#N/A</v>
      </c>
      <c r="AI58" s="173" t="e">
        <f t="shared" si="40"/>
        <v>#N/A</v>
      </c>
      <c r="AJ58" s="156" t="e">
        <f>VLOOKUP(AG58,TABLES!$A$2:$D$101,3)</f>
        <v>#N/A</v>
      </c>
      <c r="AK58" s="171" t="e">
        <f t="shared" si="41"/>
        <v>#N/A</v>
      </c>
      <c r="AL58" s="171" t="e">
        <f t="shared" si="42"/>
        <v>#N/A</v>
      </c>
    </row>
    <row r="59" spans="1:38" ht="13.15" hidden="1">
      <c r="A59" s="139" t="s">
        <v>380</v>
      </c>
      <c r="B59" s="140" t="s">
        <v>524</v>
      </c>
      <c r="C59" s="159"/>
      <c r="D59" s="163">
        <f>'Rationals-MCDOT'!M170/43560</f>
        <v>0</v>
      </c>
      <c r="E59" s="163">
        <f>'Rationals-MCDOT'!M172</f>
        <v>0</v>
      </c>
      <c r="F59" s="185">
        <f>D59*E59</f>
        <v>0</v>
      </c>
      <c r="G59" s="239"/>
      <c r="H59" s="219">
        <f>D59</f>
        <v>0</v>
      </c>
      <c r="I59" s="218">
        <f>F59</f>
        <v>0</v>
      </c>
      <c r="J59" s="217">
        <f>'Rationals-MCDOT'!K178</f>
        <v>0</v>
      </c>
      <c r="K59" s="163" t="e">
        <f>VLOOKUP(ROUND(J59,1),'SHA Intensity'!$B$3:$D$163,3,TRUE)</f>
        <v>#N/A</v>
      </c>
      <c r="L59" s="180" t="e">
        <f t="shared" si="70"/>
        <v>#N/A</v>
      </c>
      <c r="M59" s="141">
        <v>30</v>
      </c>
      <c r="N59" s="322" t="s">
        <v>202</v>
      </c>
      <c r="O59" s="142">
        <v>1.2999999999999999E-2</v>
      </c>
      <c r="P59" s="323">
        <f t="shared" ref="P59:P60" si="76">(Q59-R59)/T59</f>
        <v>2.2727272727277896E-3</v>
      </c>
      <c r="Q59" s="246">
        <v>332.42</v>
      </c>
      <c r="R59" s="324">
        <v>332.37</v>
      </c>
      <c r="S59" s="246">
        <v>338.85</v>
      </c>
      <c r="T59" s="142">
        <v>22</v>
      </c>
      <c r="U59" s="181" t="e">
        <f t="shared" si="71"/>
        <v>#N/A</v>
      </c>
      <c r="V59" s="181">
        <f t="shared" si="7"/>
        <v>3.9942594913532385</v>
      </c>
      <c r="W59" s="181" t="e">
        <f t="shared" si="72"/>
        <v>#N/A</v>
      </c>
      <c r="X59" s="182">
        <f t="shared" si="73"/>
        <v>19.606758867875655</v>
      </c>
      <c r="Y59" s="183" t="e">
        <f t="shared" si="74"/>
        <v>#N/A</v>
      </c>
      <c r="Z59" s="184" t="e">
        <f t="shared" si="75"/>
        <v>#N/A</v>
      </c>
      <c r="AA59" s="169"/>
      <c r="AB59" s="170">
        <f t="shared" si="62"/>
        <v>1.2999999999999999E-2</v>
      </c>
      <c r="AC59" s="171">
        <f t="shared" si="62"/>
        <v>2.2727272727277896E-3</v>
      </c>
      <c r="AD59" s="172" t="e">
        <f t="shared" si="63"/>
        <v>#N/A</v>
      </c>
      <c r="AE59" s="170">
        <f t="shared" si="63"/>
        <v>30</v>
      </c>
      <c r="AF59" s="171"/>
      <c r="AG59" s="171" t="e">
        <f t="shared" si="39"/>
        <v>#N/A</v>
      </c>
      <c r="AH59" s="156" t="e">
        <f>VLOOKUP(AG59,TABLES!$A$2:$D$101,2)</f>
        <v>#N/A</v>
      </c>
      <c r="AI59" s="173" t="e">
        <f t="shared" si="40"/>
        <v>#N/A</v>
      </c>
      <c r="AJ59" s="156" t="e">
        <f>VLOOKUP(AG59,TABLES!$A$2:$D$101,3)</f>
        <v>#N/A</v>
      </c>
      <c r="AK59" s="171" t="e">
        <f t="shared" si="41"/>
        <v>#N/A</v>
      </c>
      <c r="AL59" s="171" t="e">
        <f t="shared" si="42"/>
        <v>#N/A</v>
      </c>
    </row>
    <row r="60" spans="1:38" ht="13.15" hidden="1">
      <c r="A60" s="139" t="s">
        <v>524</v>
      </c>
      <c r="B60" s="140" t="s">
        <v>525</v>
      </c>
      <c r="C60" s="159"/>
      <c r="D60" s="226" t="s">
        <v>286</v>
      </c>
      <c r="E60" s="179" t="s">
        <v>286</v>
      </c>
      <c r="F60" s="178" t="s">
        <v>286</v>
      </c>
      <c r="G60" s="239"/>
      <c r="H60" s="215">
        <f>H58+H59</f>
        <v>0</v>
      </c>
      <c r="I60" s="216">
        <f>I58+I59</f>
        <v>0</v>
      </c>
      <c r="J60" s="217" t="e">
        <f>J59+W59</f>
        <v>#N/A</v>
      </c>
      <c r="K60" s="163" t="e">
        <f>VLOOKUP(ROUND(J60,1),'SHA Intensity'!$B$3:$D$163,3,TRUE)</f>
        <v>#N/A</v>
      </c>
      <c r="L60" s="180" t="e">
        <f t="shared" si="70"/>
        <v>#N/A</v>
      </c>
      <c r="M60" s="141">
        <v>33</v>
      </c>
      <c r="N60" s="322" t="s">
        <v>202</v>
      </c>
      <c r="O60" s="142">
        <v>1.2999999999999999E-2</v>
      </c>
      <c r="P60" s="323">
        <f t="shared" si="76"/>
        <v>2.5474254742547362E-2</v>
      </c>
      <c r="Q60" s="246">
        <v>332.37</v>
      </c>
      <c r="R60" s="246">
        <v>322.97000000000003</v>
      </c>
      <c r="S60" s="246">
        <v>338.6</v>
      </c>
      <c r="T60" s="142">
        <v>369</v>
      </c>
      <c r="U60" s="181" t="e">
        <f t="shared" si="71"/>
        <v>#N/A</v>
      </c>
      <c r="V60" s="181">
        <f t="shared" si="7"/>
        <v>14.249795087985799</v>
      </c>
      <c r="W60" s="181" t="e">
        <f t="shared" si="72"/>
        <v>#N/A</v>
      </c>
      <c r="X60" s="182">
        <f t="shared" si="73"/>
        <v>84.63763537197346</v>
      </c>
      <c r="Y60" s="183" t="e">
        <f t="shared" si="74"/>
        <v>#N/A</v>
      </c>
      <c r="Z60" s="184" t="e">
        <f t="shared" si="75"/>
        <v>#N/A</v>
      </c>
      <c r="AA60" s="169"/>
      <c r="AB60" s="170">
        <f t="shared" si="62"/>
        <v>1.2999999999999999E-2</v>
      </c>
      <c r="AC60" s="171">
        <f t="shared" si="62"/>
        <v>2.5474254742547362E-2</v>
      </c>
      <c r="AD60" s="172" t="e">
        <f t="shared" si="63"/>
        <v>#N/A</v>
      </c>
      <c r="AE60" s="170">
        <f t="shared" si="63"/>
        <v>33</v>
      </c>
      <c r="AF60" s="171"/>
      <c r="AG60" s="171" t="e">
        <f t="shared" si="39"/>
        <v>#N/A</v>
      </c>
      <c r="AH60" s="156" t="e">
        <f>VLOOKUP(AG60,TABLES!$A$2:$D$101,2)</f>
        <v>#N/A</v>
      </c>
      <c r="AI60" s="173" t="e">
        <f t="shared" si="40"/>
        <v>#N/A</v>
      </c>
      <c r="AJ60" s="156" t="e">
        <f>VLOOKUP(AG60,TABLES!$A$2:$D$101,3)</f>
        <v>#N/A</v>
      </c>
      <c r="AK60" s="171" t="e">
        <f t="shared" si="41"/>
        <v>#N/A</v>
      </c>
      <c r="AL60" s="171" t="e">
        <f t="shared" si="42"/>
        <v>#N/A</v>
      </c>
    </row>
    <row r="61" spans="1:38" ht="13.15" hidden="1">
      <c r="A61" s="139" t="s">
        <v>522</v>
      </c>
      <c r="B61" s="140" t="s">
        <v>523</v>
      </c>
      <c r="C61" s="159"/>
      <c r="D61" s="163">
        <f>'Rationals-MCDOT'!V257/43560</f>
        <v>0</v>
      </c>
      <c r="E61" s="163">
        <f>'Rationals-MCDOT'!V259</f>
        <v>0</v>
      </c>
      <c r="F61" s="185">
        <f>D61*E61</f>
        <v>0</v>
      </c>
      <c r="G61" s="239"/>
      <c r="H61" s="219">
        <f>D61</f>
        <v>0</v>
      </c>
      <c r="I61" s="218">
        <f>F61</f>
        <v>0</v>
      </c>
      <c r="J61" s="217">
        <f>'Rationals-MCDOT'!T265</f>
        <v>0</v>
      </c>
      <c r="K61" s="163" t="e">
        <f>VLOOKUP(ROUND(J61,1),'SHA Intensity'!$B$3:$D$163,3,TRUE)</f>
        <v>#N/A</v>
      </c>
      <c r="L61" s="180" t="e">
        <f t="shared" si="70"/>
        <v>#N/A</v>
      </c>
      <c r="M61" s="141">
        <v>15</v>
      </c>
      <c r="N61" s="322" t="s">
        <v>202</v>
      </c>
      <c r="O61" s="142">
        <v>1.2999999999999999E-2</v>
      </c>
      <c r="P61" s="323">
        <f>(Q61-R61)/T61</f>
        <v>1.9310344827586284E-2</v>
      </c>
      <c r="Q61" s="246">
        <v>326.41000000000003</v>
      </c>
      <c r="R61" s="246">
        <v>325.85000000000002</v>
      </c>
      <c r="S61" s="246">
        <v>329.06</v>
      </c>
      <c r="T61" s="142">
        <v>29</v>
      </c>
      <c r="U61" s="181" t="e">
        <f t="shared" si="71"/>
        <v>#N/A</v>
      </c>
      <c r="V61" s="181">
        <f t="shared" si="7"/>
        <v>7.3344906866845854</v>
      </c>
      <c r="W61" s="181" t="e">
        <f t="shared" si="72"/>
        <v>#N/A</v>
      </c>
      <c r="X61" s="182">
        <f t="shared" si="73"/>
        <v>9.0007666392114949</v>
      </c>
      <c r="Y61" s="183" t="e">
        <f t="shared" si="74"/>
        <v>#N/A</v>
      </c>
      <c r="Z61" s="184" t="e">
        <f t="shared" si="75"/>
        <v>#N/A</v>
      </c>
      <c r="AA61" s="169"/>
      <c r="AB61" s="170">
        <f t="shared" si="62"/>
        <v>1.2999999999999999E-2</v>
      </c>
      <c r="AC61" s="171">
        <f t="shared" si="62"/>
        <v>1.9310344827586284E-2</v>
      </c>
      <c r="AD61" s="172" t="e">
        <f t="shared" si="63"/>
        <v>#N/A</v>
      </c>
      <c r="AE61" s="170">
        <f t="shared" si="63"/>
        <v>15</v>
      </c>
      <c r="AF61" s="171"/>
      <c r="AG61" s="171" t="e">
        <f t="shared" si="39"/>
        <v>#N/A</v>
      </c>
      <c r="AH61" s="156" t="e">
        <f>VLOOKUP(AG61,TABLES!$A$2:$D$101,2)</f>
        <v>#N/A</v>
      </c>
      <c r="AI61" s="173" t="e">
        <f t="shared" si="40"/>
        <v>#N/A</v>
      </c>
      <c r="AJ61" s="156" t="e">
        <f>VLOOKUP(AG61,TABLES!$A$2:$D$101,3)</f>
        <v>#N/A</v>
      </c>
      <c r="AK61" s="171" t="e">
        <f t="shared" si="41"/>
        <v>#N/A</v>
      </c>
      <c r="AL61" s="171" t="e">
        <f t="shared" si="42"/>
        <v>#N/A</v>
      </c>
    </row>
    <row r="62" spans="1:38" ht="13.15" hidden="1">
      <c r="A62" s="139" t="s">
        <v>523</v>
      </c>
      <c r="B62" s="140" t="s">
        <v>525</v>
      </c>
      <c r="C62" s="159"/>
      <c r="D62" s="163">
        <f>'Rationals-MCDOT'!D286/43560</f>
        <v>0</v>
      </c>
      <c r="E62" s="163">
        <f>'Rationals-MCDOT'!D288</f>
        <v>0</v>
      </c>
      <c r="F62" s="185">
        <f>D62*E62</f>
        <v>0</v>
      </c>
      <c r="G62" s="239"/>
      <c r="H62" s="215">
        <f>H61+D62</f>
        <v>0</v>
      </c>
      <c r="I62" s="216">
        <f>I61+F62</f>
        <v>0</v>
      </c>
      <c r="J62" s="217" t="e">
        <f>J61+W61</f>
        <v>#N/A</v>
      </c>
      <c r="K62" s="163" t="e">
        <f>VLOOKUP(ROUND(J62,1),'SHA Intensity'!$B$3:$D$163,3,TRUE)</f>
        <v>#N/A</v>
      </c>
      <c r="L62" s="180" t="e">
        <f t="shared" si="70"/>
        <v>#N/A</v>
      </c>
      <c r="M62" s="141">
        <v>18</v>
      </c>
      <c r="N62" s="322" t="s">
        <v>202</v>
      </c>
      <c r="O62" s="142">
        <v>1.2999999999999999E-2</v>
      </c>
      <c r="P62" s="323">
        <f t="shared" ref="P62" si="77">(Q62-R62)/T62</f>
        <v>1.4285714285709414E-2</v>
      </c>
      <c r="Q62" s="246">
        <v>325.2</v>
      </c>
      <c r="R62" s="246">
        <v>325.10000000000002</v>
      </c>
      <c r="S62" s="246">
        <v>329.29</v>
      </c>
      <c r="T62" s="142">
        <v>7</v>
      </c>
      <c r="U62" s="181" t="e">
        <f t="shared" si="71"/>
        <v>#N/A</v>
      </c>
      <c r="V62" s="181">
        <f t="shared" si="7"/>
        <v>7.1238323143022058</v>
      </c>
      <c r="W62" s="181" t="e">
        <f t="shared" si="72"/>
        <v>#N/A</v>
      </c>
      <c r="X62" s="182">
        <f t="shared" si="73"/>
        <v>12.588840202662375</v>
      </c>
      <c r="Y62" s="183" t="e">
        <f t="shared" si="74"/>
        <v>#N/A</v>
      </c>
      <c r="Z62" s="184" t="e">
        <f t="shared" si="75"/>
        <v>#N/A</v>
      </c>
      <c r="AA62" s="169"/>
      <c r="AB62" s="170">
        <f t="shared" si="62"/>
        <v>1.2999999999999999E-2</v>
      </c>
      <c r="AC62" s="171">
        <f t="shared" si="62"/>
        <v>1.4285714285709414E-2</v>
      </c>
      <c r="AD62" s="172" t="e">
        <f t="shared" si="63"/>
        <v>#N/A</v>
      </c>
      <c r="AE62" s="170">
        <f t="shared" si="63"/>
        <v>18</v>
      </c>
      <c r="AF62" s="171"/>
      <c r="AG62" s="171" t="e">
        <f t="shared" si="39"/>
        <v>#N/A</v>
      </c>
      <c r="AH62" s="156" t="e">
        <f>VLOOKUP(AG62,TABLES!$A$2:$D$101,2)</f>
        <v>#N/A</v>
      </c>
      <c r="AI62" s="173" t="e">
        <f t="shared" si="40"/>
        <v>#N/A</v>
      </c>
      <c r="AJ62" s="156" t="e">
        <f>VLOOKUP(AG62,TABLES!$A$2:$D$101,3)</f>
        <v>#N/A</v>
      </c>
      <c r="AK62" s="171" t="e">
        <f t="shared" si="41"/>
        <v>#N/A</v>
      </c>
      <c r="AL62" s="171" t="e">
        <f t="shared" si="42"/>
        <v>#N/A</v>
      </c>
    </row>
    <row r="63" spans="1:38" ht="13.15" hidden="1">
      <c r="A63" s="139" t="s">
        <v>525</v>
      </c>
      <c r="B63" s="140" t="s">
        <v>305</v>
      </c>
      <c r="C63" s="159"/>
      <c r="D63" s="226" t="s">
        <v>286</v>
      </c>
      <c r="E63" s="179" t="s">
        <v>286</v>
      </c>
      <c r="F63" s="178" t="s">
        <v>286</v>
      </c>
      <c r="G63" s="239"/>
      <c r="H63" s="219">
        <f>H60+H62</f>
        <v>0</v>
      </c>
      <c r="I63" s="218">
        <f>I60+I62</f>
        <v>0</v>
      </c>
      <c r="J63" s="217" t="e">
        <f>J62+W62</f>
        <v>#N/A</v>
      </c>
      <c r="K63" s="163" t="e">
        <f>VLOOKUP(ROUND(J63,1),'SHA Intensity'!$B$3:$D$163,3,TRUE)</f>
        <v>#N/A</v>
      </c>
      <c r="L63" s="180" t="e">
        <f t="shared" si="70"/>
        <v>#N/A</v>
      </c>
      <c r="M63" s="141">
        <v>33</v>
      </c>
      <c r="N63" s="322" t="s">
        <v>202</v>
      </c>
      <c r="O63" s="142">
        <v>1.2999999999999999E-2</v>
      </c>
      <c r="P63" s="323">
        <f>(Q63-R63)/T63</f>
        <v>4.9572649572648215E-3</v>
      </c>
      <c r="Q63" s="246">
        <v>322.3</v>
      </c>
      <c r="R63" s="325">
        <v>321.72000000000003</v>
      </c>
      <c r="S63" s="246">
        <v>328.76</v>
      </c>
      <c r="T63" s="142">
        <v>117</v>
      </c>
      <c r="U63" s="181" t="e">
        <f t="shared" si="71"/>
        <v>#N/A</v>
      </c>
      <c r="V63" s="181">
        <f t="shared" si="7"/>
        <v>6.2860660706575935</v>
      </c>
      <c r="W63" s="181" t="e">
        <f t="shared" si="72"/>
        <v>#N/A</v>
      </c>
      <c r="X63" s="182">
        <f t="shared" si="73"/>
        <v>37.336520611515304</v>
      </c>
      <c r="Y63" s="183" t="e">
        <f t="shared" si="74"/>
        <v>#N/A</v>
      </c>
      <c r="Z63" s="184" t="e">
        <f t="shared" si="75"/>
        <v>#N/A</v>
      </c>
      <c r="AA63" s="169"/>
      <c r="AB63" s="170">
        <f t="shared" si="62"/>
        <v>1.2999999999999999E-2</v>
      </c>
      <c r="AC63" s="171">
        <f t="shared" si="62"/>
        <v>4.9572649572648215E-3</v>
      </c>
      <c r="AD63" s="172" t="e">
        <f t="shared" si="63"/>
        <v>#N/A</v>
      </c>
      <c r="AE63" s="170">
        <f t="shared" si="63"/>
        <v>33</v>
      </c>
      <c r="AF63" s="171"/>
      <c r="AG63" s="171" t="e">
        <f t="shared" si="39"/>
        <v>#N/A</v>
      </c>
      <c r="AH63" s="156" t="e">
        <f>VLOOKUP(AG63,TABLES!$A$2:$D$101,2)</f>
        <v>#N/A</v>
      </c>
      <c r="AI63" s="173" t="e">
        <f t="shared" si="40"/>
        <v>#N/A</v>
      </c>
      <c r="AJ63" s="156" t="e">
        <f>VLOOKUP(AG63,TABLES!$A$2:$D$101,3)</f>
        <v>#N/A</v>
      </c>
      <c r="AK63" s="171" t="e">
        <f t="shared" si="41"/>
        <v>#N/A</v>
      </c>
      <c r="AL63" s="171" t="e">
        <f t="shared" si="42"/>
        <v>#N/A</v>
      </c>
    </row>
    <row r="64" spans="1:38" ht="13.15" hidden="1">
      <c r="A64" s="139"/>
      <c r="B64" s="140"/>
      <c r="C64" s="159"/>
      <c r="D64" s="163"/>
      <c r="E64" s="163"/>
      <c r="F64" s="185"/>
      <c r="G64" s="239"/>
      <c r="H64" s="219"/>
      <c r="I64" s="218"/>
      <c r="J64" s="217"/>
      <c r="K64" s="163"/>
      <c r="L64" s="180"/>
      <c r="M64" s="141"/>
      <c r="N64" s="142"/>
      <c r="O64" s="142"/>
      <c r="P64" s="143"/>
      <c r="Q64" s="246"/>
      <c r="R64" s="246"/>
      <c r="S64" s="246"/>
      <c r="T64" s="142"/>
      <c r="U64" s="181"/>
      <c r="V64" s="181"/>
      <c r="W64" s="181"/>
      <c r="X64" s="182"/>
      <c r="Y64" s="183"/>
      <c r="Z64" s="184"/>
      <c r="AA64" s="169"/>
      <c r="AB64" s="170">
        <f t="shared" si="62"/>
        <v>0</v>
      </c>
      <c r="AC64" s="171">
        <f t="shared" si="62"/>
        <v>0</v>
      </c>
      <c r="AD64" s="172">
        <f t="shared" si="63"/>
        <v>0</v>
      </c>
      <c r="AE64" s="170">
        <f t="shared" si="63"/>
        <v>0</v>
      </c>
      <c r="AF64" s="171"/>
      <c r="AG64" s="171" t="e">
        <f t="shared" si="39"/>
        <v>#DIV/0!</v>
      </c>
      <c r="AH64" s="156" t="e">
        <f>VLOOKUP(AG64,TABLES!$A$2:$D$101,2)</f>
        <v>#DIV/0!</v>
      </c>
      <c r="AI64" s="173" t="e">
        <f t="shared" si="40"/>
        <v>#DIV/0!</v>
      </c>
      <c r="AJ64" s="156" t="e">
        <f>VLOOKUP(AG64,TABLES!$A$2:$D$101,3)</f>
        <v>#DIV/0!</v>
      </c>
      <c r="AK64" s="171" t="e">
        <f t="shared" si="41"/>
        <v>#DIV/0!</v>
      </c>
      <c r="AL64" s="171" t="e">
        <f t="shared" si="42"/>
        <v>#DIV/0!</v>
      </c>
    </row>
    <row r="65" spans="1:38" ht="13.15">
      <c r="A65" s="139" t="s">
        <v>541</v>
      </c>
      <c r="B65" s="140" t="s">
        <v>542</v>
      </c>
      <c r="C65" s="159"/>
      <c r="D65" s="163">
        <f>'Rationals-MCDOT'!M286/43560</f>
        <v>0</v>
      </c>
      <c r="E65" s="163">
        <f>'Rationals-MCDOT'!M288</f>
        <v>0</v>
      </c>
      <c r="F65" s="185">
        <f>D65*E65</f>
        <v>0</v>
      </c>
      <c r="G65" s="239"/>
      <c r="H65" s="215">
        <f>D65</f>
        <v>0</v>
      </c>
      <c r="I65" s="216">
        <f>F65</f>
        <v>0</v>
      </c>
      <c r="J65" s="217">
        <f>'Rationals-MCDOT'!K294</f>
        <v>0</v>
      </c>
      <c r="K65" s="163" t="e">
        <f>VLOOKUP(ROUND(J65,1),'SHA Intensity'!$B$3:$D$163,3,TRUE)</f>
        <v>#N/A</v>
      </c>
      <c r="L65" s="180" t="e">
        <f t="shared" ref="L65" si="78">K65*I65</f>
        <v>#N/A</v>
      </c>
      <c r="M65" s="141">
        <v>18</v>
      </c>
      <c r="N65" s="322" t="s">
        <v>202</v>
      </c>
      <c r="O65" s="142">
        <v>1.2999999999999999E-2</v>
      </c>
      <c r="P65" s="323">
        <f>(Q65-R65)/T65</f>
        <v>8.3333333333328596E-3</v>
      </c>
      <c r="Q65" s="246">
        <v>318</v>
      </c>
      <c r="R65" s="246">
        <v>317.8</v>
      </c>
      <c r="S65" s="246">
        <v>324.61</v>
      </c>
      <c r="T65" s="142">
        <v>24</v>
      </c>
      <c r="U65" s="181" t="e">
        <f t="shared" ref="U65" si="79">AL65</f>
        <v>#N/A</v>
      </c>
      <c r="V65" s="181">
        <f t="shared" ref="V65" si="80">X65*576/(3.14159*M65^2)</f>
        <v>5.4409168030778225</v>
      </c>
      <c r="W65" s="181" t="e">
        <f t="shared" ref="W65" si="81">T65/U65/(60)</f>
        <v>#N/A</v>
      </c>
      <c r="X65" s="182">
        <f t="shared" ref="X65" si="82">PI()*(((M65/2)/12)^2*(1.49/O65)*(M65/48)^0.66667*(P65^0.5))</f>
        <v>9.6148855234019575</v>
      </c>
      <c r="Y65" s="183" t="e">
        <f t="shared" ref="Y65" si="83">AI65*12</f>
        <v>#N/A</v>
      </c>
      <c r="Z65" s="184" t="e">
        <f t="shared" ref="Z65" si="84">L65/X65</f>
        <v>#N/A</v>
      </c>
      <c r="AA65" s="169"/>
      <c r="AB65" s="170">
        <f t="shared" si="62"/>
        <v>1.2999999999999999E-2</v>
      </c>
      <c r="AC65" s="171">
        <f t="shared" si="62"/>
        <v>8.3333333333328596E-3</v>
      </c>
      <c r="AD65" s="172" t="e">
        <f t="shared" si="63"/>
        <v>#N/A</v>
      </c>
      <c r="AE65" s="170">
        <f t="shared" si="63"/>
        <v>18</v>
      </c>
      <c r="AF65" s="171"/>
      <c r="AG65" s="171" t="e">
        <f t="shared" si="39"/>
        <v>#N/A</v>
      </c>
      <c r="AH65" s="156" t="e">
        <f>VLOOKUP(AG65,TABLES!$A$2:$D$101,2)</f>
        <v>#N/A</v>
      </c>
      <c r="AI65" s="173" t="e">
        <f t="shared" si="40"/>
        <v>#N/A</v>
      </c>
      <c r="AJ65" s="156" t="e">
        <f>VLOOKUP(AG65,TABLES!$A$2:$D$101,3)</f>
        <v>#N/A</v>
      </c>
      <c r="AK65" s="171" t="e">
        <f t="shared" si="41"/>
        <v>#N/A</v>
      </c>
      <c r="AL65" s="171" t="e">
        <f t="shared" si="42"/>
        <v>#N/A</v>
      </c>
    </row>
    <row r="66" spans="1:38" ht="13.15">
      <c r="A66" s="139"/>
      <c r="B66" s="140"/>
      <c r="C66" s="159"/>
      <c r="D66" s="163"/>
      <c r="E66" s="163"/>
      <c r="F66" s="185"/>
      <c r="G66" s="239"/>
      <c r="H66" s="219"/>
      <c r="I66" s="218"/>
      <c r="J66" s="217"/>
      <c r="K66" s="163"/>
      <c r="L66" s="180"/>
      <c r="M66" s="141"/>
      <c r="N66" s="142"/>
      <c r="O66" s="142"/>
      <c r="P66" s="143"/>
      <c r="Q66" s="246"/>
      <c r="R66" s="246"/>
      <c r="S66" s="246"/>
      <c r="T66" s="142"/>
      <c r="U66" s="181"/>
      <c r="V66" s="181"/>
      <c r="W66" s="181"/>
      <c r="X66" s="182"/>
      <c r="Y66" s="183"/>
      <c r="Z66" s="184"/>
      <c r="AA66" s="169"/>
      <c r="AB66" s="170">
        <f t="shared" si="62"/>
        <v>0</v>
      </c>
      <c r="AC66" s="171">
        <f t="shared" si="62"/>
        <v>0</v>
      </c>
      <c r="AD66" s="172">
        <f t="shared" si="63"/>
        <v>0</v>
      </c>
      <c r="AE66" s="170">
        <f t="shared" si="63"/>
        <v>0</v>
      </c>
      <c r="AF66" s="171"/>
      <c r="AG66" s="171" t="e">
        <f t="shared" si="39"/>
        <v>#DIV/0!</v>
      </c>
      <c r="AH66" s="156" t="e">
        <f>VLOOKUP(AG66,TABLES!$A$2:$D$101,2)</f>
        <v>#DIV/0!</v>
      </c>
      <c r="AI66" s="173" t="e">
        <f t="shared" si="40"/>
        <v>#DIV/0!</v>
      </c>
      <c r="AJ66" s="156" t="e">
        <f>VLOOKUP(AG66,TABLES!$A$2:$D$101,3)</f>
        <v>#DIV/0!</v>
      </c>
      <c r="AK66" s="171" t="e">
        <f t="shared" si="41"/>
        <v>#DIV/0!</v>
      </c>
      <c r="AL66" s="171" t="e">
        <f t="shared" si="42"/>
        <v>#DIV/0!</v>
      </c>
    </row>
    <row r="67" spans="1:38" ht="13.15">
      <c r="A67" s="139"/>
      <c r="B67" s="140"/>
      <c r="C67" s="159"/>
      <c r="D67" s="160"/>
      <c r="E67" s="160"/>
      <c r="F67" s="161"/>
      <c r="G67" s="162"/>
      <c r="H67" s="215"/>
      <c r="I67" s="216"/>
      <c r="J67" s="217"/>
      <c r="K67" s="163"/>
      <c r="L67" s="164"/>
      <c r="M67" s="141"/>
      <c r="N67" s="142"/>
      <c r="O67" s="142"/>
      <c r="P67" s="143"/>
      <c r="Q67" s="246"/>
      <c r="R67" s="246"/>
      <c r="S67" s="246"/>
      <c r="T67" s="142"/>
      <c r="U67" s="165"/>
      <c r="V67" s="165"/>
      <c r="W67" s="165"/>
      <c r="X67" s="166"/>
      <c r="Y67" s="167"/>
      <c r="Z67" s="168"/>
      <c r="AA67" s="169"/>
      <c r="AB67" s="170">
        <f t="shared" si="62"/>
        <v>0</v>
      </c>
      <c r="AC67" s="171">
        <f t="shared" si="62"/>
        <v>0</v>
      </c>
      <c r="AD67" s="172">
        <f t="shared" si="63"/>
        <v>0</v>
      </c>
      <c r="AE67" s="170">
        <f t="shared" si="63"/>
        <v>0</v>
      </c>
      <c r="AF67" s="171"/>
      <c r="AG67" s="171" t="e">
        <f t="shared" si="39"/>
        <v>#DIV/0!</v>
      </c>
      <c r="AH67" s="156" t="e">
        <f>VLOOKUP(AG67,TABLES!$A$2:$D$101,2)</f>
        <v>#DIV/0!</v>
      </c>
      <c r="AI67" s="173" t="e">
        <f t="shared" si="40"/>
        <v>#DIV/0!</v>
      </c>
      <c r="AJ67" s="156" t="e">
        <f>VLOOKUP(AG67,TABLES!$A$2:$D$101,3)</f>
        <v>#DIV/0!</v>
      </c>
      <c r="AK67" s="171" t="e">
        <f t="shared" si="41"/>
        <v>#DIV/0!</v>
      </c>
      <c r="AL67" s="171" t="e">
        <f t="shared" si="42"/>
        <v>#DIV/0!</v>
      </c>
    </row>
    <row r="68" spans="1:38" ht="13.15">
      <c r="A68" s="139"/>
      <c r="B68" s="140"/>
      <c r="C68" s="159"/>
      <c r="D68" s="163"/>
      <c r="E68" s="163"/>
      <c r="F68" s="185"/>
      <c r="G68" s="162"/>
      <c r="H68" s="219"/>
      <c r="I68" s="218"/>
      <c r="J68" s="217"/>
      <c r="K68" s="163"/>
      <c r="L68" s="180"/>
      <c r="M68" s="141"/>
      <c r="N68" s="142"/>
      <c r="O68" s="142"/>
      <c r="P68" s="143"/>
      <c r="Q68" s="246"/>
      <c r="R68" s="246"/>
      <c r="S68" s="246"/>
      <c r="T68" s="142"/>
      <c r="U68" s="181"/>
      <c r="V68" s="181"/>
      <c r="W68" s="181"/>
      <c r="X68" s="182"/>
      <c r="Y68" s="183"/>
      <c r="Z68" s="184"/>
      <c r="AA68" s="169"/>
      <c r="AB68" s="170">
        <f t="shared" si="62"/>
        <v>0</v>
      </c>
      <c r="AC68" s="171">
        <f t="shared" si="62"/>
        <v>0</v>
      </c>
      <c r="AD68" s="172">
        <f t="shared" si="63"/>
        <v>0</v>
      </c>
      <c r="AE68" s="170">
        <f t="shared" si="63"/>
        <v>0</v>
      </c>
      <c r="AF68" s="171"/>
      <c r="AG68" s="171" t="e">
        <f t="shared" si="39"/>
        <v>#DIV/0!</v>
      </c>
      <c r="AH68" s="156" t="e">
        <f>VLOOKUP(AG68,TABLES!$A$2:$D$101,2)</f>
        <v>#DIV/0!</v>
      </c>
      <c r="AI68" s="173" t="e">
        <f t="shared" si="40"/>
        <v>#DIV/0!</v>
      </c>
      <c r="AJ68" s="156" t="e">
        <f>VLOOKUP(AG68,TABLES!$A$2:$D$101,3)</f>
        <v>#DIV/0!</v>
      </c>
      <c r="AK68" s="171" t="e">
        <f t="shared" si="41"/>
        <v>#DIV/0!</v>
      </c>
      <c r="AL68" s="171" t="e">
        <f t="shared" si="42"/>
        <v>#DIV/0!</v>
      </c>
    </row>
    <row r="69" spans="1:38" ht="13.15">
      <c r="A69" s="139"/>
      <c r="B69" s="140"/>
      <c r="C69" s="159"/>
      <c r="D69" s="160"/>
      <c r="E69" s="160"/>
      <c r="F69" s="161"/>
      <c r="G69" s="162"/>
      <c r="H69" s="215"/>
      <c r="I69" s="216"/>
      <c r="J69" s="217"/>
      <c r="K69" s="163"/>
      <c r="L69" s="164"/>
      <c r="M69" s="141"/>
      <c r="N69" s="142"/>
      <c r="O69" s="142"/>
      <c r="P69" s="143"/>
      <c r="Q69" s="246"/>
      <c r="R69" s="246"/>
      <c r="S69" s="246"/>
      <c r="T69" s="142"/>
      <c r="U69" s="165"/>
      <c r="V69" s="165"/>
      <c r="W69" s="165"/>
      <c r="X69" s="166"/>
      <c r="Y69" s="167"/>
      <c r="Z69" s="168"/>
      <c r="AA69" s="169"/>
      <c r="AB69" s="170">
        <f t="shared" si="62"/>
        <v>0</v>
      </c>
      <c r="AC69" s="171">
        <f t="shared" si="62"/>
        <v>0</v>
      </c>
      <c r="AD69" s="172">
        <f t="shared" si="63"/>
        <v>0</v>
      </c>
      <c r="AE69" s="170">
        <f t="shared" si="63"/>
        <v>0</v>
      </c>
      <c r="AF69" s="171"/>
      <c r="AG69" s="171" t="e">
        <f t="shared" si="39"/>
        <v>#DIV/0!</v>
      </c>
      <c r="AH69" s="156" t="e">
        <f>VLOOKUP(AG69,TABLES!$A$2:$D$101,2)</f>
        <v>#DIV/0!</v>
      </c>
      <c r="AI69" s="173" t="e">
        <f t="shared" si="40"/>
        <v>#DIV/0!</v>
      </c>
      <c r="AJ69" s="156" t="e">
        <f>VLOOKUP(AG69,TABLES!$A$2:$D$101,3)</f>
        <v>#DIV/0!</v>
      </c>
      <c r="AK69" s="171" t="e">
        <f t="shared" si="41"/>
        <v>#DIV/0!</v>
      </c>
      <c r="AL69" s="171" t="e">
        <f t="shared" si="42"/>
        <v>#DIV/0!</v>
      </c>
    </row>
    <row r="70" spans="1:38" ht="13.15">
      <c r="A70" s="139"/>
      <c r="B70" s="140"/>
      <c r="C70" s="159"/>
      <c r="D70" s="163"/>
      <c r="E70" s="163"/>
      <c r="F70" s="185"/>
      <c r="G70" s="162"/>
      <c r="H70" s="219"/>
      <c r="I70" s="218"/>
      <c r="J70" s="217"/>
      <c r="K70" s="163"/>
      <c r="L70" s="180"/>
      <c r="M70" s="141"/>
      <c r="N70" s="142"/>
      <c r="O70" s="142"/>
      <c r="P70" s="143"/>
      <c r="Q70" s="246"/>
      <c r="R70" s="246"/>
      <c r="S70" s="246"/>
      <c r="T70" s="142"/>
      <c r="U70" s="181"/>
      <c r="V70" s="181"/>
      <c r="W70" s="181"/>
      <c r="X70" s="182"/>
      <c r="Y70" s="183"/>
      <c r="Z70" s="184"/>
      <c r="AA70" s="169"/>
      <c r="AB70" s="170">
        <f t="shared" si="62"/>
        <v>0</v>
      </c>
      <c r="AC70" s="171">
        <f t="shared" si="62"/>
        <v>0</v>
      </c>
      <c r="AD70" s="172">
        <f t="shared" si="63"/>
        <v>0</v>
      </c>
      <c r="AE70" s="170">
        <f t="shared" si="63"/>
        <v>0</v>
      </c>
      <c r="AF70" s="171"/>
      <c r="AG70" s="171" t="e">
        <f t="shared" si="39"/>
        <v>#DIV/0!</v>
      </c>
      <c r="AH70" s="156" t="e">
        <f>VLOOKUP(AG70,TABLES!$A$2:$D$101,2)</f>
        <v>#DIV/0!</v>
      </c>
      <c r="AI70" s="173" t="e">
        <f t="shared" si="40"/>
        <v>#DIV/0!</v>
      </c>
      <c r="AJ70" s="156" t="e">
        <f>VLOOKUP(AG70,TABLES!$A$2:$D$101,3)</f>
        <v>#DIV/0!</v>
      </c>
      <c r="AK70" s="171" t="e">
        <f t="shared" si="41"/>
        <v>#DIV/0!</v>
      </c>
      <c r="AL70" s="171" t="e">
        <f t="shared" si="42"/>
        <v>#DIV/0!</v>
      </c>
    </row>
    <row r="71" spans="1:38" ht="13.15">
      <c r="A71" s="139"/>
      <c r="B71" s="140"/>
      <c r="C71" s="159"/>
      <c r="D71" s="160"/>
      <c r="E71" s="160"/>
      <c r="F71" s="161"/>
      <c r="G71" s="162"/>
      <c r="H71" s="215"/>
      <c r="I71" s="216"/>
      <c r="J71" s="217"/>
      <c r="K71" s="163"/>
      <c r="L71" s="164"/>
      <c r="M71" s="141"/>
      <c r="N71" s="142"/>
      <c r="O71" s="142"/>
      <c r="P71" s="143"/>
      <c r="Q71" s="246"/>
      <c r="R71" s="246"/>
      <c r="S71" s="246"/>
      <c r="T71" s="142"/>
      <c r="U71" s="165"/>
      <c r="V71" s="165"/>
      <c r="W71" s="165"/>
      <c r="X71" s="166"/>
      <c r="Y71" s="167"/>
      <c r="Z71" s="168"/>
      <c r="AA71" s="169"/>
      <c r="AB71" s="170">
        <f t="shared" si="62"/>
        <v>0</v>
      </c>
      <c r="AC71" s="171">
        <f t="shared" si="62"/>
        <v>0</v>
      </c>
      <c r="AD71" s="172">
        <f t="shared" si="63"/>
        <v>0</v>
      </c>
      <c r="AE71" s="170">
        <f t="shared" si="63"/>
        <v>0</v>
      </c>
      <c r="AF71" s="171"/>
      <c r="AG71" s="171" t="e">
        <f t="shared" si="39"/>
        <v>#DIV/0!</v>
      </c>
      <c r="AH71" s="156" t="e">
        <f>VLOOKUP(AG71,TABLES!$A$2:$D$101,2)</f>
        <v>#DIV/0!</v>
      </c>
      <c r="AI71" s="173" t="e">
        <f t="shared" si="40"/>
        <v>#DIV/0!</v>
      </c>
      <c r="AJ71" s="156" t="e">
        <f>VLOOKUP(AG71,TABLES!$A$2:$D$101,3)</f>
        <v>#DIV/0!</v>
      </c>
      <c r="AK71" s="171" t="e">
        <f t="shared" si="41"/>
        <v>#DIV/0!</v>
      </c>
      <c r="AL71" s="171" t="e">
        <f t="shared" si="42"/>
        <v>#DIV/0!</v>
      </c>
    </row>
    <row r="72" spans="1:38" ht="13.15">
      <c r="A72" s="139"/>
      <c r="B72" s="140"/>
      <c r="C72" s="159"/>
      <c r="D72" s="163"/>
      <c r="E72" s="163"/>
      <c r="F72" s="185"/>
      <c r="G72" s="162"/>
      <c r="H72" s="219"/>
      <c r="I72" s="218"/>
      <c r="J72" s="217"/>
      <c r="K72" s="163"/>
      <c r="L72" s="180"/>
      <c r="M72" s="141"/>
      <c r="N72" s="142"/>
      <c r="O72" s="142"/>
      <c r="P72" s="143"/>
      <c r="Q72" s="246"/>
      <c r="R72" s="246"/>
      <c r="S72" s="246"/>
      <c r="T72" s="142"/>
      <c r="U72" s="181"/>
      <c r="V72" s="181"/>
      <c r="W72" s="181"/>
      <c r="X72" s="182"/>
      <c r="Y72" s="183"/>
      <c r="Z72" s="184"/>
      <c r="AA72" s="169"/>
      <c r="AB72" s="170">
        <f t="shared" si="62"/>
        <v>0</v>
      </c>
      <c r="AC72" s="171">
        <f t="shared" si="62"/>
        <v>0</v>
      </c>
      <c r="AD72" s="172">
        <f t="shared" si="63"/>
        <v>0</v>
      </c>
      <c r="AE72" s="170">
        <f t="shared" si="63"/>
        <v>0</v>
      </c>
      <c r="AF72" s="171"/>
      <c r="AG72" s="171" t="e">
        <f t="shared" si="39"/>
        <v>#DIV/0!</v>
      </c>
      <c r="AH72" s="156" t="e">
        <f>VLOOKUP(AG72,TABLES!$A$2:$D$101,2)</f>
        <v>#DIV/0!</v>
      </c>
      <c r="AI72" s="173" t="e">
        <f t="shared" si="40"/>
        <v>#DIV/0!</v>
      </c>
      <c r="AJ72" s="156" t="e">
        <f>VLOOKUP(AG72,TABLES!$A$2:$D$101,3)</f>
        <v>#DIV/0!</v>
      </c>
      <c r="AK72" s="171" t="e">
        <f t="shared" si="41"/>
        <v>#DIV/0!</v>
      </c>
      <c r="AL72" s="171" t="e">
        <f t="shared" si="42"/>
        <v>#DIV/0!</v>
      </c>
    </row>
    <row r="73" spans="1:38" ht="13.15">
      <c r="A73" s="139"/>
      <c r="B73" s="140"/>
      <c r="C73" s="159"/>
      <c r="D73" s="160"/>
      <c r="E73" s="160"/>
      <c r="F73" s="161"/>
      <c r="G73" s="162"/>
      <c r="H73" s="215"/>
      <c r="I73" s="216"/>
      <c r="J73" s="217"/>
      <c r="K73" s="163"/>
      <c r="L73" s="164"/>
      <c r="M73" s="141"/>
      <c r="N73" s="142"/>
      <c r="O73" s="142"/>
      <c r="P73" s="143"/>
      <c r="Q73" s="246"/>
      <c r="R73" s="246"/>
      <c r="S73" s="246"/>
      <c r="T73" s="142"/>
      <c r="U73" s="165"/>
      <c r="V73" s="165"/>
      <c r="W73" s="165"/>
      <c r="X73" s="166"/>
      <c r="Y73" s="167"/>
      <c r="Z73" s="168"/>
      <c r="AA73" s="169"/>
      <c r="AB73" s="170">
        <f t="shared" si="62"/>
        <v>0</v>
      </c>
      <c r="AC73" s="171">
        <f t="shared" si="62"/>
        <v>0</v>
      </c>
      <c r="AD73" s="172">
        <f t="shared" si="63"/>
        <v>0</v>
      </c>
      <c r="AE73" s="170">
        <f t="shared" si="63"/>
        <v>0</v>
      </c>
      <c r="AF73" s="171"/>
      <c r="AG73" s="171" t="e">
        <f t="shared" si="39"/>
        <v>#DIV/0!</v>
      </c>
      <c r="AH73" s="156" t="e">
        <f>VLOOKUP(AG73,TABLES!$A$2:$D$101,2)</f>
        <v>#DIV/0!</v>
      </c>
      <c r="AI73" s="173" t="e">
        <f t="shared" si="40"/>
        <v>#DIV/0!</v>
      </c>
      <c r="AJ73" s="156" t="e">
        <f>VLOOKUP(AG73,TABLES!$A$2:$D$101,3)</f>
        <v>#DIV/0!</v>
      </c>
      <c r="AK73" s="171" t="e">
        <f t="shared" si="41"/>
        <v>#DIV/0!</v>
      </c>
      <c r="AL73" s="171" t="e">
        <f t="shared" si="42"/>
        <v>#DIV/0!</v>
      </c>
    </row>
    <row r="74" spans="1:38" ht="13.15">
      <c r="A74" s="139"/>
      <c r="B74" s="140"/>
      <c r="C74" s="159"/>
      <c r="D74" s="163"/>
      <c r="E74" s="163"/>
      <c r="F74" s="185"/>
      <c r="G74" s="162"/>
      <c r="H74" s="219"/>
      <c r="I74" s="218"/>
      <c r="J74" s="217"/>
      <c r="K74" s="163"/>
      <c r="L74" s="180"/>
      <c r="M74" s="141"/>
      <c r="N74" s="142"/>
      <c r="O74" s="142"/>
      <c r="P74" s="143"/>
      <c r="Q74" s="246"/>
      <c r="R74" s="246"/>
      <c r="S74" s="246"/>
      <c r="T74" s="142"/>
      <c r="U74" s="181"/>
      <c r="V74" s="181"/>
      <c r="W74" s="181"/>
      <c r="X74" s="182"/>
      <c r="Y74" s="183"/>
      <c r="Z74" s="184"/>
      <c r="AA74" s="169"/>
      <c r="AB74" s="170">
        <f t="shared" si="62"/>
        <v>0</v>
      </c>
      <c r="AC74" s="171">
        <f t="shared" si="62"/>
        <v>0</v>
      </c>
      <c r="AD74" s="172">
        <f t="shared" si="63"/>
        <v>0</v>
      </c>
      <c r="AE74" s="170">
        <f t="shared" si="63"/>
        <v>0</v>
      </c>
      <c r="AF74" s="171"/>
      <c r="AG74" s="171" t="e">
        <f t="shared" si="39"/>
        <v>#DIV/0!</v>
      </c>
      <c r="AH74" s="156" t="e">
        <f>VLOOKUP(AG74,TABLES!$A$2:$D$101,2)</f>
        <v>#DIV/0!</v>
      </c>
      <c r="AI74" s="173" t="e">
        <f t="shared" si="40"/>
        <v>#DIV/0!</v>
      </c>
      <c r="AJ74" s="156" t="e">
        <f>VLOOKUP(AG74,TABLES!$A$2:$D$101,3)</f>
        <v>#DIV/0!</v>
      </c>
      <c r="AK74" s="171" t="e">
        <f t="shared" si="41"/>
        <v>#DIV/0!</v>
      </c>
      <c r="AL74" s="171" t="e">
        <f t="shared" si="42"/>
        <v>#DIV/0!</v>
      </c>
    </row>
    <row r="75" spans="1:38" ht="13.15">
      <c r="A75" s="139"/>
      <c r="B75" s="140"/>
      <c r="C75" s="159"/>
      <c r="D75" s="160"/>
      <c r="E75" s="160"/>
      <c r="F75" s="161"/>
      <c r="G75" s="162"/>
      <c r="H75" s="215"/>
      <c r="I75" s="216"/>
      <c r="J75" s="217"/>
      <c r="K75" s="163"/>
      <c r="L75" s="164"/>
      <c r="M75" s="141"/>
      <c r="N75" s="142"/>
      <c r="O75" s="142"/>
      <c r="P75" s="143"/>
      <c r="Q75" s="246"/>
      <c r="R75" s="246"/>
      <c r="S75" s="246"/>
      <c r="T75" s="142"/>
      <c r="U75" s="165"/>
      <c r="V75" s="165"/>
      <c r="W75" s="165"/>
      <c r="X75" s="166"/>
      <c r="Y75" s="167"/>
      <c r="Z75" s="168"/>
      <c r="AA75" s="169"/>
      <c r="AB75" s="170">
        <f t="shared" si="62"/>
        <v>0</v>
      </c>
      <c r="AC75" s="171">
        <f t="shared" si="62"/>
        <v>0</v>
      </c>
      <c r="AD75" s="172">
        <f t="shared" si="63"/>
        <v>0</v>
      </c>
      <c r="AE75" s="170">
        <f t="shared" si="63"/>
        <v>0</v>
      </c>
      <c r="AF75" s="171"/>
      <c r="AG75" s="171" t="e">
        <f t="shared" si="39"/>
        <v>#DIV/0!</v>
      </c>
      <c r="AH75" s="156" t="e">
        <f>VLOOKUP(AG75,TABLES!$A$2:$D$101,2)</f>
        <v>#DIV/0!</v>
      </c>
      <c r="AI75" s="173" t="e">
        <f t="shared" si="40"/>
        <v>#DIV/0!</v>
      </c>
      <c r="AJ75" s="156" t="e">
        <f>VLOOKUP(AG75,TABLES!$A$2:$D$101,3)</f>
        <v>#DIV/0!</v>
      </c>
      <c r="AK75" s="171" t="e">
        <f t="shared" si="41"/>
        <v>#DIV/0!</v>
      </c>
      <c r="AL75" s="171" t="e">
        <f t="shared" si="42"/>
        <v>#DIV/0!</v>
      </c>
    </row>
    <row r="76" spans="1:38" ht="13.15">
      <c r="A76" s="139"/>
      <c r="B76" s="140"/>
      <c r="C76" s="159"/>
      <c r="D76" s="163"/>
      <c r="E76" s="163"/>
      <c r="F76" s="185"/>
      <c r="G76" s="162"/>
      <c r="H76" s="219"/>
      <c r="I76" s="218"/>
      <c r="J76" s="217"/>
      <c r="K76" s="163"/>
      <c r="L76" s="180"/>
      <c r="M76" s="141"/>
      <c r="N76" s="142"/>
      <c r="O76" s="142"/>
      <c r="P76" s="143"/>
      <c r="Q76" s="246"/>
      <c r="R76" s="246"/>
      <c r="S76" s="246"/>
      <c r="T76" s="142"/>
      <c r="U76" s="181"/>
      <c r="V76" s="181"/>
      <c r="W76" s="181"/>
      <c r="X76" s="182"/>
      <c r="Y76" s="183"/>
      <c r="Z76" s="184"/>
      <c r="AA76" s="169"/>
      <c r="AB76" s="170">
        <f t="shared" si="62"/>
        <v>0</v>
      </c>
      <c r="AC76" s="171">
        <f t="shared" si="62"/>
        <v>0</v>
      </c>
      <c r="AD76" s="172">
        <f t="shared" si="63"/>
        <v>0</v>
      </c>
      <c r="AE76" s="170">
        <f t="shared" si="63"/>
        <v>0</v>
      </c>
      <c r="AF76" s="171"/>
      <c r="AG76" s="171" t="e">
        <f t="shared" si="39"/>
        <v>#DIV/0!</v>
      </c>
      <c r="AH76" s="156" t="e">
        <f>VLOOKUP(AG76,TABLES!$A$2:$D$101,2)</f>
        <v>#DIV/0!</v>
      </c>
      <c r="AI76" s="173" t="e">
        <f t="shared" si="40"/>
        <v>#DIV/0!</v>
      </c>
      <c r="AJ76" s="156" t="e">
        <f>VLOOKUP(AG76,TABLES!$A$2:$D$101,3)</f>
        <v>#DIV/0!</v>
      </c>
      <c r="AK76" s="171" t="e">
        <f t="shared" si="41"/>
        <v>#DIV/0!</v>
      </c>
      <c r="AL76" s="171" t="e">
        <f t="shared" si="42"/>
        <v>#DIV/0!</v>
      </c>
    </row>
    <row r="77" spans="1:38" ht="13.15">
      <c r="A77" s="139"/>
      <c r="B77" s="140"/>
      <c r="C77" s="159"/>
      <c r="D77" s="160"/>
      <c r="E77" s="160"/>
      <c r="F77" s="161"/>
      <c r="G77" s="162"/>
      <c r="H77" s="215"/>
      <c r="I77" s="216"/>
      <c r="J77" s="217"/>
      <c r="K77" s="163"/>
      <c r="L77" s="164"/>
      <c r="M77" s="141"/>
      <c r="N77" s="142"/>
      <c r="O77" s="142"/>
      <c r="P77" s="143"/>
      <c r="Q77" s="246"/>
      <c r="R77" s="246"/>
      <c r="S77" s="246"/>
      <c r="T77" s="142"/>
      <c r="U77" s="165"/>
      <c r="V77" s="165"/>
      <c r="W77" s="165"/>
      <c r="X77" s="166"/>
      <c r="Y77" s="167"/>
      <c r="Z77" s="168"/>
      <c r="AA77" s="169"/>
      <c r="AB77" s="170">
        <f t="shared" si="62"/>
        <v>0</v>
      </c>
      <c r="AC77" s="171">
        <f t="shared" si="62"/>
        <v>0</v>
      </c>
      <c r="AD77" s="172">
        <f t="shared" si="63"/>
        <v>0</v>
      </c>
      <c r="AE77" s="170">
        <f t="shared" si="63"/>
        <v>0</v>
      </c>
      <c r="AF77" s="171"/>
      <c r="AG77" s="171" t="e">
        <f t="shared" si="39"/>
        <v>#DIV/0!</v>
      </c>
      <c r="AH77" s="156" t="e">
        <f>VLOOKUP(AG77,TABLES!$A$2:$D$101,2)</f>
        <v>#DIV/0!</v>
      </c>
      <c r="AI77" s="173" t="e">
        <f t="shared" si="40"/>
        <v>#DIV/0!</v>
      </c>
      <c r="AJ77" s="156" t="e">
        <f>VLOOKUP(AG77,TABLES!$A$2:$D$101,3)</f>
        <v>#DIV/0!</v>
      </c>
      <c r="AK77" s="171" t="e">
        <f t="shared" si="41"/>
        <v>#DIV/0!</v>
      </c>
      <c r="AL77" s="171" t="e">
        <f t="shared" si="42"/>
        <v>#DIV/0!</v>
      </c>
    </row>
    <row r="78" spans="1:38" ht="13.15">
      <c r="A78" s="139"/>
      <c r="B78" s="140"/>
      <c r="C78" s="159"/>
      <c r="D78" s="163"/>
      <c r="E78" s="163"/>
      <c r="F78" s="185"/>
      <c r="G78" s="162"/>
      <c r="H78" s="219"/>
      <c r="I78" s="218"/>
      <c r="J78" s="217"/>
      <c r="K78" s="163"/>
      <c r="L78" s="180"/>
      <c r="M78" s="141"/>
      <c r="N78" s="142"/>
      <c r="O78" s="142"/>
      <c r="P78" s="143"/>
      <c r="Q78" s="246"/>
      <c r="R78" s="246"/>
      <c r="S78" s="246"/>
      <c r="T78" s="142"/>
      <c r="U78" s="181"/>
      <c r="V78" s="181"/>
      <c r="W78" s="181"/>
      <c r="X78" s="182"/>
      <c r="Y78" s="183"/>
      <c r="Z78" s="184"/>
      <c r="AA78" s="169"/>
      <c r="AB78" s="170">
        <f t="shared" si="62"/>
        <v>0</v>
      </c>
      <c r="AC78" s="171">
        <f t="shared" si="62"/>
        <v>0</v>
      </c>
      <c r="AD78" s="172">
        <f t="shared" si="63"/>
        <v>0</v>
      </c>
      <c r="AE78" s="170">
        <f t="shared" si="63"/>
        <v>0</v>
      </c>
      <c r="AF78" s="171"/>
      <c r="AG78" s="171" t="e">
        <f t="shared" si="39"/>
        <v>#DIV/0!</v>
      </c>
      <c r="AH78" s="156" t="e">
        <f>VLOOKUP(AG78,TABLES!$A$2:$D$101,2)</f>
        <v>#DIV/0!</v>
      </c>
      <c r="AI78" s="173" t="e">
        <f t="shared" si="40"/>
        <v>#DIV/0!</v>
      </c>
      <c r="AJ78" s="156" t="e">
        <f>VLOOKUP(AG78,TABLES!$A$2:$D$101,3)</f>
        <v>#DIV/0!</v>
      </c>
      <c r="AK78" s="171" t="e">
        <f t="shared" si="41"/>
        <v>#DIV/0!</v>
      </c>
      <c r="AL78" s="171" t="e">
        <f t="shared" si="42"/>
        <v>#DIV/0!</v>
      </c>
    </row>
    <row r="79" spans="1:38" ht="13.15">
      <c r="A79" s="139"/>
      <c r="B79" s="140"/>
      <c r="C79" s="159"/>
      <c r="D79" s="160"/>
      <c r="E79" s="160"/>
      <c r="F79" s="161"/>
      <c r="G79" s="162"/>
      <c r="H79" s="215"/>
      <c r="I79" s="216"/>
      <c r="J79" s="217"/>
      <c r="K79" s="163"/>
      <c r="L79" s="164"/>
      <c r="M79" s="141"/>
      <c r="N79" s="142"/>
      <c r="O79" s="142"/>
      <c r="P79" s="143"/>
      <c r="Q79" s="246"/>
      <c r="R79" s="246"/>
      <c r="S79" s="246"/>
      <c r="T79" s="142"/>
      <c r="U79" s="165"/>
      <c r="V79" s="165"/>
      <c r="W79" s="165"/>
      <c r="X79" s="166"/>
      <c r="Y79" s="167"/>
      <c r="Z79" s="168"/>
      <c r="AA79" s="169"/>
      <c r="AB79" s="170">
        <f t="shared" si="62"/>
        <v>0</v>
      </c>
      <c r="AC79" s="171">
        <f t="shared" si="62"/>
        <v>0</v>
      </c>
      <c r="AD79" s="172">
        <f t="shared" si="63"/>
        <v>0</v>
      </c>
      <c r="AE79" s="170">
        <f t="shared" si="63"/>
        <v>0</v>
      </c>
      <c r="AF79" s="171"/>
      <c r="AG79" s="171" t="e">
        <f t="shared" si="39"/>
        <v>#DIV/0!</v>
      </c>
      <c r="AH79" s="156" t="e">
        <f>VLOOKUP(AG79,TABLES!$A$2:$D$101,2)</f>
        <v>#DIV/0!</v>
      </c>
      <c r="AI79" s="173" t="e">
        <f t="shared" si="40"/>
        <v>#DIV/0!</v>
      </c>
      <c r="AJ79" s="156" t="e">
        <f>VLOOKUP(AG79,TABLES!$A$2:$D$101,3)</f>
        <v>#DIV/0!</v>
      </c>
      <c r="AK79" s="171" t="e">
        <f t="shared" si="41"/>
        <v>#DIV/0!</v>
      </c>
      <c r="AL79" s="171" t="e">
        <f t="shared" si="42"/>
        <v>#DIV/0!</v>
      </c>
    </row>
    <row r="80" spans="1:38" ht="13.15">
      <c r="A80" s="139"/>
      <c r="B80" s="140"/>
      <c r="C80" s="159"/>
      <c r="D80" s="163"/>
      <c r="E80" s="163"/>
      <c r="F80" s="185"/>
      <c r="G80" s="162"/>
      <c r="H80" s="219"/>
      <c r="I80" s="218"/>
      <c r="J80" s="217"/>
      <c r="K80" s="163"/>
      <c r="L80" s="180"/>
      <c r="M80" s="141"/>
      <c r="N80" s="142"/>
      <c r="O80" s="142"/>
      <c r="P80" s="143"/>
      <c r="Q80" s="246"/>
      <c r="R80" s="246"/>
      <c r="S80" s="246"/>
      <c r="T80" s="142"/>
      <c r="U80" s="181"/>
      <c r="V80" s="181"/>
      <c r="W80" s="181"/>
      <c r="X80" s="182"/>
      <c r="Y80" s="183"/>
      <c r="Z80" s="184"/>
      <c r="AA80" s="169"/>
      <c r="AB80" s="170">
        <f t="shared" si="62"/>
        <v>0</v>
      </c>
      <c r="AC80" s="171">
        <f t="shared" si="62"/>
        <v>0</v>
      </c>
      <c r="AD80" s="172">
        <f t="shared" si="63"/>
        <v>0</v>
      </c>
      <c r="AE80" s="170">
        <f t="shared" si="63"/>
        <v>0</v>
      </c>
      <c r="AF80" s="171"/>
      <c r="AG80" s="171" t="e">
        <f t="shared" si="39"/>
        <v>#DIV/0!</v>
      </c>
      <c r="AH80" s="156" t="e">
        <f>VLOOKUP(AG80,TABLES!$A$2:$D$101,2)</f>
        <v>#DIV/0!</v>
      </c>
      <c r="AI80" s="173" t="e">
        <f t="shared" si="40"/>
        <v>#DIV/0!</v>
      </c>
      <c r="AJ80" s="156" t="e">
        <f>VLOOKUP(AG80,TABLES!$A$2:$D$101,3)</f>
        <v>#DIV/0!</v>
      </c>
      <c r="AK80" s="171" t="e">
        <f t="shared" si="41"/>
        <v>#DIV/0!</v>
      </c>
      <c r="AL80" s="171" t="e">
        <f t="shared" si="42"/>
        <v>#DIV/0!</v>
      </c>
    </row>
    <row r="81" spans="1:38" ht="13.15">
      <c r="A81" s="139"/>
      <c r="B81" s="140"/>
      <c r="C81" s="159"/>
      <c r="D81" s="160"/>
      <c r="E81" s="160"/>
      <c r="F81" s="161"/>
      <c r="G81" s="162"/>
      <c r="H81" s="215"/>
      <c r="I81" s="216"/>
      <c r="J81" s="217"/>
      <c r="K81" s="163"/>
      <c r="L81" s="164"/>
      <c r="M81" s="141"/>
      <c r="N81" s="142"/>
      <c r="O81" s="142"/>
      <c r="P81" s="143"/>
      <c r="Q81" s="246"/>
      <c r="R81" s="246"/>
      <c r="S81" s="246"/>
      <c r="T81" s="142"/>
      <c r="U81" s="165"/>
      <c r="V81" s="165"/>
      <c r="W81" s="165"/>
      <c r="X81" s="166"/>
      <c r="Y81" s="167"/>
      <c r="Z81" s="168"/>
      <c r="AA81" s="169"/>
      <c r="AB81" s="170">
        <f t="shared" si="62"/>
        <v>0</v>
      </c>
      <c r="AC81" s="171">
        <f t="shared" si="62"/>
        <v>0</v>
      </c>
      <c r="AD81" s="172">
        <f t="shared" si="63"/>
        <v>0</v>
      </c>
      <c r="AE81" s="170">
        <f t="shared" si="63"/>
        <v>0</v>
      </c>
      <c r="AF81" s="171"/>
      <c r="AG81" s="171" t="e">
        <f t="shared" si="39"/>
        <v>#DIV/0!</v>
      </c>
      <c r="AH81" s="156" t="e">
        <f>VLOOKUP(AG81,TABLES!$A$2:$D$101,2)</f>
        <v>#DIV/0!</v>
      </c>
      <c r="AI81" s="173" t="e">
        <f t="shared" si="40"/>
        <v>#DIV/0!</v>
      </c>
      <c r="AJ81" s="156" t="e">
        <f>VLOOKUP(AG81,TABLES!$A$2:$D$101,3)</f>
        <v>#DIV/0!</v>
      </c>
      <c r="AK81" s="171" t="e">
        <f t="shared" si="41"/>
        <v>#DIV/0!</v>
      </c>
      <c r="AL81" s="171" t="e">
        <f t="shared" si="42"/>
        <v>#DIV/0!</v>
      </c>
    </row>
    <row r="82" spans="1:38" ht="13.15">
      <c r="A82" s="139"/>
      <c r="B82" s="140"/>
      <c r="C82" s="159"/>
      <c r="D82" s="163"/>
      <c r="E82" s="163"/>
      <c r="F82" s="185"/>
      <c r="G82" s="162"/>
      <c r="H82" s="219"/>
      <c r="I82" s="218"/>
      <c r="J82" s="217"/>
      <c r="K82" s="163"/>
      <c r="L82" s="180"/>
      <c r="M82" s="141"/>
      <c r="N82" s="142"/>
      <c r="O82" s="142"/>
      <c r="P82" s="143"/>
      <c r="Q82" s="246"/>
      <c r="R82" s="246"/>
      <c r="S82" s="246"/>
      <c r="T82" s="142"/>
      <c r="U82" s="181"/>
      <c r="V82" s="181"/>
      <c r="W82" s="181"/>
      <c r="X82" s="182"/>
      <c r="Y82" s="183"/>
      <c r="Z82" s="184"/>
      <c r="AA82" s="169"/>
      <c r="AB82" s="170">
        <f t="shared" si="62"/>
        <v>0</v>
      </c>
      <c r="AC82" s="171">
        <f t="shared" si="62"/>
        <v>0</v>
      </c>
      <c r="AD82" s="172">
        <f t="shared" si="63"/>
        <v>0</v>
      </c>
      <c r="AE82" s="170">
        <f t="shared" si="63"/>
        <v>0</v>
      </c>
      <c r="AF82" s="171"/>
      <c r="AG82" s="171" t="e">
        <f t="shared" si="39"/>
        <v>#DIV/0!</v>
      </c>
      <c r="AH82" s="156" t="e">
        <f>VLOOKUP(AG82,TABLES!$A$2:$D$101,2)</f>
        <v>#DIV/0!</v>
      </c>
      <c r="AI82" s="173" t="e">
        <f t="shared" si="40"/>
        <v>#DIV/0!</v>
      </c>
      <c r="AJ82" s="156" t="e">
        <f>VLOOKUP(AG82,TABLES!$A$2:$D$101,3)</f>
        <v>#DIV/0!</v>
      </c>
      <c r="AK82" s="171" t="e">
        <f t="shared" si="41"/>
        <v>#DIV/0!</v>
      </c>
      <c r="AL82" s="171" t="e">
        <f t="shared" si="42"/>
        <v>#DIV/0!</v>
      </c>
    </row>
    <row r="83" spans="1:38" ht="13.15">
      <c r="A83" s="139"/>
      <c r="B83" s="140"/>
      <c r="C83" s="159"/>
      <c r="D83" s="160"/>
      <c r="E83" s="160"/>
      <c r="F83" s="161"/>
      <c r="G83" s="162"/>
      <c r="H83" s="215"/>
      <c r="I83" s="216"/>
      <c r="J83" s="217"/>
      <c r="K83" s="163"/>
      <c r="L83" s="164"/>
      <c r="M83" s="141"/>
      <c r="N83" s="142"/>
      <c r="O83" s="142"/>
      <c r="P83" s="143"/>
      <c r="Q83" s="246"/>
      <c r="R83" s="246"/>
      <c r="S83" s="246"/>
      <c r="T83" s="142"/>
      <c r="U83" s="165"/>
      <c r="V83" s="165"/>
      <c r="W83" s="165"/>
      <c r="X83" s="166"/>
      <c r="Y83" s="167"/>
      <c r="Z83" s="168"/>
      <c r="AA83" s="169"/>
      <c r="AB83" s="170">
        <f t="shared" si="62"/>
        <v>0</v>
      </c>
      <c r="AC83" s="171">
        <f t="shared" si="62"/>
        <v>0</v>
      </c>
      <c r="AD83" s="172">
        <f t="shared" si="63"/>
        <v>0</v>
      </c>
      <c r="AE83" s="170">
        <f t="shared" si="63"/>
        <v>0</v>
      </c>
      <c r="AF83" s="171"/>
      <c r="AG83" s="171" t="e">
        <f t="shared" si="39"/>
        <v>#DIV/0!</v>
      </c>
      <c r="AH83" s="156" t="e">
        <f>VLOOKUP(AG83,TABLES!$A$2:$D$101,2)</f>
        <v>#DIV/0!</v>
      </c>
      <c r="AI83" s="173" t="e">
        <f t="shared" si="40"/>
        <v>#DIV/0!</v>
      </c>
      <c r="AJ83" s="156" t="e">
        <f>VLOOKUP(AG83,TABLES!$A$2:$D$101,3)</f>
        <v>#DIV/0!</v>
      </c>
      <c r="AK83" s="171" t="e">
        <f t="shared" si="41"/>
        <v>#DIV/0!</v>
      </c>
      <c r="AL83" s="171" t="e">
        <f t="shared" si="42"/>
        <v>#DIV/0!</v>
      </c>
    </row>
    <row r="84" spans="1:38" ht="13.15">
      <c r="A84" s="139"/>
      <c r="B84" s="140"/>
      <c r="C84" s="159"/>
      <c r="D84" s="163"/>
      <c r="E84" s="163"/>
      <c r="F84" s="185"/>
      <c r="G84" s="162"/>
      <c r="H84" s="219"/>
      <c r="I84" s="218"/>
      <c r="J84" s="217"/>
      <c r="K84" s="163"/>
      <c r="L84" s="180"/>
      <c r="M84" s="141"/>
      <c r="N84" s="142"/>
      <c r="O84" s="142"/>
      <c r="P84" s="143"/>
      <c r="Q84" s="246"/>
      <c r="R84" s="246"/>
      <c r="S84" s="246"/>
      <c r="T84" s="142"/>
      <c r="U84" s="181"/>
      <c r="V84" s="181"/>
      <c r="W84" s="181"/>
      <c r="X84" s="182"/>
      <c r="Y84" s="183"/>
      <c r="Z84" s="184"/>
      <c r="AA84" s="169"/>
      <c r="AB84" s="170">
        <f t="shared" si="62"/>
        <v>0</v>
      </c>
      <c r="AC84" s="171">
        <f t="shared" si="62"/>
        <v>0</v>
      </c>
      <c r="AD84" s="172">
        <f t="shared" si="63"/>
        <v>0</v>
      </c>
      <c r="AE84" s="170">
        <f t="shared" si="63"/>
        <v>0</v>
      </c>
      <c r="AF84" s="171"/>
      <c r="AG84" s="171" t="e">
        <f t="shared" si="39"/>
        <v>#DIV/0!</v>
      </c>
      <c r="AH84" s="156" t="e">
        <f>VLOOKUP(AG84,TABLES!$A$2:$D$101,2)</f>
        <v>#DIV/0!</v>
      </c>
      <c r="AI84" s="173" t="e">
        <f t="shared" si="40"/>
        <v>#DIV/0!</v>
      </c>
      <c r="AJ84" s="156" t="e">
        <f>VLOOKUP(AG84,TABLES!$A$2:$D$101,3)</f>
        <v>#DIV/0!</v>
      </c>
      <c r="AK84" s="171" t="e">
        <f t="shared" si="41"/>
        <v>#DIV/0!</v>
      </c>
      <c r="AL84" s="171" t="e">
        <f t="shared" si="42"/>
        <v>#DIV/0!</v>
      </c>
    </row>
    <row r="85" spans="1:38" ht="13.15">
      <c r="A85" s="139"/>
      <c r="B85" s="140"/>
      <c r="C85" s="159"/>
      <c r="D85" s="160"/>
      <c r="E85" s="160"/>
      <c r="F85" s="161"/>
      <c r="G85" s="162"/>
      <c r="H85" s="215"/>
      <c r="I85" s="216"/>
      <c r="J85" s="217"/>
      <c r="K85" s="163"/>
      <c r="L85" s="164"/>
      <c r="M85" s="141"/>
      <c r="N85" s="142"/>
      <c r="O85" s="142"/>
      <c r="P85" s="143"/>
      <c r="Q85" s="246"/>
      <c r="R85" s="246"/>
      <c r="S85" s="246"/>
      <c r="T85" s="142"/>
      <c r="U85" s="165"/>
      <c r="V85" s="165"/>
      <c r="W85" s="165"/>
      <c r="X85" s="166"/>
      <c r="Y85" s="167"/>
      <c r="Z85" s="168"/>
      <c r="AA85" s="169"/>
      <c r="AB85" s="170">
        <f t="shared" si="62"/>
        <v>0</v>
      </c>
      <c r="AC85" s="171">
        <f t="shared" si="62"/>
        <v>0</v>
      </c>
      <c r="AD85" s="172">
        <f t="shared" si="63"/>
        <v>0</v>
      </c>
      <c r="AE85" s="170">
        <f t="shared" si="63"/>
        <v>0</v>
      </c>
      <c r="AF85" s="171"/>
      <c r="AG85" s="171" t="e">
        <f t="shared" si="39"/>
        <v>#DIV/0!</v>
      </c>
      <c r="AH85" s="156" t="e">
        <f>VLOOKUP(AG85,TABLES!$A$2:$D$101,2)</f>
        <v>#DIV/0!</v>
      </c>
      <c r="AI85" s="173" t="e">
        <f t="shared" si="40"/>
        <v>#DIV/0!</v>
      </c>
      <c r="AJ85" s="156" t="e">
        <f>VLOOKUP(AG85,TABLES!$A$2:$D$101,3)</f>
        <v>#DIV/0!</v>
      </c>
      <c r="AK85" s="171" t="e">
        <f t="shared" si="41"/>
        <v>#DIV/0!</v>
      </c>
      <c r="AL85" s="171" t="e">
        <f t="shared" si="42"/>
        <v>#DIV/0!</v>
      </c>
    </row>
    <row r="86" spans="1:38" ht="13.15">
      <c r="A86" s="139"/>
      <c r="B86" s="140"/>
      <c r="C86" s="159"/>
      <c r="D86" s="163"/>
      <c r="E86" s="163"/>
      <c r="F86" s="185"/>
      <c r="G86" s="162"/>
      <c r="H86" s="219"/>
      <c r="I86" s="218"/>
      <c r="J86" s="217"/>
      <c r="K86" s="163"/>
      <c r="L86" s="180"/>
      <c r="M86" s="141"/>
      <c r="N86" s="142"/>
      <c r="O86" s="142"/>
      <c r="P86" s="143"/>
      <c r="Q86" s="246"/>
      <c r="R86" s="246"/>
      <c r="S86" s="246"/>
      <c r="T86" s="142"/>
      <c r="U86" s="181"/>
      <c r="V86" s="181"/>
      <c r="W86" s="181"/>
      <c r="X86" s="182"/>
      <c r="Y86" s="183"/>
      <c r="Z86" s="184"/>
      <c r="AA86" s="169"/>
      <c r="AB86" s="170">
        <f t="shared" si="62"/>
        <v>0</v>
      </c>
      <c r="AC86" s="171">
        <f t="shared" si="62"/>
        <v>0</v>
      </c>
      <c r="AD86" s="172">
        <f t="shared" si="63"/>
        <v>0</v>
      </c>
      <c r="AE86" s="170">
        <f t="shared" si="63"/>
        <v>0</v>
      </c>
      <c r="AF86" s="171"/>
      <c r="AG86" s="171" t="e">
        <f t="shared" si="39"/>
        <v>#DIV/0!</v>
      </c>
      <c r="AH86" s="156" t="e">
        <f>VLOOKUP(AG86,TABLES!$A$2:$D$101,2)</f>
        <v>#DIV/0!</v>
      </c>
      <c r="AI86" s="173" t="e">
        <f t="shared" si="40"/>
        <v>#DIV/0!</v>
      </c>
      <c r="AJ86" s="156" t="e">
        <f>VLOOKUP(AG86,TABLES!$A$2:$D$101,3)</f>
        <v>#DIV/0!</v>
      </c>
      <c r="AK86" s="171" t="e">
        <f t="shared" si="41"/>
        <v>#DIV/0!</v>
      </c>
      <c r="AL86" s="171" t="e">
        <f t="shared" si="42"/>
        <v>#DIV/0!</v>
      </c>
    </row>
    <row r="87" spans="1:38" ht="13.15">
      <c r="A87" s="139"/>
      <c r="B87" s="140"/>
      <c r="C87" s="159"/>
      <c r="D87" s="160"/>
      <c r="E87" s="160"/>
      <c r="F87" s="161"/>
      <c r="G87" s="162"/>
      <c r="H87" s="215"/>
      <c r="I87" s="216"/>
      <c r="J87" s="217"/>
      <c r="K87" s="163"/>
      <c r="L87" s="164"/>
      <c r="M87" s="141"/>
      <c r="N87" s="142"/>
      <c r="O87" s="142"/>
      <c r="P87" s="143"/>
      <c r="Q87" s="246"/>
      <c r="R87" s="246"/>
      <c r="S87" s="246"/>
      <c r="T87" s="142"/>
      <c r="U87" s="165"/>
      <c r="V87" s="165"/>
      <c r="W87" s="165"/>
      <c r="X87" s="166"/>
      <c r="Y87" s="167"/>
      <c r="Z87" s="168"/>
      <c r="AA87" s="169"/>
      <c r="AB87" s="170">
        <f t="shared" si="62"/>
        <v>0</v>
      </c>
      <c r="AC87" s="171">
        <f t="shared" si="62"/>
        <v>0</v>
      </c>
      <c r="AD87" s="172">
        <f t="shared" si="63"/>
        <v>0</v>
      </c>
      <c r="AE87" s="170">
        <f t="shared" si="63"/>
        <v>0</v>
      </c>
      <c r="AF87" s="171"/>
      <c r="AG87" s="171" t="e">
        <f t="shared" si="39"/>
        <v>#DIV/0!</v>
      </c>
      <c r="AH87" s="156" t="e">
        <f>VLOOKUP(AG87,TABLES!$A$2:$D$101,2)</f>
        <v>#DIV/0!</v>
      </c>
      <c r="AI87" s="173" t="e">
        <f t="shared" si="40"/>
        <v>#DIV/0!</v>
      </c>
      <c r="AJ87" s="156" t="e">
        <f>VLOOKUP(AG87,TABLES!$A$2:$D$101,3)</f>
        <v>#DIV/0!</v>
      </c>
      <c r="AK87" s="171" t="e">
        <f t="shared" si="41"/>
        <v>#DIV/0!</v>
      </c>
      <c r="AL87" s="171" t="e">
        <f t="shared" si="42"/>
        <v>#DIV/0!</v>
      </c>
    </row>
    <row r="88" spans="1:38" ht="13.15">
      <c r="A88" s="139"/>
      <c r="B88" s="140"/>
      <c r="C88" s="159"/>
      <c r="D88" s="163"/>
      <c r="E88" s="163"/>
      <c r="F88" s="185"/>
      <c r="G88" s="162"/>
      <c r="H88" s="219"/>
      <c r="I88" s="218"/>
      <c r="J88" s="217"/>
      <c r="K88" s="163"/>
      <c r="L88" s="180"/>
      <c r="M88" s="141"/>
      <c r="N88" s="142"/>
      <c r="O88" s="142"/>
      <c r="P88" s="143"/>
      <c r="Q88" s="246"/>
      <c r="R88" s="246"/>
      <c r="S88" s="246"/>
      <c r="T88" s="142"/>
      <c r="U88" s="181"/>
      <c r="V88" s="181"/>
      <c r="W88" s="181"/>
      <c r="X88" s="182"/>
      <c r="Y88" s="183"/>
      <c r="Z88" s="184"/>
      <c r="AA88" s="169"/>
      <c r="AB88" s="170">
        <f t="shared" si="62"/>
        <v>0</v>
      </c>
      <c r="AC88" s="171">
        <f t="shared" si="62"/>
        <v>0</v>
      </c>
      <c r="AD88" s="172">
        <f t="shared" si="63"/>
        <v>0</v>
      </c>
      <c r="AE88" s="170">
        <f t="shared" si="63"/>
        <v>0</v>
      </c>
      <c r="AF88" s="171"/>
      <c r="AG88" s="171" t="e">
        <f t="shared" si="39"/>
        <v>#DIV/0!</v>
      </c>
      <c r="AH88" s="156" t="e">
        <f>VLOOKUP(AG88,TABLES!$A$2:$D$101,2)</f>
        <v>#DIV/0!</v>
      </c>
      <c r="AI88" s="173" t="e">
        <f t="shared" si="40"/>
        <v>#DIV/0!</v>
      </c>
      <c r="AJ88" s="156" t="e">
        <f>VLOOKUP(AG88,TABLES!$A$2:$D$101,3)</f>
        <v>#DIV/0!</v>
      </c>
      <c r="AK88" s="171" t="e">
        <f t="shared" si="41"/>
        <v>#DIV/0!</v>
      </c>
      <c r="AL88" s="171" t="e">
        <f t="shared" si="42"/>
        <v>#DIV/0!</v>
      </c>
    </row>
    <row r="89" spans="1:38" ht="13.15">
      <c r="A89" s="139"/>
      <c r="B89" s="140"/>
      <c r="C89" s="159"/>
      <c r="D89" s="160"/>
      <c r="E89" s="160"/>
      <c r="F89" s="161"/>
      <c r="G89" s="162"/>
      <c r="H89" s="215"/>
      <c r="I89" s="216"/>
      <c r="J89" s="217"/>
      <c r="K89" s="163"/>
      <c r="L89" s="164"/>
      <c r="M89" s="141"/>
      <c r="N89" s="142"/>
      <c r="O89" s="142"/>
      <c r="P89" s="143"/>
      <c r="Q89" s="246"/>
      <c r="R89" s="246"/>
      <c r="S89" s="246"/>
      <c r="T89" s="142"/>
      <c r="U89" s="165"/>
      <c r="V89" s="165"/>
      <c r="W89" s="165"/>
      <c r="X89" s="166"/>
      <c r="Y89" s="167"/>
      <c r="Z89" s="168"/>
      <c r="AA89" s="169"/>
      <c r="AB89" s="170">
        <f t="shared" si="62"/>
        <v>0</v>
      </c>
      <c r="AC89" s="171">
        <f t="shared" si="62"/>
        <v>0</v>
      </c>
      <c r="AD89" s="172">
        <f t="shared" si="63"/>
        <v>0</v>
      </c>
      <c r="AE89" s="170">
        <f t="shared" si="63"/>
        <v>0</v>
      </c>
      <c r="AF89" s="171"/>
      <c r="AG89" s="171" t="e">
        <f t="shared" si="39"/>
        <v>#DIV/0!</v>
      </c>
      <c r="AH89" s="156" t="e">
        <f>VLOOKUP(AG89,TABLES!$A$2:$D$101,2)</f>
        <v>#DIV/0!</v>
      </c>
      <c r="AI89" s="173" t="e">
        <f t="shared" si="40"/>
        <v>#DIV/0!</v>
      </c>
      <c r="AJ89" s="156" t="e">
        <f>VLOOKUP(AG89,TABLES!$A$2:$D$101,3)</f>
        <v>#DIV/0!</v>
      </c>
      <c r="AK89" s="171" t="e">
        <f t="shared" si="41"/>
        <v>#DIV/0!</v>
      </c>
      <c r="AL89" s="171" t="e">
        <f t="shared" si="42"/>
        <v>#DIV/0!</v>
      </c>
    </row>
    <row r="90" spans="1:38" ht="13.15">
      <c r="A90" s="139"/>
      <c r="B90" s="140"/>
      <c r="C90" s="159"/>
      <c r="D90" s="163"/>
      <c r="E90" s="163"/>
      <c r="F90" s="185"/>
      <c r="G90" s="162"/>
      <c r="H90" s="219"/>
      <c r="I90" s="218"/>
      <c r="J90" s="217"/>
      <c r="K90" s="163"/>
      <c r="L90" s="180"/>
      <c r="M90" s="141"/>
      <c r="N90" s="142"/>
      <c r="O90" s="142"/>
      <c r="P90" s="143"/>
      <c r="Q90" s="246"/>
      <c r="R90" s="246"/>
      <c r="S90" s="246"/>
      <c r="T90" s="142"/>
      <c r="U90" s="181"/>
      <c r="V90" s="181"/>
      <c r="W90" s="181"/>
      <c r="X90" s="182"/>
      <c r="Y90" s="183"/>
      <c r="Z90" s="184"/>
      <c r="AA90" s="169"/>
      <c r="AB90" s="170">
        <f t="shared" si="62"/>
        <v>0</v>
      </c>
      <c r="AC90" s="171">
        <f t="shared" si="62"/>
        <v>0</v>
      </c>
      <c r="AD90" s="172">
        <f t="shared" si="63"/>
        <v>0</v>
      </c>
      <c r="AE90" s="170">
        <f t="shared" si="63"/>
        <v>0</v>
      </c>
      <c r="AF90" s="171"/>
      <c r="AG90" s="171" t="e">
        <f t="shared" si="39"/>
        <v>#DIV/0!</v>
      </c>
      <c r="AH90" s="156" t="e">
        <f>VLOOKUP(AG90,TABLES!$A$2:$D$101,2)</f>
        <v>#DIV/0!</v>
      </c>
      <c r="AI90" s="173" t="e">
        <f t="shared" si="40"/>
        <v>#DIV/0!</v>
      </c>
      <c r="AJ90" s="156" t="e">
        <f>VLOOKUP(AG90,TABLES!$A$2:$D$101,3)</f>
        <v>#DIV/0!</v>
      </c>
      <c r="AK90" s="171" t="e">
        <f t="shared" si="41"/>
        <v>#DIV/0!</v>
      </c>
      <c r="AL90" s="171" t="e">
        <f t="shared" si="42"/>
        <v>#DIV/0!</v>
      </c>
    </row>
    <row r="91" spans="1:38" ht="13.15">
      <c r="A91" s="139"/>
      <c r="B91" s="140"/>
      <c r="C91" s="159"/>
      <c r="D91" s="160"/>
      <c r="E91" s="160"/>
      <c r="F91" s="161"/>
      <c r="G91" s="162"/>
      <c r="H91" s="215"/>
      <c r="I91" s="216"/>
      <c r="J91" s="217"/>
      <c r="K91" s="163"/>
      <c r="L91" s="164"/>
      <c r="M91" s="141"/>
      <c r="N91" s="142"/>
      <c r="O91" s="142"/>
      <c r="P91" s="143"/>
      <c r="Q91" s="246"/>
      <c r="R91" s="246"/>
      <c r="S91" s="246"/>
      <c r="T91" s="142"/>
      <c r="U91" s="165"/>
      <c r="V91" s="165"/>
      <c r="W91" s="165"/>
      <c r="X91" s="166"/>
      <c r="Y91" s="167"/>
      <c r="Z91" s="168"/>
      <c r="AA91" s="169"/>
      <c r="AB91" s="170">
        <f t="shared" si="62"/>
        <v>0</v>
      </c>
      <c r="AC91" s="171">
        <f t="shared" si="62"/>
        <v>0</v>
      </c>
      <c r="AD91" s="172">
        <f t="shared" si="63"/>
        <v>0</v>
      </c>
      <c r="AE91" s="170">
        <f t="shared" si="63"/>
        <v>0</v>
      </c>
      <c r="AF91" s="171"/>
      <c r="AG91" s="171" t="e">
        <f t="shared" si="39"/>
        <v>#DIV/0!</v>
      </c>
      <c r="AH91" s="156" t="e">
        <f>VLOOKUP(AG91,TABLES!$A$2:$D$101,2)</f>
        <v>#DIV/0!</v>
      </c>
      <c r="AI91" s="173" t="e">
        <f t="shared" si="40"/>
        <v>#DIV/0!</v>
      </c>
      <c r="AJ91" s="156" t="e">
        <f>VLOOKUP(AG91,TABLES!$A$2:$D$101,3)</f>
        <v>#DIV/0!</v>
      </c>
      <c r="AK91" s="171" t="e">
        <f t="shared" si="41"/>
        <v>#DIV/0!</v>
      </c>
      <c r="AL91" s="171" t="e">
        <f t="shared" si="42"/>
        <v>#DIV/0!</v>
      </c>
    </row>
  </sheetData>
  <mergeCells count="2">
    <mergeCell ref="J6:O7"/>
    <mergeCell ref="Y8:Z8"/>
  </mergeCells>
  <pageMargins left="1" right="1" top="0.75" bottom="0.75" header="0.5" footer="0.5"/>
  <pageSetup paperSize="17" scale="42" orientation="landscape" r:id="rId1"/>
  <headerFooter>
    <oddHeader>&amp;LStantec&amp;CEast Silver Spring Neighborhood Greenway - Existing Pipe Capacity
SHA 25 Year Intensity from NOAA Atlas 14&amp;R&amp;D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Q92"/>
  <sheetViews>
    <sheetView zoomScaleNormal="100" zoomScaleSheetLayoutView="110" workbookViewId="0">
      <pane ySplit="10" topLeftCell="A47" activePane="bottomLeft" state="frozen"/>
      <selection pane="bottomLeft" activeCell="T52" sqref="T52:T55"/>
    </sheetView>
  </sheetViews>
  <sheetFormatPr defaultColWidth="9.1328125" defaultRowHeight="12.75"/>
  <cols>
    <col min="1" max="1" width="3.265625" style="46" customWidth="1"/>
    <col min="2" max="2" width="16.59765625" style="46" customWidth="1"/>
    <col min="3" max="3" width="9" style="46" bestFit="1" customWidth="1"/>
    <col min="4" max="4" width="14" style="46" customWidth="1"/>
    <col min="5" max="6" width="10.59765625" style="46" customWidth="1"/>
    <col min="7" max="8" width="8.1328125" style="46" customWidth="1"/>
    <col min="9" max="9" width="9.265625" style="46" customWidth="1"/>
    <col min="10" max="10" width="8.1328125" style="46" customWidth="1"/>
    <col min="11" max="11" width="11.3984375" style="46" customWidth="1"/>
    <col min="12" max="16" width="8.1328125" style="46" customWidth="1"/>
    <col min="17" max="17" width="10.73046875" style="48" customWidth="1"/>
    <col min="18" max="20" width="8.1328125" style="48" customWidth="1"/>
    <col min="21" max="21" width="12.265625" style="46" customWidth="1"/>
    <col min="22" max="34" width="8.1328125" style="46" customWidth="1"/>
    <col min="35" max="35" width="13.3984375" style="46" customWidth="1"/>
    <col min="36" max="36" width="13.3984375" style="50" hidden="1" customWidth="1"/>
    <col min="37" max="41" width="0" style="46" hidden="1" customWidth="1"/>
    <col min="42" max="16384" width="9.1328125" style="46"/>
  </cols>
  <sheetData>
    <row r="1" spans="1:43" ht="13.15">
      <c r="B1" s="47"/>
      <c r="C1" s="47"/>
      <c r="D1" s="47"/>
      <c r="E1" s="47"/>
      <c r="F1" s="47"/>
      <c r="L1" s="47"/>
      <c r="M1" s="47"/>
      <c r="N1" s="47"/>
      <c r="O1" s="47" t="s">
        <v>357</v>
      </c>
      <c r="AI1" s="49"/>
    </row>
    <row r="2" spans="1:43">
      <c r="B2" s="443" t="s">
        <v>9</v>
      </c>
      <c r="C2" s="443"/>
      <c r="D2" s="444" t="s">
        <v>367</v>
      </c>
      <c r="E2" s="445"/>
      <c r="F2" s="119"/>
      <c r="G2" s="119" t="s">
        <v>23</v>
      </c>
      <c r="H2" s="446"/>
      <c r="I2" s="445"/>
      <c r="J2" s="119"/>
      <c r="K2" s="443" t="s">
        <v>18</v>
      </c>
      <c r="L2" s="443"/>
      <c r="M2" s="119"/>
      <c r="N2" s="119"/>
      <c r="O2" s="442" t="s">
        <v>168</v>
      </c>
      <c r="P2" s="442"/>
      <c r="Q2" s="442"/>
      <c r="R2" s="119"/>
      <c r="S2" s="119"/>
      <c r="T2" s="119"/>
      <c r="AI2" s="49"/>
      <c r="AK2" s="50" t="s">
        <v>44</v>
      </c>
    </row>
    <row r="3" spans="1:43" ht="15.75">
      <c r="B3" s="443" t="s">
        <v>20</v>
      </c>
      <c r="C3" s="443"/>
      <c r="D3" s="445"/>
      <c r="E3" s="445"/>
      <c r="F3" s="119"/>
      <c r="G3" s="119" t="s">
        <v>23</v>
      </c>
      <c r="H3" s="455"/>
      <c r="I3" s="456"/>
      <c r="J3" s="119"/>
      <c r="K3" s="441" t="s">
        <v>17</v>
      </c>
      <c r="L3" s="450"/>
      <c r="M3" s="120"/>
      <c r="N3" s="120"/>
      <c r="O3" s="447" t="s">
        <v>543</v>
      </c>
      <c r="P3" s="448"/>
      <c r="Q3" s="449"/>
      <c r="R3" s="119"/>
      <c r="S3" s="119"/>
      <c r="T3" s="119"/>
      <c r="AI3" s="49"/>
    </row>
    <row r="4" spans="1:43">
      <c r="B4" s="443"/>
      <c r="C4" s="443"/>
      <c r="D4" s="121"/>
      <c r="E4" s="51"/>
      <c r="F4" s="53"/>
      <c r="G4" s="119"/>
      <c r="H4" s="120"/>
      <c r="I4" s="119"/>
      <c r="J4" s="119"/>
      <c r="K4" s="443"/>
      <c r="L4" s="450"/>
      <c r="M4" s="120"/>
      <c r="N4" s="120"/>
      <c r="O4" s="451"/>
      <c r="P4" s="451"/>
      <c r="Q4" s="452"/>
      <c r="R4" s="119"/>
      <c r="S4" s="119"/>
      <c r="T4" s="119"/>
      <c r="AI4" s="49"/>
    </row>
    <row r="5" spans="1:43" ht="13.15">
      <c r="B5" s="441" t="s">
        <v>19</v>
      </c>
      <c r="C5" s="441"/>
      <c r="D5" s="453" t="s">
        <v>275</v>
      </c>
      <c r="E5" s="454"/>
      <c r="F5" s="52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X5" s="55" t="s">
        <v>180</v>
      </c>
      <c r="Y5" s="128" t="s">
        <v>181</v>
      </c>
      <c r="Z5" s="55" t="s">
        <v>182</v>
      </c>
      <c r="AA5" s="129" t="s">
        <v>183</v>
      </c>
      <c r="AB5" s="55" t="s">
        <v>184</v>
      </c>
      <c r="AC5" s="55" t="s">
        <v>185</v>
      </c>
      <c r="AD5" s="55" t="s">
        <v>186</v>
      </c>
      <c r="AE5" s="129" t="s">
        <v>187</v>
      </c>
      <c r="AF5" s="55" t="s">
        <v>188</v>
      </c>
      <c r="AG5" s="55" t="s">
        <v>189</v>
      </c>
      <c r="AH5" s="54" t="s">
        <v>190</v>
      </c>
      <c r="AI5" s="56"/>
    </row>
    <row r="6" spans="1:43" ht="13.5" thickBot="1">
      <c r="B6" s="441" t="s">
        <v>10</v>
      </c>
      <c r="C6" s="441"/>
      <c r="D6" s="53" t="s">
        <v>11</v>
      </c>
      <c r="E6" s="119">
        <v>1.2999999999999999E-2</v>
      </c>
      <c r="F6" s="119"/>
      <c r="G6" s="119" t="s">
        <v>22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35" t="s">
        <v>0</v>
      </c>
      <c r="V6" s="54"/>
      <c r="W6" s="54"/>
      <c r="X6" s="101"/>
      <c r="Y6" s="102"/>
      <c r="Z6" s="102"/>
      <c r="AA6" s="130" t="s">
        <v>191</v>
      </c>
      <c r="AB6" s="101"/>
      <c r="AC6" s="102"/>
      <c r="AD6" s="102"/>
      <c r="AE6" s="130" t="s">
        <v>191</v>
      </c>
      <c r="AF6" s="55" t="s">
        <v>192</v>
      </c>
      <c r="AG6" s="55" t="s">
        <v>192</v>
      </c>
      <c r="AH6" s="54" t="s">
        <v>38</v>
      </c>
      <c r="AI6" s="56" t="s">
        <v>32</v>
      </c>
      <c r="AJ6" s="54" t="s">
        <v>35</v>
      </c>
      <c r="AK6" s="56" t="s">
        <v>28</v>
      </c>
      <c r="AL6" s="56" t="s">
        <v>32</v>
      </c>
      <c r="AM6" s="54" t="s">
        <v>38</v>
      </c>
      <c r="AN6" s="56" t="s">
        <v>32</v>
      </c>
      <c r="AO6" s="56" t="s">
        <v>26</v>
      </c>
    </row>
    <row r="7" spans="1:43" ht="13.15">
      <c r="B7" s="57"/>
      <c r="C7" s="57"/>
      <c r="D7" s="58"/>
      <c r="E7" s="59" t="s">
        <v>45</v>
      </c>
      <c r="F7" s="59" t="s">
        <v>45</v>
      </c>
      <c r="G7" s="60" t="s">
        <v>46</v>
      </c>
      <c r="H7" s="60" t="s">
        <v>47</v>
      </c>
      <c r="I7" s="60" t="s">
        <v>173</v>
      </c>
      <c r="J7" s="60" t="s">
        <v>155</v>
      </c>
      <c r="K7" s="60" t="s">
        <v>174</v>
      </c>
      <c r="L7" s="60" t="s">
        <v>175</v>
      </c>
      <c r="M7" s="60" t="s">
        <v>175</v>
      </c>
      <c r="N7" s="60" t="s">
        <v>170</v>
      </c>
      <c r="O7" s="60" t="s">
        <v>176</v>
      </c>
      <c r="P7" s="60" t="s">
        <v>48</v>
      </c>
      <c r="Q7" s="61" t="s">
        <v>43</v>
      </c>
      <c r="R7" s="60" t="s">
        <v>49</v>
      </c>
      <c r="S7" s="60" t="s">
        <v>49</v>
      </c>
      <c r="T7" s="116"/>
      <c r="U7" s="62" t="s">
        <v>24</v>
      </c>
      <c r="V7" s="54" t="s">
        <v>29</v>
      </c>
      <c r="W7" s="54" t="s">
        <v>29</v>
      </c>
      <c r="X7" s="101" t="s">
        <v>193</v>
      </c>
      <c r="Y7" s="102" t="s">
        <v>193</v>
      </c>
      <c r="Z7" s="102" t="s">
        <v>194</v>
      </c>
      <c r="AA7" s="130" t="s">
        <v>194</v>
      </c>
      <c r="AB7" s="102" t="s">
        <v>195</v>
      </c>
      <c r="AC7" s="102" t="s">
        <v>195</v>
      </c>
      <c r="AD7" s="102" t="s">
        <v>196</v>
      </c>
      <c r="AE7" s="131" t="s">
        <v>196</v>
      </c>
      <c r="AF7" s="63" t="s">
        <v>28</v>
      </c>
      <c r="AG7" s="63" t="s">
        <v>50</v>
      </c>
      <c r="AH7" s="54" t="s">
        <v>37</v>
      </c>
      <c r="AI7" s="54" t="s">
        <v>35</v>
      </c>
      <c r="AJ7" s="56"/>
      <c r="AK7" s="56"/>
      <c r="AL7" s="56"/>
      <c r="AM7" s="56"/>
      <c r="AN7" s="54"/>
      <c r="AO7" s="56"/>
    </row>
    <row r="8" spans="1:43" ht="13.15">
      <c r="B8" s="64"/>
      <c r="C8" s="65" t="s">
        <v>0</v>
      </c>
      <c r="D8" s="65" t="s">
        <v>8</v>
      </c>
      <c r="E8" s="64" t="s">
        <v>16</v>
      </c>
      <c r="F8" s="64" t="s">
        <v>16</v>
      </c>
      <c r="G8" s="66" t="s">
        <v>12</v>
      </c>
      <c r="H8" s="66" t="s">
        <v>177</v>
      </c>
      <c r="I8" s="66" t="s">
        <v>25</v>
      </c>
      <c r="J8" s="66" t="s">
        <v>154</v>
      </c>
      <c r="K8" s="66" t="s">
        <v>14</v>
      </c>
      <c r="L8" s="66" t="s">
        <v>14</v>
      </c>
      <c r="M8" s="66" t="s">
        <v>14</v>
      </c>
      <c r="N8" s="66" t="s">
        <v>15</v>
      </c>
      <c r="O8" s="66" t="s">
        <v>15</v>
      </c>
      <c r="P8" s="66" t="s">
        <v>13</v>
      </c>
      <c r="Q8" s="67" t="s">
        <v>13</v>
      </c>
      <c r="R8" s="66" t="s">
        <v>178</v>
      </c>
      <c r="S8" s="66" t="s">
        <v>178</v>
      </c>
      <c r="T8" s="117" t="s">
        <v>41</v>
      </c>
      <c r="U8" s="68" t="s">
        <v>30</v>
      </c>
      <c r="V8" s="69" t="s">
        <v>26</v>
      </c>
      <c r="W8" s="69" t="s">
        <v>26</v>
      </c>
      <c r="X8" s="103" t="s">
        <v>5</v>
      </c>
      <c r="Y8" s="102" t="s">
        <v>197</v>
      </c>
      <c r="Z8" s="132" t="s">
        <v>198</v>
      </c>
      <c r="AA8" s="133" t="s">
        <v>198</v>
      </c>
      <c r="AB8" s="102" t="s">
        <v>5</v>
      </c>
      <c r="AC8" s="102" t="s">
        <v>197</v>
      </c>
      <c r="AD8" s="132" t="s">
        <v>198</v>
      </c>
      <c r="AE8" s="133" t="s">
        <v>198</v>
      </c>
      <c r="AF8" s="63" t="s">
        <v>26</v>
      </c>
      <c r="AG8" s="63" t="s">
        <v>26</v>
      </c>
      <c r="AH8" s="70" t="s">
        <v>166</v>
      </c>
      <c r="AI8" s="54" t="s">
        <v>36</v>
      </c>
      <c r="AJ8" s="56" t="s">
        <v>41</v>
      </c>
      <c r="AK8" s="56" t="s">
        <v>41</v>
      </c>
      <c r="AL8" s="56" t="s">
        <v>31</v>
      </c>
      <c r="AM8" s="56" t="s">
        <v>40</v>
      </c>
      <c r="AN8" s="54" t="s">
        <v>37</v>
      </c>
      <c r="AO8" s="56" t="s">
        <v>33</v>
      </c>
    </row>
    <row r="9" spans="1:43" ht="13.5" thickBot="1">
      <c r="B9" s="71"/>
      <c r="C9" s="71"/>
      <c r="D9" s="71"/>
      <c r="E9" s="71" t="s">
        <v>171</v>
      </c>
      <c r="F9" s="71" t="s">
        <v>169</v>
      </c>
      <c r="G9" s="72"/>
      <c r="H9" s="71"/>
      <c r="I9" s="71"/>
      <c r="J9" s="71" t="s">
        <v>169</v>
      </c>
      <c r="K9" s="71"/>
      <c r="L9" s="71" t="s">
        <v>27</v>
      </c>
      <c r="M9" s="71" t="s">
        <v>169</v>
      </c>
      <c r="N9" s="71" t="s">
        <v>171</v>
      </c>
      <c r="O9" s="71" t="s">
        <v>169</v>
      </c>
      <c r="P9" s="71"/>
      <c r="Q9" s="73"/>
      <c r="R9" s="71" t="s">
        <v>171</v>
      </c>
      <c r="S9" s="71" t="s">
        <v>169</v>
      </c>
      <c r="T9" s="118"/>
      <c r="U9" s="74"/>
      <c r="V9" s="75" t="s">
        <v>171</v>
      </c>
      <c r="W9" s="75" t="s">
        <v>169</v>
      </c>
      <c r="X9" s="103" t="s">
        <v>199</v>
      </c>
      <c r="Y9" s="102" t="s">
        <v>5</v>
      </c>
      <c r="Z9" s="102" t="s">
        <v>200</v>
      </c>
      <c r="AA9" s="131" t="s">
        <v>164</v>
      </c>
      <c r="AB9" s="102" t="s">
        <v>199</v>
      </c>
      <c r="AC9" s="102" t="s">
        <v>5</v>
      </c>
      <c r="AD9" s="102" t="s">
        <v>201</v>
      </c>
      <c r="AE9" s="131" t="s">
        <v>165</v>
      </c>
      <c r="AF9" s="76"/>
      <c r="AG9" s="77"/>
      <c r="AH9" s="78"/>
      <c r="AI9" s="77"/>
      <c r="AJ9" s="79"/>
      <c r="AK9" s="80" t="s">
        <v>42</v>
      </c>
      <c r="AL9" s="80" t="s">
        <v>39</v>
      </c>
      <c r="AM9" s="80" t="s">
        <v>39</v>
      </c>
      <c r="AN9" s="81" t="s">
        <v>28</v>
      </c>
      <c r="AO9" s="80" t="s">
        <v>34</v>
      </c>
    </row>
    <row r="10" spans="1:43" ht="13.15">
      <c r="B10" s="82"/>
      <c r="C10" s="83"/>
      <c r="D10" s="83"/>
      <c r="E10" s="83"/>
      <c r="F10" s="83"/>
      <c r="G10" s="84"/>
      <c r="H10" s="85"/>
      <c r="I10" s="86"/>
      <c r="J10" s="86"/>
      <c r="K10" s="87"/>
      <c r="L10" s="87"/>
      <c r="M10" s="87"/>
      <c r="N10" s="87"/>
      <c r="O10" s="85"/>
      <c r="P10" s="87"/>
      <c r="Q10" s="88"/>
      <c r="R10" s="88"/>
      <c r="S10" s="88"/>
      <c r="T10" s="88"/>
      <c r="U10" s="89"/>
      <c r="V10" s="89"/>
      <c r="W10" s="90"/>
      <c r="X10" s="88"/>
      <c r="Y10" s="88"/>
      <c r="Z10" s="88"/>
      <c r="AA10" s="88"/>
      <c r="AB10" s="88"/>
      <c r="AC10" s="88"/>
      <c r="AD10" s="88"/>
      <c r="AE10" s="88"/>
      <c r="AF10" s="88"/>
      <c r="AG10" s="82"/>
      <c r="AH10" s="88"/>
      <c r="AI10" s="88"/>
      <c r="AJ10" s="91"/>
      <c r="AK10" s="104">
        <v>68.45</v>
      </c>
      <c r="AL10" s="104" t="e">
        <f>#REF!+Q10</f>
        <v>#REF!</v>
      </c>
      <c r="AM10" s="104" t="e">
        <f>IF(AL10=#REF!, "Ok!", "Check!")</f>
        <v>#REF!</v>
      </c>
      <c r="AN10" s="104" t="e">
        <f>AJ10-#REF!</f>
        <v>#REF!</v>
      </c>
      <c r="AO10" s="104" t="e">
        <f>IF(AJ10&gt;AL10, "Ok!", "Check!")</f>
        <v>#REF!</v>
      </c>
      <c r="AP10" s="105"/>
    </row>
    <row r="11" spans="1:43" s="92" customFormat="1">
      <c r="B11" s="106"/>
      <c r="C11" s="107"/>
      <c r="D11" s="107"/>
      <c r="E11" s="107"/>
      <c r="F11" s="107"/>
      <c r="G11" s="108"/>
      <c r="H11" s="109"/>
      <c r="I11" s="110"/>
      <c r="J11" s="110"/>
      <c r="K11" s="111"/>
      <c r="L11" s="111"/>
      <c r="M11" s="111"/>
      <c r="N11" s="111"/>
      <c r="O11" s="109"/>
      <c r="P11" s="104"/>
      <c r="Q11" s="104"/>
      <c r="R11" s="104"/>
      <c r="S11" s="104"/>
      <c r="T11" s="104"/>
      <c r="U11" s="112"/>
      <c r="V11" s="112"/>
      <c r="W11" s="113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9"/>
      <c r="AK11" s="104"/>
      <c r="AL11" s="104"/>
      <c r="AM11" s="104"/>
      <c r="AN11" s="104"/>
      <c r="AO11" s="104"/>
      <c r="AP11" s="105"/>
    </row>
    <row r="12" spans="1:43" s="92" customFormat="1" ht="13.15">
      <c r="B12" s="106"/>
      <c r="C12" s="249" t="e">
        <f>'10 Yr Pipe Capacity'!#REF!</f>
        <v>#REF!</v>
      </c>
      <c r="D12" s="249" t="e">
        <f>'10 Yr Pipe Capacity'!#REF!</f>
        <v>#REF!</v>
      </c>
      <c r="E12" s="93" t="e">
        <f>'10 Yr Pipe Capacity'!#REF!</f>
        <v>#REF!</v>
      </c>
      <c r="F12" s="93" t="e">
        <f>'10 Yr Pipe Capacity'!#REF!</f>
        <v>#REF!</v>
      </c>
      <c r="G12" s="94" t="e">
        <f>'10 Yr Pipe Capacity'!#REF!</f>
        <v>#REF!</v>
      </c>
      <c r="H12" s="109" t="e">
        <f>PI()*(G12/12)^2/(4)</f>
        <v>#REF!</v>
      </c>
      <c r="I12" s="110">
        <v>1.2999999999999999E-2</v>
      </c>
      <c r="J12" s="112" t="e">
        <f>VLOOKUP(G12,'Pipe Properties'!$A$2:$D$12,4,0)</f>
        <v>#REF!</v>
      </c>
      <c r="K12" s="95" t="e">
        <f>'10 Yr Pipe Capacity'!#REF!</f>
        <v>#REF!</v>
      </c>
      <c r="L12" s="96" t="e">
        <f>((E12*I12)/(0.463*((G12/12)^2.67)))^2</f>
        <v>#REF!</v>
      </c>
      <c r="M12" s="96" t="e">
        <f>((F12*I12)/(0.463*((G12/12)^2.67)))^2</f>
        <v>#REF!</v>
      </c>
      <c r="N12" s="109" t="e">
        <f>'10 Yr Pipe Capacity'!#REF!</f>
        <v>#REF!</v>
      </c>
      <c r="O12" s="109" t="e">
        <f>'10 Yr Pipe Capacity'!#REF!</f>
        <v>#REF!</v>
      </c>
      <c r="P12" s="114" t="e">
        <f>'10 Yr Pipe Capacity'!#REF!</f>
        <v>#REF!</v>
      </c>
      <c r="Q12" s="97" t="e">
        <f>G12/12</f>
        <v>#REF!</v>
      </c>
      <c r="R12" s="104" t="e">
        <f>P12*L12</f>
        <v>#REF!</v>
      </c>
      <c r="S12" s="104" t="e">
        <f>Q12*M12</f>
        <v>#REF!</v>
      </c>
      <c r="T12" s="136">
        <v>0</v>
      </c>
      <c r="U12" s="126">
        <f>VLOOKUP(T12,'Kb Values MoCo'!$A$2:$D$92,2,FALSE)</f>
        <v>0.5</v>
      </c>
      <c r="V12" s="104" t="e">
        <f>(U12*N12*N12)/64.4</f>
        <v>#REF!</v>
      </c>
      <c r="W12" s="113" t="e">
        <f>(U12*O12*O12)/64.4</f>
        <v>#REF!</v>
      </c>
      <c r="X12" s="98" t="e">
        <f>VLOOKUP(D12,'10 Yr Pipe Capacity'!B14:Q28,17,FALSE)</f>
        <v>#REF!</v>
      </c>
      <c r="Y12" s="134" t="e">
        <f t="shared" ref="Y12:Y20" si="0">X12+G12/12</f>
        <v>#REF!</v>
      </c>
      <c r="Z12" s="98"/>
      <c r="AA12" s="99" t="e">
        <f>Y12</f>
        <v>#REF!</v>
      </c>
      <c r="AB12" s="98" t="e">
        <f>VLOOKUP(D12,'10 Yr Pipe Capacity'!B14:Q28,16,FALSE)</f>
        <v>#REF!</v>
      </c>
      <c r="AC12" s="98" t="e">
        <f>AB12+G12/12</f>
        <v>#REF!</v>
      </c>
      <c r="AD12" s="98" t="e">
        <f>AA12+R12</f>
        <v>#REF!</v>
      </c>
      <c r="AE12" s="99" t="e">
        <f>IF(AD12&gt;AC12,AD12,AC12)</f>
        <v>#REF!</v>
      </c>
      <c r="AF12" s="98" t="e">
        <f>MAX(_xlfn.MAXIFS($AA$12:$AA$45,$C$12:$C$45,D12),AE12)</f>
        <v>#REF!</v>
      </c>
      <c r="AG12" s="98" t="e">
        <f>'10 Yr Pipe Capacity'!#REF!</f>
        <v>#REF!</v>
      </c>
      <c r="AH12" s="115" t="e">
        <f>AG12-AF12</f>
        <v>#REF!</v>
      </c>
      <c r="AI12" s="104" t="e">
        <f t="shared" ref="AI12:AI55" si="1">IF(AH12&gt;0, "Ok!", "Check!")</f>
        <v>#REF!</v>
      </c>
      <c r="AJ12" s="100"/>
      <c r="AK12" s="104"/>
      <c r="AL12" s="104"/>
      <c r="AM12" s="104"/>
      <c r="AN12" s="104"/>
      <c r="AO12" s="104"/>
      <c r="AP12" s="105" t="s">
        <v>179</v>
      </c>
      <c r="AQ12" s="46"/>
    </row>
    <row r="13" spans="1:43" s="92" customFormat="1" ht="13.15">
      <c r="B13" s="106"/>
      <c r="C13" s="249" t="e">
        <f>'10 Yr Pipe Capacity'!#REF!</f>
        <v>#REF!</v>
      </c>
      <c r="D13" s="249" t="e">
        <f>'10 Yr Pipe Capacity'!#REF!</f>
        <v>#REF!</v>
      </c>
      <c r="E13" s="93" t="e">
        <f>'10 Yr Pipe Capacity'!#REF!</f>
        <v>#REF!</v>
      </c>
      <c r="F13" s="93" t="e">
        <f>'10 Yr Pipe Capacity'!#REF!</f>
        <v>#REF!</v>
      </c>
      <c r="G13" s="94" t="e">
        <f>'10 Yr Pipe Capacity'!#REF!</f>
        <v>#REF!</v>
      </c>
      <c r="H13" s="109" t="e">
        <f t="shared" ref="H13:H55" si="2">PI()*(G13/12)^2/(4)</f>
        <v>#REF!</v>
      </c>
      <c r="I13" s="110">
        <v>1.2999999999999999E-2</v>
      </c>
      <c r="J13" s="112" t="e">
        <f>VLOOKUP(G13,'Pipe Properties'!$A$2:$D$12,4,0)</f>
        <v>#REF!</v>
      </c>
      <c r="K13" s="95" t="e">
        <f>'10 Yr Pipe Capacity'!#REF!</f>
        <v>#REF!</v>
      </c>
      <c r="L13" s="96" t="e">
        <f t="shared" ref="L13:L55" si="3">((E13*I13)/(0.463*((G13/12)^2.67)))^2</f>
        <v>#REF!</v>
      </c>
      <c r="M13" s="96" t="e">
        <f t="shared" ref="M13:M55" si="4">((F13*I13)/(0.463*((G13/12)^2.67)))^2</f>
        <v>#REF!</v>
      </c>
      <c r="N13" s="109" t="e">
        <f>'10 Yr Pipe Capacity'!#REF!</f>
        <v>#REF!</v>
      </c>
      <c r="O13" s="109" t="e">
        <f>'10 Yr Pipe Capacity'!#REF!</f>
        <v>#REF!</v>
      </c>
      <c r="P13" s="114" t="e">
        <f>'10 Yr Pipe Capacity'!#REF!</f>
        <v>#REF!</v>
      </c>
      <c r="Q13" s="97" t="e">
        <f t="shared" ref="Q13:Q27" si="5">G13/12</f>
        <v>#REF!</v>
      </c>
      <c r="R13" s="104" t="e">
        <f t="shared" ref="R13:R27" si="6">P13*L13</f>
        <v>#REF!</v>
      </c>
      <c r="S13" s="104" t="e">
        <f>Q13*M13</f>
        <v>#REF!</v>
      </c>
      <c r="T13" s="136">
        <v>0</v>
      </c>
      <c r="U13" s="126">
        <f>VLOOKUP(T13,'Kb Values MoCo'!$A$2:$D$92,2,FALSE)</f>
        <v>0.5</v>
      </c>
      <c r="V13" s="104" t="e">
        <f t="shared" ref="V13:V18" si="7">(U13*N13*N13)/64.4</f>
        <v>#REF!</v>
      </c>
      <c r="W13" s="113" t="e">
        <f>(U13*O13*O13)/64.4</f>
        <v>#REF!</v>
      </c>
      <c r="X13" s="98" t="e">
        <f>VLOOKUP(D13,'10 Yr Pipe Capacity'!B14:Q28,17,FALSE)</f>
        <v>#REF!</v>
      </c>
      <c r="Y13" s="134" t="e">
        <f t="shared" si="0"/>
        <v>#REF!</v>
      </c>
      <c r="Z13" s="98"/>
      <c r="AA13" s="99" t="e">
        <f>IF(Z13&gt;Y13,Z13,Y13)</f>
        <v>#REF!</v>
      </c>
      <c r="AB13" s="98" t="e">
        <f>VLOOKUP(D13,'10 Yr Pipe Capacity'!B14:Q28,16,FALSE)</f>
        <v>#REF!</v>
      </c>
      <c r="AC13" s="98" t="e">
        <f t="shared" ref="AC13:AC16" si="8">AB13+G13/12</f>
        <v>#REF!</v>
      </c>
      <c r="AD13" s="98" t="e">
        <f t="shared" ref="AD13:AD16" si="9">AA13+R13</f>
        <v>#REF!</v>
      </c>
      <c r="AE13" s="99" t="e">
        <f t="shared" ref="AE13:AE55" si="10">IF(AD13&gt;AC13,AD13,AC13)</f>
        <v>#REF!</v>
      </c>
      <c r="AF13" s="98" t="e">
        <f t="shared" ref="AF13:AF54" si="11">MAX(_xlfn.MAXIFS($AA$12:$AA$45,$C$12:$C$45,D13),AE13)</f>
        <v>#REF!</v>
      </c>
      <c r="AG13" s="98" t="e">
        <f>'10 Yr Pipe Capacity'!#REF!</f>
        <v>#REF!</v>
      </c>
      <c r="AH13" s="115" t="e">
        <f t="shared" ref="AH13:AH16" si="12">AG13-AF13</f>
        <v>#REF!</v>
      </c>
      <c r="AI13" s="104" t="e">
        <f t="shared" si="1"/>
        <v>#REF!</v>
      </c>
      <c r="AJ13" s="100"/>
      <c r="AK13" s="104"/>
      <c r="AL13" s="104"/>
      <c r="AM13" s="104"/>
      <c r="AN13" s="104"/>
      <c r="AO13" s="104"/>
      <c r="AP13" s="105" t="s">
        <v>179</v>
      </c>
      <c r="AQ13" s="46"/>
    </row>
    <row r="14" spans="1:43" ht="13.15">
      <c r="A14" s="92"/>
      <c r="B14" s="106"/>
      <c r="C14" s="249" t="e">
        <f>'10 Yr Pipe Capacity'!#REF!</f>
        <v>#REF!</v>
      </c>
      <c r="D14" s="249" t="e">
        <f>'10 Yr Pipe Capacity'!#REF!</f>
        <v>#REF!</v>
      </c>
      <c r="E14" s="93" t="e">
        <f>'10 Yr Pipe Capacity'!#REF!</f>
        <v>#REF!</v>
      </c>
      <c r="F14" s="93" t="e">
        <f>'10 Yr Pipe Capacity'!#REF!</f>
        <v>#REF!</v>
      </c>
      <c r="G14" s="94" t="e">
        <f>'10 Yr Pipe Capacity'!#REF!</f>
        <v>#REF!</v>
      </c>
      <c r="H14" s="109" t="e">
        <f t="shared" si="2"/>
        <v>#REF!</v>
      </c>
      <c r="I14" s="110">
        <v>1.2999999999999999E-2</v>
      </c>
      <c r="J14" s="112" t="e">
        <f>VLOOKUP(G14,'Pipe Properties'!$A$2:$D$12,4,0)</f>
        <v>#REF!</v>
      </c>
      <c r="K14" s="95" t="e">
        <f>'10 Yr Pipe Capacity'!#REF!</f>
        <v>#REF!</v>
      </c>
      <c r="L14" s="96" t="e">
        <f>((E14*I14)/(0.463*((G14/12)^2.67)))^2</f>
        <v>#REF!</v>
      </c>
      <c r="M14" s="96" t="e">
        <f t="shared" si="4"/>
        <v>#REF!</v>
      </c>
      <c r="N14" s="109" t="e">
        <f>'10 Yr Pipe Capacity'!#REF!</f>
        <v>#REF!</v>
      </c>
      <c r="O14" s="109" t="e">
        <f>'10 Yr Pipe Capacity'!#REF!</f>
        <v>#REF!</v>
      </c>
      <c r="P14" s="114" t="e">
        <f>'10 Yr Pipe Capacity'!#REF!</f>
        <v>#REF!</v>
      </c>
      <c r="Q14" s="97" t="e">
        <f t="shared" si="5"/>
        <v>#REF!</v>
      </c>
      <c r="R14" s="104" t="e">
        <f t="shared" si="6"/>
        <v>#REF!</v>
      </c>
      <c r="S14" s="104" t="e">
        <f t="shared" ref="S14:S55" si="13">Q14*M14</f>
        <v>#REF!</v>
      </c>
      <c r="T14" s="136">
        <v>0</v>
      </c>
      <c r="U14" s="126">
        <f>VLOOKUP(T14,'Kb Values MoCo'!$A$2:$D$92,2,FALSE)</f>
        <v>0.5</v>
      </c>
      <c r="V14" s="104" t="e">
        <f t="shared" si="7"/>
        <v>#REF!</v>
      </c>
      <c r="W14" s="113" t="e">
        <f t="shared" ref="W14:W55" si="14">(U14*O14*O14)/64.4</f>
        <v>#REF!</v>
      </c>
      <c r="X14" s="98" t="e">
        <f>VLOOKUP(D14,'10 Yr Pipe Capacity'!B14:Q28,17,FALSE)</f>
        <v>#REF!</v>
      </c>
      <c r="Y14" s="134" t="e">
        <f t="shared" si="0"/>
        <v>#REF!</v>
      </c>
      <c r="Z14" s="98"/>
      <c r="AA14" s="99" t="e">
        <f t="shared" ref="AA14:AA17" si="15">IF(Z14&gt;Y14,Z14,Y14)</f>
        <v>#REF!</v>
      </c>
      <c r="AB14" s="98" t="e">
        <f>VLOOKUP(D14,'10 Yr Pipe Capacity'!B14:Q28,16,FALSE)</f>
        <v>#REF!</v>
      </c>
      <c r="AC14" s="98" t="e">
        <f t="shared" si="8"/>
        <v>#REF!</v>
      </c>
      <c r="AD14" s="98" t="e">
        <f t="shared" si="9"/>
        <v>#REF!</v>
      </c>
      <c r="AE14" s="99" t="e">
        <f t="shared" si="10"/>
        <v>#REF!</v>
      </c>
      <c r="AF14" s="98" t="e">
        <f>MAX(_xlfn.MAXIFS($AA$12:$AA$45,$C$12:$C$45,D14),AE14)</f>
        <v>#REF!</v>
      </c>
      <c r="AG14" s="98" t="e">
        <f>'10 Yr Pipe Capacity'!#REF!</f>
        <v>#REF!</v>
      </c>
      <c r="AH14" s="115" t="e">
        <f t="shared" si="12"/>
        <v>#REF!</v>
      </c>
      <c r="AI14" s="104" t="e">
        <f t="shared" si="1"/>
        <v>#REF!</v>
      </c>
      <c r="AJ14" s="100"/>
      <c r="AK14" s="104"/>
      <c r="AL14" s="104"/>
      <c r="AM14" s="104"/>
      <c r="AN14" s="104"/>
      <c r="AO14" s="104"/>
      <c r="AP14" s="105" t="s">
        <v>179</v>
      </c>
    </row>
    <row r="15" spans="1:43" ht="13.15">
      <c r="B15" s="106"/>
      <c r="C15" s="249" t="e">
        <f>'10 Yr Pipe Capacity'!#REF!</f>
        <v>#REF!</v>
      </c>
      <c r="D15" s="249" t="e">
        <f>'10 Yr Pipe Capacity'!#REF!</f>
        <v>#REF!</v>
      </c>
      <c r="E15" s="93" t="e">
        <f>'10 Yr Pipe Capacity'!#REF!</f>
        <v>#REF!</v>
      </c>
      <c r="F15" s="93" t="e">
        <f>'10 Yr Pipe Capacity'!#REF!</f>
        <v>#REF!</v>
      </c>
      <c r="G15" s="94" t="e">
        <f>'10 Yr Pipe Capacity'!#REF!</f>
        <v>#REF!</v>
      </c>
      <c r="H15" s="109" t="e">
        <f t="shared" si="2"/>
        <v>#REF!</v>
      </c>
      <c r="I15" s="110">
        <v>1.2999999999999999E-2</v>
      </c>
      <c r="J15" s="112" t="e">
        <f>VLOOKUP(G15,'Pipe Properties'!$A$2:$D$12,4,0)</f>
        <v>#REF!</v>
      </c>
      <c r="K15" s="95" t="e">
        <f>'10 Yr Pipe Capacity'!#REF!</f>
        <v>#REF!</v>
      </c>
      <c r="L15" s="96" t="e">
        <f t="shared" si="3"/>
        <v>#REF!</v>
      </c>
      <c r="M15" s="96" t="e">
        <f t="shared" si="4"/>
        <v>#REF!</v>
      </c>
      <c r="N15" s="109" t="e">
        <f>'10 Yr Pipe Capacity'!#REF!</f>
        <v>#REF!</v>
      </c>
      <c r="O15" s="109" t="e">
        <f>'10 Yr Pipe Capacity'!#REF!</f>
        <v>#REF!</v>
      </c>
      <c r="P15" s="114" t="e">
        <f>'10 Yr Pipe Capacity'!#REF!</f>
        <v>#REF!</v>
      </c>
      <c r="Q15" s="97" t="e">
        <f t="shared" si="5"/>
        <v>#REF!</v>
      </c>
      <c r="R15" s="104" t="e">
        <f t="shared" si="6"/>
        <v>#REF!</v>
      </c>
      <c r="S15" s="104" t="e">
        <f t="shared" si="13"/>
        <v>#REF!</v>
      </c>
      <c r="T15" s="136">
        <v>15</v>
      </c>
      <c r="U15" s="126">
        <f>VLOOKUP(T15,'Kb Values MoCo'!$A$2:$D$92,3,FALSE)</f>
        <v>0.35</v>
      </c>
      <c r="V15" s="104" t="e">
        <f t="shared" si="7"/>
        <v>#REF!</v>
      </c>
      <c r="W15" s="113" t="e">
        <f t="shared" si="14"/>
        <v>#REF!</v>
      </c>
      <c r="X15" s="98" t="e">
        <f>VLOOKUP(D15,'10 Yr Pipe Capacity'!B14:Q28,17,FALSE)</f>
        <v>#REF!</v>
      </c>
      <c r="Y15" s="134" t="e">
        <f t="shared" si="0"/>
        <v>#REF!</v>
      </c>
      <c r="Z15" s="98"/>
      <c r="AA15" s="99" t="e">
        <f t="shared" si="15"/>
        <v>#REF!</v>
      </c>
      <c r="AB15" s="98" t="e">
        <f>VLOOKUP(D15,'10 Yr Pipe Capacity'!B14:Q28,16,FALSE)</f>
        <v>#REF!</v>
      </c>
      <c r="AC15" s="98" t="e">
        <f t="shared" si="8"/>
        <v>#REF!</v>
      </c>
      <c r="AD15" s="98" t="e">
        <f t="shared" si="9"/>
        <v>#REF!</v>
      </c>
      <c r="AE15" s="99" t="e">
        <f t="shared" si="10"/>
        <v>#REF!</v>
      </c>
      <c r="AF15" s="98" t="e">
        <f t="shared" si="11"/>
        <v>#REF!</v>
      </c>
      <c r="AG15" s="98" t="e">
        <f>'10 Yr Pipe Capacity'!#REF!</f>
        <v>#REF!</v>
      </c>
      <c r="AH15" s="115" t="e">
        <f t="shared" si="12"/>
        <v>#REF!</v>
      </c>
      <c r="AI15" s="104" t="e">
        <f t="shared" si="1"/>
        <v>#REF!</v>
      </c>
      <c r="AJ15" s="100"/>
      <c r="AK15" s="104"/>
      <c r="AL15" s="104"/>
      <c r="AM15" s="104"/>
      <c r="AN15" s="104"/>
      <c r="AO15" s="104"/>
      <c r="AP15" s="105" t="s">
        <v>179</v>
      </c>
    </row>
    <row r="16" spans="1:43" ht="13.15">
      <c r="B16" s="106"/>
      <c r="C16" s="249" t="e">
        <f>'10 Yr Pipe Capacity'!#REF!</f>
        <v>#REF!</v>
      </c>
      <c r="D16" s="249" t="e">
        <f>'10 Yr Pipe Capacity'!#REF!</f>
        <v>#REF!</v>
      </c>
      <c r="E16" s="93" t="e">
        <f>'10 Yr Pipe Capacity'!#REF!</f>
        <v>#REF!</v>
      </c>
      <c r="F16" s="93" t="e">
        <f>'10 Yr Pipe Capacity'!#REF!</f>
        <v>#REF!</v>
      </c>
      <c r="G16" s="94" t="e">
        <f>'10 Yr Pipe Capacity'!#REF!</f>
        <v>#REF!</v>
      </c>
      <c r="H16" s="109" t="e">
        <f t="shared" si="2"/>
        <v>#REF!</v>
      </c>
      <c r="I16" s="110">
        <v>1.2999999999999999E-2</v>
      </c>
      <c r="J16" s="112" t="e">
        <f>VLOOKUP(G16,'Pipe Properties'!$A$2:$D$12,4,0)</f>
        <v>#REF!</v>
      </c>
      <c r="K16" s="95" t="e">
        <f>'10 Yr Pipe Capacity'!#REF!</f>
        <v>#REF!</v>
      </c>
      <c r="L16" s="96" t="e">
        <f t="shared" si="3"/>
        <v>#REF!</v>
      </c>
      <c r="M16" s="96" t="e">
        <f t="shared" si="4"/>
        <v>#REF!</v>
      </c>
      <c r="N16" s="109" t="e">
        <f>'10 Yr Pipe Capacity'!#REF!</f>
        <v>#REF!</v>
      </c>
      <c r="O16" s="109" t="e">
        <f>'10 Yr Pipe Capacity'!#REF!</f>
        <v>#REF!</v>
      </c>
      <c r="P16" s="114" t="e">
        <f>'10 Yr Pipe Capacity'!#REF!</f>
        <v>#REF!</v>
      </c>
      <c r="Q16" s="97" t="e">
        <f t="shared" si="5"/>
        <v>#REF!</v>
      </c>
      <c r="R16" s="104" t="e">
        <f t="shared" si="6"/>
        <v>#REF!</v>
      </c>
      <c r="S16" s="104" t="e">
        <f t="shared" si="13"/>
        <v>#REF!</v>
      </c>
      <c r="T16" s="136">
        <v>0</v>
      </c>
      <c r="U16" s="126">
        <f>VLOOKUP(T16,'Kb Values MoCo'!$A$2:$D$92,2,FALSE)</f>
        <v>0.5</v>
      </c>
      <c r="V16" s="104" t="e">
        <f t="shared" si="7"/>
        <v>#REF!</v>
      </c>
      <c r="W16" s="113" t="e">
        <f t="shared" si="14"/>
        <v>#REF!</v>
      </c>
      <c r="X16" s="98" t="e">
        <f>VLOOKUP(D16,'10 Yr Pipe Capacity'!B14:Q28,17,FALSE)</f>
        <v>#REF!</v>
      </c>
      <c r="Y16" s="134" t="e">
        <f t="shared" si="0"/>
        <v>#REF!</v>
      </c>
      <c r="Z16" s="98"/>
      <c r="AA16" s="99" t="e">
        <f t="shared" si="15"/>
        <v>#REF!</v>
      </c>
      <c r="AB16" s="98" t="e">
        <f>VLOOKUP(D16,'10 Yr Pipe Capacity'!B14:Q28,16,FALSE)</f>
        <v>#REF!</v>
      </c>
      <c r="AC16" s="98" t="e">
        <f t="shared" si="8"/>
        <v>#REF!</v>
      </c>
      <c r="AD16" s="98" t="e">
        <f t="shared" si="9"/>
        <v>#REF!</v>
      </c>
      <c r="AE16" s="99" t="e">
        <f t="shared" si="10"/>
        <v>#REF!</v>
      </c>
      <c r="AF16" s="98" t="e">
        <f t="shared" si="11"/>
        <v>#REF!</v>
      </c>
      <c r="AG16" s="98" t="e">
        <f>'10 Yr Pipe Capacity'!#REF!</f>
        <v>#REF!</v>
      </c>
      <c r="AH16" s="115" t="e">
        <f t="shared" si="12"/>
        <v>#REF!</v>
      </c>
      <c r="AI16" s="104" t="e">
        <f t="shared" si="1"/>
        <v>#REF!</v>
      </c>
      <c r="AJ16" s="100"/>
      <c r="AK16" s="104"/>
      <c r="AL16" s="104"/>
      <c r="AM16" s="104"/>
      <c r="AN16" s="104"/>
      <c r="AO16" s="104"/>
      <c r="AP16" s="105" t="s">
        <v>179</v>
      </c>
    </row>
    <row r="17" spans="2:43" ht="13.15">
      <c r="B17" s="106"/>
      <c r="C17" s="249" t="e">
        <f>'10 Yr Pipe Capacity'!#REF!</f>
        <v>#REF!</v>
      </c>
      <c r="D17" s="249" t="e">
        <f>'10 Yr Pipe Capacity'!#REF!</f>
        <v>#REF!</v>
      </c>
      <c r="E17" s="93" t="e">
        <f>'10 Yr Pipe Capacity'!#REF!</f>
        <v>#REF!</v>
      </c>
      <c r="F17" s="93" t="e">
        <f>'10 Yr Pipe Capacity'!#REF!</f>
        <v>#REF!</v>
      </c>
      <c r="G17" s="94" t="e">
        <f>'10 Yr Pipe Capacity'!#REF!</f>
        <v>#REF!</v>
      </c>
      <c r="H17" s="109" t="e">
        <f t="shared" si="2"/>
        <v>#REF!</v>
      </c>
      <c r="I17" s="110">
        <v>1.2999999999999999E-2</v>
      </c>
      <c r="J17" s="112" t="e">
        <f>VLOOKUP(G17,'Pipe Properties'!$A$2:$D$12,4,0)</f>
        <v>#REF!</v>
      </c>
      <c r="K17" s="95" t="e">
        <f>'10 Yr Pipe Capacity'!#REF!</f>
        <v>#REF!</v>
      </c>
      <c r="L17" s="96" t="e">
        <f t="shared" si="3"/>
        <v>#REF!</v>
      </c>
      <c r="M17" s="96" t="e">
        <f t="shared" si="4"/>
        <v>#REF!</v>
      </c>
      <c r="N17" s="109" t="e">
        <f>'10 Yr Pipe Capacity'!#REF!</f>
        <v>#REF!</v>
      </c>
      <c r="O17" s="109" t="e">
        <f>'10 Yr Pipe Capacity'!#REF!</f>
        <v>#REF!</v>
      </c>
      <c r="P17" s="114" t="e">
        <f>'10 Yr Pipe Capacity'!#REF!</f>
        <v>#REF!</v>
      </c>
      <c r="Q17" s="97" t="e">
        <f t="shared" si="5"/>
        <v>#REF!</v>
      </c>
      <c r="R17" s="104" t="e">
        <f t="shared" si="6"/>
        <v>#REF!</v>
      </c>
      <c r="S17" s="104" t="e">
        <f t="shared" si="13"/>
        <v>#REF!</v>
      </c>
      <c r="T17" s="136">
        <v>70</v>
      </c>
      <c r="U17" s="126">
        <f>VLOOKUP(T17,'Kb Values MoCo'!$A$2:$D$92,3,FALSE)</f>
        <v>0.9</v>
      </c>
      <c r="V17" s="104" t="e">
        <f t="shared" si="7"/>
        <v>#REF!</v>
      </c>
      <c r="W17" s="113" t="e">
        <f t="shared" si="14"/>
        <v>#REF!</v>
      </c>
      <c r="X17" s="98" t="e">
        <f>VLOOKUP(D17,'10 Yr Pipe Capacity'!B14:Q28,17,FALSE)</f>
        <v>#REF!</v>
      </c>
      <c r="Y17" s="134" t="e">
        <f>X17+G17/12</f>
        <v>#REF!</v>
      </c>
      <c r="Z17" s="98"/>
      <c r="AA17" s="99" t="e">
        <f t="shared" si="15"/>
        <v>#REF!</v>
      </c>
      <c r="AB17" s="98" t="e">
        <f>VLOOKUP(D17,'10 Yr Pipe Capacity'!B14:Q28,16,FALSE)</f>
        <v>#REF!</v>
      </c>
      <c r="AC17" s="98" t="e">
        <f>AB17+G17/12</f>
        <v>#REF!</v>
      </c>
      <c r="AD17" s="98" t="e">
        <f>AA17+R17</f>
        <v>#REF!</v>
      </c>
      <c r="AE17" s="99" t="e">
        <f t="shared" si="10"/>
        <v>#REF!</v>
      </c>
      <c r="AF17" s="98" t="e">
        <f t="shared" si="11"/>
        <v>#REF!</v>
      </c>
      <c r="AG17" s="98" t="e">
        <f>'10 Yr Pipe Capacity'!#REF!</f>
        <v>#REF!</v>
      </c>
      <c r="AH17" s="115" t="e">
        <f>AG17-AF17</f>
        <v>#REF!</v>
      </c>
      <c r="AI17" s="104" t="e">
        <f t="shared" si="1"/>
        <v>#REF!</v>
      </c>
      <c r="AJ17" s="100"/>
      <c r="AK17" s="104"/>
      <c r="AL17" s="104"/>
      <c r="AM17" s="104"/>
      <c r="AN17" s="104"/>
      <c r="AO17" s="104"/>
      <c r="AP17" s="105" t="s">
        <v>179</v>
      </c>
    </row>
    <row r="18" spans="2:43" ht="13.15">
      <c r="B18" s="106"/>
      <c r="C18" s="249" t="e">
        <f>'10 Yr Pipe Capacity'!#REF!</f>
        <v>#REF!</v>
      </c>
      <c r="D18" s="249" t="e">
        <f>'10 Yr Pipe Capacity'!#REF!</f>
        <v>#REF!</v>
      </c>
      <c r="E18" s="93" t="e">
        <f>'10 Yr Pipe Capacity'!#REF!</f>
        <v>#REF!</v>
      </c>
      <c r="F18" s="93" t="e">
        <f>'10 Yr Pipe Capacity'!#REF!</f>
        <v>#REF!</v>
      </c>
      <c r="G18" s="94" t="e">
        <f>'10 Yr Pipe Capacity'!#REF!</f>
        <v>#REF!</v>
      </c>
      <c r="H18" s="109" t="e">
        <f t="shared" si="2"/>
        <v>#REF!</v>
      </c>
      <c r="I18" s="110">
        <v>1.2999999999999999E-2</v>
      </c>
      <c r="J18" s="112" t="e">
        <f>VLOOKUP(G18,'Pipe Properties'!$A$2:$D$12,4,0)</f>
        <v>#REF!</v>
      </c>
      <c r="K18" s="95" t="e">
        <f>'10 Yr Pipe Capacity'!#REF!</f>
        <v>#REF!</v>
      </c>
      <c r="L18" s="96" t="e">
        <f t="shared" si="3"/>
        <v>#REF!</v>
      </c>
      <c r="M18" s="96" t="e">
        <f t="shared" si="4"/>
        <v>#REF!</v>
      </c>
      <c r="N18" s="109" t="e">
        <f>'10 Yr Pipe Capacity'!#REF!</f>
        <v>#REF!</v>
      </c>
      <c r="O18" s="109" t="e">
        <f>'10 Yr Pipe Capacity'!#REF!</f>
        <v>#REF!</v>
      </c>
      <c r="P18" s="114" t="e">
        <f>'10 Yr Pipe Capacity'!#REF!</f>
        <v>#REF!</v>
      </c>
      <c r="Q18" s="97" t="e">
        <f t="shared" si="5"/>
        <v>#REF!</v>
      </c>
      <c r="R18" s="104" t="e">
        <f t="shared" si="6"/>
        <v>#REF!</v>
      </c>
      <c r="S18" s="104" t="e">
        <f t="shared" si="13"/>
        <v>#REF!</v>
      </c>
      <c r="T18" s="136">
        <v>75</v>
      </c>
      <c r="U18" s="126">
        <f>VLOOKUP(T18,'Kb Values MoCo'!$A$2:$D$92,3,FALSE)</f>
        <v>0.92</v>
      </c>
      <c r="V18" s="104" t="e">
        <f t="shared" si="7"/>
        <v>#REF!</v>
      </c>
      <c r="W18" s="113" t="e">
        <f t="shared" si="14"/>
        <v>#REF!</v>
      </c>
      <c r="X18" s="98" t="e">
        <f>VLOOKUP(D18,'10 Yr Pipe Capacity'!B14:Q29,17,FALSE)</f>
        <v>#REF!</v>
      </c>
      <c r="Y18" s="134" t="e">
        <f t="shared" si="0"/>
        <v>#REF!</v>
      </c>
      <c r="Z18" s="98"/>
      <c r="AA18" s="99" t="e">
        <f t="shared" ref="AA18" si="16">Y18</f>
        <v>#REF!</v>
      </c>
      <c r="AB18" s="98" t="e">
        <f>VLOOKUP(D18,'10 Yr Pipe Capacity'!B14:Q29,16,FALSE)</f>
        <v>#REF!</v>
      </c>
      <c r="AC18" s="98" t="e">
        <f t="shared" ref="AC18:AC55" si="17">AB18+G18/12</f>
        <v>#REF!</v>
      </c>
      <c r="AD18" s="98" t="e">
        <f t="shared" ref="AD18:AD55" si="18">AA18+R18</f>
        <v>#REF!</v>
      </c>
      <c r="AE18" s="99" t="e">
        <f t="shared" si="10"/>
        <v>#REF!</v>
      </c>
      <c r="AF18" s="98" t="e">
        <f t="shared" si="11"/>
        <v>#REF!</v>
      </c>
      <c r="AG18" s="98" t="e">
        <f>'10 Yr Pipe Capacity'!#REF!</f>
        <v>#REF!</v>
      </c>
      <c r="AH18" s="115" t="e">
        <f t="shared" ref="AH18:AH55" si="19">AG18-AF18</f>
        <v>#REF!</v>
      </c>
      <c r="AI18" s="104" t="e">
        <f t="shared" si="1"/>
        <v>#REF!</v>
      </c>
      <c r="AJ18" s="100"/>
      <c r="AK18" s="104"/>
      <c r="AL18" s="104"/>
      <c r="AM18" s="104"/>
      <c r="AN18" s="104"/>
      <c r="AO18" s="104"/>
      <c r="AP18" s="105"/>
    </row>
    <row r="19" spans="2:43" ht="13.15">
      <c r="B19" s="106"/>
      <c r="C19" s="249"/>
      <c r="D19" s="249"/>
      <c r="E19" s="93"/>
      <c r="F19" s="93"/>
      <c r="G19" s="94"/>
      <c r="H19" s="109"/>
      <c r="I19" s="110"/>
      <c r="J19" s="112"/>
      <c r="K19" s="95"/>
      <c r="L19" s="96"/>
      <c r="M19" s="96"/>
      <c r="N19" s="109"/>
      <c r="O19" s="109"/>
      <c r="P19" s="114"/>
      <c r="Q19" s="97"/>
      <c r="R19" s="104"/>
      <c r="S19" s="104"/>
      <c r="T19" s="136"/>
      <c r="U19" s="126"/>
      <c r="V19" s="104"/>
      <c r="W19" s="113"/>
      <c r="X19" s="98"/>
      <c r="Y19" s="134"/>
      <c r="Z19" s="98"/>
      <c r="AA19" s="99"/>
      <c r="AB19" s="98"/>
      <c r="AC19" s="98"/>
      <c r="AD19" s="98"/>
      <c r="AE19" s="99"/>
      <c r="AF19" s="98"/>
      <c r="AG19" s="98"/>
      <c r="AH19" s="115"/>
      <c r="AI19" s="104"/>
      <c r="AJ19" s="100"/>
      <c r="AK19" s="104"/>
      <c r="AL19" s="104"/>
      <c r="AM19" s="104"/>
      <c r="AN19" s="104"/>
      <c r="AO19" s="104"/>
      <c r="AP19" s="105"/>
    </row>
    <row r="20" spans="2:43" ht="13.15">
      <c r="B20" s="106"/>
      <c r="C20" s="249" t="str">
        <f>'10 Yr Pipe Capacity'!A14</f>
        <v>I-3</v>
      </c>
      <c r="D20" s="249" t="str">
        <f>'10 Yr Pipe Capacity'!B14</f>
        <v>MH-3</v>
      </c>
      <c r="E20" s="93">
        <f>'10 Yr Pipe Capacity'!L14</f>
        <v>0.98921940661157048</v>
      </c>
      <c r="F20" s="93">
        <f>'10 Yr Pipe Capacity'!X14</f>
        <v>3.5408059252543271</v>
      </c>
      <c r="G20" s="94">
        <f>'10 Yr Pipe Capacity'!M14</f>
        <v>12</v>
      </c>
      <c r="H20" s="109">
        <f t="shared" si="2"/>
        <v>0.78539816339744828</v>
      </c>
      <c r="I20" s="110">
        <v>1.2999999999999999E-2</v>
      </c>
      <c r="J20" s="112" t="e">
        <f>VLOOKUP(G20,'Pipe Properties'!$A$2:$D$12,4,0)</f>
        <v>#N/A</v>
      </c>
      <c r="K20" s="95">
        <f>'10 Yr Pipe Capacity'!T14</f>
        <v>9.8240218691271145E-3</v>
      </c>
      <c r="L20" s="96">
        <f t="shared" si="3"/>
        <v>7.7145389872819361E-4</v>
      </c>
      <c r="M20" s="96">
        <f t="shared" si="4"/>
        <v>9.8839142574412772E-3</v>
      </c>
      <c r="N20" s="109">
        <f>'10 Yr Pipe Capacity'!U14</f>
        <v>3.885386514578046</v>
      </c>
      <c r="O20" s="109">
        <f>'10 Yr Pipe Capacity'!V14</f>
        <v>4.5082979322627423</v>
      </c>
      <c r="P20" s="114">
        <f>'10 Yr Pipe Capacity'!S14</f>
        <v>23.411999999999999</v>
      </c>
      <c r="Q20" s="97">
        <f t="shared" si="5"/>
        <v>1</v>
      </c>
      <c r="R20" s="104">
        <f t="shared" si="6"/>
        <v>1.8061278677024468E-2</v>
      </c>
      <c r="S20" s="104">
        <f t="shared" si="13"/>
        <v>9.8839142574412772E-3</v>
      </c>
      <c r="T20" s="136">
        <v>0</v>
      </c>
      <c r="U20" s="126">
        <f>VLOOKUP(T20,'Kb Values MoCo'!$A$2:$D$92,2,FALSE)</f>
        <v>0.5</v>
      </c>
      <c r="V20" s="104">
        <f>(U20*N20*N20)/64.4</f>
        <v>0.1172067419849762</v>
      </c>
      <c r="W20" s="113">
        <f t="shared" si="14"/>
        <v>0.15780085594755061</v>
      </c>
      <c r="X20" s="98" t="e">
        <f>VLOOKUP(D20,'10 Yr Pipe Capacity'!B14:Q31,17,FALSE)</f>
        <v>#REF!</v>
      </c>
      <c r="Y20" s="134" t="e">
        <f t="shared" si="0"/>
        <v>#REF!</v>
      </c>
      <c r="Z20" s="98"/>
      <c r="AA20" s="99" t="e">
        <f t="shared" ref="AA20:AA44" si="20">IF(Z20&gt;Y20,Z20,Y20)</f>
        <v>#REF!</v>
      </c>
      <c r="AB20" s="98">
        <f>VLOOKUP(D20,'10 Yr Pipe Capacity'!B14:Q31,16,FALSE)</f>
        <v>69.77</v>
      </c>
      <c r="AC20" s="98">
        <f t="shared" si="17"/>
        <v>70.77</v>
      </c>
      <c r="AD20" s="98" t="e">
        <f t="shared" si="18"/>
        <v>#REF!</v>
      </c>
      <c r="AE20" s="99" t="e">
        <f t="shared" si="10"/>
        <v>#REF!</v>
      </c>
      <c r="AF20" s="98" t="e">
        <f t="shared" si="11"/>
        <v>#REF!</v>
      </c>
      <c r="AG20" s="98">
        <f>'10 Yr Pipe Capacity'!R14</f>
        <v>313.12</v>
      </c>
      <c r="AH20" s="115" t="e">
        <f t="shared" si="19"/>
        <v>#REF!</v>
      </c>
      <c r="AI20" s="104" t="e">
        <f t="shared" si="1"/>
        <v>#REF!</v>
      </c>
      <c r="AJ20" s="100"/>
      <c r="AK20" s="104"/>
      <c r="AL20" s="104"/>
      <c r="AM20" s="104"/>
      <c r="AN20" s="104"/>
      <c r="AO20" s="104"/>
      <c r="AP20" s="105"/>
    </row>
    <row r="21" spans="2:43" ht="13.15">
      <c r="B21" s="106"/>
      <c r="C21" s="249"/>
      <c r="D21" s="249"/>
      <c r="E21" s="93"/>
      <c r="F21" s="93"/>
      <c r="G21" s="94"/>
      <c r="H21" s="109"/>
      <c r="I21" s="110"/>
      <c r="J21" s="112"/>
      <c r="K21" s="95"/>
      <c r="L21" s="96"/>
      <c r="M21" s="96"/>
      <c r="N21" s="109"/>
      <c r="O21" s="109"/>
      <c r="P21" s="114"/>
      <c r="Q21" s="97"/>
      <c r="R21" s="104"/>
      <c r="S21" s="104"/>
      <c r="T21" s="136"/>
      <c r="U21" s="126"/>
      <c r="V21" s="104"/>
      <c r="W21" s="113"/>
      <c r="X21" s="98"/>
      <c r="Y21" s="134"/>
      <c r="Z21" s="98"/>
      <c r="AA21" s="99"/>
      <c r="AB21" s="98"/>
      <c r="AC21" s="98"/>
      <c r="AD21" s="98"/>
      <c r="AE21" s="99"/>
      <c r="AF21" s="98"/>
      <c r="AG21" s="98"/>
      <c r="AH21" s="115"/>
      <c r="AI21" s="104"/>
      <c r="AJ21" s="100"/>
      <c r="AK21" s="104"/>
      <c r="AL21" s="104"/>
      <c r="AM21" s="104"/>
      <c r="AN21" s="104"/>
      <c r="AO21" s="104"/>
      <c r="AP21" s="105"/>
    </row>
    <row r="22" spans="2:43" ht="13.15">
      <c r="B22" s="106"/>
      <c r="C22" s="249" t="str">
        <f>'10 Yr Pipe Capacity'!A17</f>
        <v>I-1</v>
      </c>
      <c r="D22" s="249" t="str">
        <f>'10 Yr Pipe Capacity'!B17</f>
        <v>I-2</v>
      </c>
      <c r="E22" s="93">
        <f>'10 Yr Pipe Capacity'!L17</f>
        <v>0.95306072196694225</v>
      </c>
      <c r="F22" s="93">
        <f>'10 Yr Pipe Capacity'!X17</f>
        <v>3.528134195375952</v>
      </c>
      <c r="G22" s="94">
        <f>'10 Yr Pipe Capacity'!M17</f>
        <v>12</v>
      </c>
      <c r="H22" s="109">
        <f t="shared" si="2"/>
        <v>0.78539816339744828</v>
      </c>
      <c r="I22" s="110">
        <v>1.2999999999999999E-2</v>
      </c>
      <c r="J22" s="112" t="e">
        <f>VLOOKUP(G22,'Pipe Properties'!$A$2:$D$12,4,0)</f>
        <v>#N/A</v>
      </c>
      <c r="K22" s="95">
        <f>'10 Yr Pipe Capacity'!T17</f>
        <v>9.7538318625177874E-3</v>
      </c>
      <c r="L22" s="96">
        <f t="shared" si="3"/>
        <v>7.1608712555821597E-4</v>
      </c>
      <c r="M22" s="96">
        <f t="shared" si="4"/>
        <v>9.8132963357491429E-3</v>
      </c>
      <c r="N22" s="109">
        <f>'10 Yr Pipe Capacity'!U17</f>
        <v>3.8900437631303766</v>
      </c>
      <c r="O22" s="109">
        <f>'10 Yr Pipe Capacity'!V17</f>
        <v>4.4921637710534501</v>
      </c>
      <c r="P22" s="114">
        <f>'10 Yr Pipe Capacity'!S17</f>
        <v>21.53</v>
      </c>
      <c r="Q22" s="97">
        <f t="shared" si="5"/>
        <v>1</v>
      </c>
      <c r="R22" s="104">
        <f t="shared" si="6"/>
        <v>1.5417355813268391E-2</v>
      </c>
      <c r="S22" s="104">
        <f t="shared" si="13"/>
        <v>9.8132963357491429E-3</v>
      </c>
      <c r="T22" s="136">
        <v>0</v>
      </c>
      <c r="U22" s="126">
        <f>VLOOKUP(T22,'Kb Values MoCo'!$A$2:$D$92,2,FALSE)</f>
        <v>0.5</v>
      </c>
      <c r="V22" s="104">
        <f>(U22*N22*N22)/64.4</f>
        <v>0.11748789191824177</v>
      </c>
      <c r="W22" s="113">
        <f t="shared" si="14"/>
        <v>0.15667341107115801</v>
      </c>
      <c r="X22" s="98" t="e">
        <f>VLOOKUP(D22,'10 Yr Pipe Capacity'!B17:Q33,17,FALSE)</f>
        <v>#REF!</v>
      </c>
      <c r="Y22" s="134" t="e">
        <f>X22+G22/12</f>
        <v>#REF!</v>
      </c>
      <c r="Z22" s="98"/>
      <c r="AA22" s="99" t="e">
        <f t="shared" si="20"/>
        <v>#REF!</v>
      </c>
      <c r="AB22" s="98">
        <f>VLOOKUP(D22,'10 Yr Pipe Capacity'!B17:Q33,16,FALSE)</f>
        <v>68.3</v>
      </c>
      <c r="AC22" s="98">
        <f t="shared" si="17"/>
        <v>69.3</v>
      </c>
      <c r="AD22" s="98" t="e">
        <f t="shared" si="18"/>
        <v>#REF!</v>
      </c>
      <c r="AE22" s="99" t="e">
        <f t="shared" si="10"/>
        <v>#REF!</v>
      </c>
      <c r="AF22" s="98" t="e">
        <f t="shared" si="11"/>
        <v>#REF!</v>
      </c>
      <c r="AG22" s="98">
        <f>'10 Yr Pipe Capacity'!R17</f>
        <v>314.19</v>
      </c>
      <c r="AH22" s="115" t="e">
        <f t="shared" si="19"/>
        <v>#REF!</v>
      </c>
      <c r="AI22" s="104" t="e">
        <f t="shared" si="1"/>
        <v>#REF!</v>
      </c>
      <c r="AJ22" s="100"/>
      <c r="AK22" s="104"/>
      <c r="AL22" s="104"/>
      <c r="AM22" s="104"/>
      <c r="AN22" s="104"/>
      <c r="AO22" s="104"/>
      <c r="AP22" s="105" t="s">
        <v>179</v>
      </c>
    </row>
    <row r="23" spans="2:43" ht="13.15">
      <c r="B23" s="106"/>
      <c r="C23" s="249" t="str">
        <f>'10 Yr Pipe Capacity'!A18</f>
        <v>I-2</v>
      </c>
      <c r="D23" s="249" t="str">
        <f>'10 Yr Pipe Capacity'!B18</f>
        <v>MH-1</v>
      </c>
      <c r="E23" s="93">
        <f>'10 Yr Pipe Capacity'!L18</f>
        <v>3.3957254073504135</v>
      </c>
      <c r="F23" s="93">
        <f>'10 Yr Pipe Capacity'!X18</f>
        <v>6.4763484523396624</v>
      </c>
      <c r="G23" s="94">
        <f>'10 Yr Pipe Capacity'!M18</f>
        <v>15</v>
      </c>
      <c r="H23" s="109">
        <f t="shared" si="2"/>
        <v>1.227184630308513</v>
      </c>
      <c r="I23" s="110">
        <v>1.2999999999999999E-2</v>
      </c>
      <c r="J23" s="112">
        <f>VLOOKUP(G23,'Pipe Properties'!$A$2:$D$12,4,0)</f>
        <v>0.31297709923664119</v>
      </c>
      <c r="K23" s="95">
        <f>'10 Yr Pipe Capacity'!T18</f>
        <v>9.9975006248437543E-3</v>
      </c>
      <c r="L23" s="96">
        <f t="shared" si="3"/>
        <v>2.7611524218585713E-3</v>
      </c>
      <c r="M23" s="96">
        <f t="shared" si="4"/>
        <v>1.0043513506553896E-2</v>
      </c>
      <c r="N23" s="109">
        <f>'10 Yr Pipe Capacity'!U18</f>
        <v>5.3967327059951939</v>
      </c>
      <c r="O23" s="109">
        <f>'10 Yr Pipe Capacity'!V18</f>
        <v>5.2774079488378609</v>
      </c>
      <c r="P23" s="114">
        <f>'10 Yr Pipe Capacity'!S18</f>
        <v>80.02</v>
      </c>
      <c r="Q23" s="97">
        <f t="shared" si="5"/>
        <v>1.25</v>
      </c>
      <c r="R23" s="104">
        <f t="shared" si="6"/>
        <v>0.22094741679712288</v>
      </c>
      <c r="S23" s="104">
        <f t="shared" si="13"/>
        <v>1.2554391883192371E-2</v>
      </c>
      <c r="T23" s="136">
        <v>9</v>
      </c>
      <c r="U23" s="126">
        <f>VLOOKUP(T23,'Kb Values MoCo'!$A$2:$D$92,2,FALSE)</f>
        <v>0.57999999999999996</v>
      </c>
      <c r="V23" s="104">
        <f>(U23*N23*N23)/64.4</f>
        <v>0.26230341400583473</v>
      </c>
      <c r="W23" s="113">
        <f t="shared" si="14"/>
        <v>0.25083229971902299</v>
      </c>
      <c r="X23" s="98" t="e">
        <f>VLOOKUP(D23,'10 Yr Pipe Capacity'!B18:Q34,17,FALSE)</f>
        <v>#REF!</v>
      </c>
      <c r="Y23" s="134" t="e">
        <f>X23+G23/12</f>
        <v>#REF!</v>
      </c>
      <c r="Z23" s="98"/>
      <c r="AA23" s="99" t="e">
        <f t="shared" si="20"/>
        <v>#REF!</v>
      </c>
      <c r="AB23" s="98">
        <f>VLOOKUP(D23,'10 Yr Pipe Capacity'!B18:Q34,16,FALSE)</f>
        <v>67.400000000000006</v>
      </c>
      <c r="AC23" s="98">
        <f t="shared" si="17"/>
        <v>68.650000000000006</v>
      </c>
      <c r="AD23" s="98" t="e">
        <f t="shared" si="18"/>
        <v>#REF!</v>
      </c>
      <c r="AE23" s="99" t="e">
        <f t="shared" si="10"/>
        <v>#REF!</v>
      </c>
      <c r="AF23" s="98" t="e">
        <f t="shared" si="11"/>
        <v>#REF!</v>
      </c>
      <c r="AG23" s="98">
        <f>'10 Yr Pipe Capacity'!R18</f>
        <v>313.18</v>
      </c>
      <c r="AH23" s="115" t="e">
        <f t="shared" si="19"/>
        <v>#REF!</v>
      </c>
      <c r="AI23" s="104" t="e">
        <f t="shared" si="1"/>
        <v>#REF!</v>
      </c>
      <c r="AJ23" s="100"/>
      <c r="AK23" s="104"/>
      <c r="AL23" s="104"/>
      <c r="AM23" s="104"/>
      <c r="AN23" s="104"/>
      <c r="AO23" s="104"/>
      <c r="AP23" s="105" t="s">
        <v>179</v>
      </c>
    </row>
    <row r="24" spans="2:43" ht="13.15">
      <c r="B24" s="106"/>
      <c r="C24" s="249"/>
      <c r="D24" s="249"/>
      <c r="E24" s="93"/>
      <c r="F24" s="93"/>
      <c r="G24" s="94"/>
      <c r="H24" s="109"/>
      <c r="I24" s="110"/>
      <c r="J24" s="112"/>
      <c r="K24" s="95"/>
      <c r="L24" s="96"/>
      <c r="M24" s="96"/>
      <c r="N24" s="109"/>
      <c r="O24" s="109"/>
      <c r="P24" s="114"/>
      <c r="Q24" s="97"/>
      <c r="R24" s="104"/>
      <c r="S24" s="104"/>
      <c r="T24" s="136"/>
      <c r="U24" s="126"/>
      <c r="V24" s="104"/>
      <c r="W24" s="113"/>
      <c r="X24" s="98"/>
      <c r="Y24" s="134"/>
      <c r="Z24" s="98"/>
      <c r="AA24" s="99"/>
      <c r="AB24" s="98"/>
      <c r="AC24" s="98"/>
      <c r="AD24" s="98"/>
      <c r="AE24" s="99"/>
      <c r="AF24" s="98"/>
      <c r="AG24" s="98"/>
      <c r="AH24" s="115"/>
      <c r="AI24" s="104"/>
      <c r="AJ24" s="100"/>
      <c r="AK24" s="104"/>
      <c r="AL24" s="104"/>
      <c r="AM24" s="104"/>
      <c r="AN24" s="104"/>
      <c r="AO24" s="104"/>
      <c r="AP24" s="105"/>
    </row>
    <row r="25" spans="2:43" ht="13.15">
      <c r="B25" s="106"/>
      <c r="C25" s="249" t="str">
        <f>'10 Yr Pipe Capacity'!A20</f>
        <v>MH-1</v>
      </c>
      <c r="D25" s="249" t="str">
        <f>'10 Yr Pipe Capacity'!B20</f>
        <v>EX-I-1</v>
      </c>
      <c r="E25" s="93">
        <f>'10 Yr Pipe Capacity'!L20</f>
        <v>8.9738370067438016</v>
      </c>
      <c r="F25" s="93">
        <f>'10 Yr Pipe Capacity'!X20</f>
        <v>22.907691330769211</v>
      </c>
      <c r="G25" s="94">
        <f>'10 Yr Pipe Capacity'!M20</f>
        <v>24</v>
      </c>
      <c r="H25" s="109">
        <f t="shared" si="2"/>
        <v>3.1415926535897931</v>
      </c>
      <c r="I25" s="110">
        <v>1.2999999999999999E-2</v>
      </c>
      <c r="J25" s="112">
        <f>VLOOKUP(G25,'Pipe Properties'!$A$2:$D$12,4,0)</f>
        <v>0.5</v>
      </c>
      <c r="K25" s="95">
        <f>'10 Yr Pipe Capacity'!T20</f>
        <v>1.0198878123406571E-2</v>
      </c>
      <c r="L25" s="96">
        <f t="shared" si="3"/>
        <v>1.5674038166538823E-3</v>
      </c>
      <c r="M25" s="96">
        <f t="shared" si="4"/>
        <v>1.0213796269520434E-2</v>
      </c>
      <c r="N25" s="109">
        <f>'10 Yr Pipe Capacity'!U20</f>
        <v>6.947845313366213</v>
      </c>
      <c r="O25" s="109">
        <f>'10 Yr Pipe Capacity'!V20</f>
        <v>7.291750779308952</v>
      </c>
      <c r="P25" s="114">
        <f>'10 Yr Pipe Capacity'!S20</f>
        <v>19.61</v>
      </c>
      <c r="Q25" s="97">
        <f t="shared" si="5"/>
        <v>2</v>
      </c>
      <c r="R25" s="104">
        <f t="shared" si="6"/>
        <v>3.0736788844582631E-2</v>
      </c>
      <c r="S25" s="104">
        <f t="shared" si="13"/>
        <v>2.0427592539040869E-2</v>
      </c>
      <c r="T25" s="136">
        <v>0</v>
      </c>
      <c r="U25" s="126">
        <f>VLOOKUP(T25,'Kb Values MoCo'!$A$2:$D$92,2,FALSE)</f>
        <v>0.5</v>
      </c>
      <c r="V25" s="104">
        <f>(U25*N25*N25)/64.4</f>
        <v>0.37478691380795687</v>
      </c>
      <c r="W25" s="113">
        <f t="shared" si="14"/>
        <v>0.41280768189093714</v>
      </c>
      <c r="X25" s="98" t="e">
        <f>VLOOKUP(D25,'10 Yr Pipe Capacity'!B20:Q36,17,FALSE)</f>
        <v>#REF!</v>
      </c>
      <c r="Y25" s="134" t="e">
        <f>X25+G25/12</f>
        <v>#REF!</v>
      </c>
      <c r="Z25" s="98"/>
      <c r="AA25" s="99" t="e">
        <f t="shared" ref="AA25" si="21">IF(Z25&gt;Y25,Z25,Y25)</f>
        <v>#REF!</v>
      </c>
      <c r="AB25" s="98">
        <f>VLOOKUP(D25,'10 Yr Pipe Capacity'!B20:Q36,16,FALSE)</f>
        <v>67.099999999999994</v>
      </c>
      <c r="AC25" s="98">
        <f t="shared" si="17"/>
        <v>69.099999999999994</v>
      </c>
      <c r="AD25" s="98" t="e">
        <f t="shared" si="18"/>
        <v>#REF!</v>
      </c>
      <c r="AE25" s="99" t="e">
        <f t="shared" si="10"/>
        <v>#REF!</v>
      </c>
      <c r="AF25" s="98" t="e">
        <f t="shared" si="11"/>
        <v>#REF!</v>
      </c>
      <c r="AG25" s="98">
        <f>'10 Yr Pipe Capacity'!R20</f>
        <v>315.20999999999998</v>
      </c>
      <c r="AH25" s="115" t="e">
        <f t="shared" si="19"/>
        <v>#REF!</v>
      </c>
      <c r="AI25" s="104" t="e">
        <f t="shared" si="1"/>
        <v>#REF!</v>
      </c>
      <c r="AJ25" s="100"/>
      <c r="AK25" s="104"/>
      <c r="AL25" s="104"/>
      <c r="AM25" s="104"/>
      <c r="AN25" s="104"/>
      <c r="AO25" s="104"/>
      <c r="AP25" s="105" t="s">
        <v>179</v>
      </c>
    </row>
    <row r="26" spans="2:43" ht="13.15">
      <c r="B26" s="106"/>
      <c r="C26" s="249" t="str">
        <f>'10 Yr Pipe Capacity'!A21</f>
        <v>EX-I-1</v>
      </c>
      <c r="D26" s="249" t="str">
        <f>'10 Yr Pipe Capacity'!B21</f>
        <v>CULVERT</v>
      </c>
      <c r="E26" s="93">
        <f>'10 Yr Pipe Capacity'!L21</f>
        <v>11.261104883041321</v>
      </c>
      <c r="F26" s="93">
        <f>'10 Yr Pipe Capacity'!X21</f>
        <v>22.683241761810159</v>
      </c>
      <c r="G26" s="94">
        <f>'10 Yr Pipe Capacity'!M21</f>
        <v>24</v>
      </c>
      <c r="H26" s="109">
        <f t="shared" si="2"/>
        <v>3.1415926535897931</v>
      </c>
      <c r="I26" s="110">
        <v>1.2999999999999999E-2</v>
      </c>
      <c r="J26" s="112">
        <f>VLOOKUP(G26,'Pipe Properties'!$A$2:$D$12,4,0)</f>
        <v>0.5</v>
      </c>
      <c r="K26" s="95">
        <f>'10 Yr Pipe Capacity'!T21</f>
        <v>0.01</v>
      </c>
      <c r="L26" s="96">
        <f t="shared" si="3"/>
        <v>2.4682352622134463E-3</v>
      </c>
      <c r="M26" s="96">
        <f t="shared" si="4"/>
        <v>1.0014627242264641E-2</v>
      </c>
      <c r="N26" s="109">
        <f>'10 Yr Pipe Capacity'!U21</f>
        <v>7.3563528109755172</v>
      </c>
      <c r="O26" s="109">
        <f>'10 Yr Pipe Capacity'!V21</f>
        <v>7.2203062022129432</v>
      </c>
      <c r="P26" s="114">
        <f>'10 Yr Pipe Capacity'!S21</f>
        <v>14.36</v>
      </c>
      <c r="Q26" s="97">
        <f t="shared" si="5"/>
        <v>2</v>
      </c>
      <c r="R26" s="104">
        <f t="shared" si="6"/>
        <v>3.5443858365385085E-2</v>
      </c>
      <c r="S26" s="104">
        <f t="shared" si="13"/>
        <v>2.0029254484529281E-2</v>
      </c>
      <c r="T26" s="136">
        <v>0</v>
      </c>
      <c r="U26" s="126">
        <f>VLOOKUP(T26,'Kb Values MoCo'!$A$2:$D$92,2,FALSE)</f>
        <v>0.5</v>
      </c>
      <c r="V26" s="104">
        <f>(U26*N26*N26)/64.4</f>
        <v>0.42015471024493312</v>
      </c>
      <c r="W26" s="113">
        <f t="shared" si="14"/>
        <v>0.40475793209405814</v>
      </c>
      <c r="X26" s="98" t="e">
        <f>VLOOKUP(D26,'10 Yr Pipe Capacity'!B21:Q37,17,FALSE)</f>
        <v>#REF!</v>
      </c>
      <c r="Y26" s="134" t="e">
        <f>X26+G26/12</f>
        <v>#REF!</v>
      </c>
      <c r="Z26" s="98"/>
      <c r="AA26" s="99" t="e">
        <f t="shared" si="20"/>
        <v>#REF!</v>
      </c>
      <c r="AB26" s="98">
        <f>VLOOKUP(D26,'10 Yr Pipe Capacity'!B21:Q37,16,FALSE)</f>
        <v>66.87</v>
      </c>
      <c r="AC26" s="98">
        <f t="shared" si="17"/>
        <v>68.87</v>
      </c>
      <c r="AD26" s="98" t="e">
        <f t="shared" si="18"/>
        <v>#REF!</v>
      </c>
      <c r="AE26" s="99" t="e">
        <f t="shared" si="10"/>
        <v>#REF!</v>
      </c>
      <c r="AF26" s="98" t="e">
        <f t="shared" si="11"/>
        <v>#REF!</v>
      </c>
      <c r="AG26" s="98">
        <f>'10 Yr Pipe Capacity'!R21</f>
        <v>312.48</v>
      </c>
      <c r="AH26" s="115" t="e">
        <f t="shared" si="19"/>
        <v>#REF!</v>
      </c>
      <c r="AI26" s="104" t="e">
        <f t="shared" si="1"/>
        <v>#REF!</v>
      </c>
      <c r="AJ26" s="100"/>
      <c r="AK26" s="104"/>
      <c r="AL26" s="104"/>
      <c r="AM26" s="104"/>
      <c r="AN26" s="104"/>
      <c r="AO26" s="104"/>
      <c r="AP26" s="105" t="s">
        <v>179</v>
      </c>
    </row>
    <row r="27" spans="2:43" ht="13.15">
      <c r="B27" s="106"/>
      <c r="C27" s="249" t="e">
        <f>'10 Yr Pipe Capacity'!#REF!</f>
        <v>#REF!</v>
      </c>
      <c r="D27" s="249" t="e">
        <f>'10 Yr Pipe Capacity'!#REF!</f>
        <v>#REF!</v>
      </c>
      <c r="E27" s="93" t="e">
        <f>'10 Yr Pipe Capacity'!#REF!</f>
        <v>#REF!</v>
      </c>
      <c r="F27" s="93" t="e">
        <f>'10 Yr Pipe Capacity'!#REF!</f>
        <v>#REF!</v>
      </c>
      <c r="G27" s="94" t="e">
        <f>'10 Yr Pipe Capacity'!#REF!</f>
        <v>#REF!</v>
      </c>
      <c r="H27" s="109" t="e">
        <f t="shared" si="2"/>
        <v>#REF!</v>
      </c>
      <c r="I27" s="110">
        <v>1.2999999999999999E-2</v>
      </c>
      <c r="J27" s="112" t="e">
        <f>VLOOKUP(G27,'Pipe Properties'!$A$2:$D$12,4,0)</f>
        <v>#REF!</v>
      </c>
      <c r="K27" s="95" t="e">
        <f>'10 Yr Pipe Capacity'!#REF!</f>
        <v>#REF!</v>
      </c>
      <c r="L27" s="96" t="e">
        <f t="shared" si="3"/>
        <v>#REF!</v>
      </c>
      <c r="M27" s="96" t="e">
        <f t="shared" si="4"/>
        <v>#REF!</v>
      </c>
      <c r="N27" s="109" t="e">
        <f>'10 Yr Pipe Capacity'!#REF!</f>
        <v>#REF!</v>
      </c>
      <c r="O27" s="109" t="e">
        <f>'10 Yr Pipe Capacity'!#REF!</f>
        <v>#REF!</v>
      </c>
      <c r="P27" s="114" t="e">
        <f>'10 Yr Pipe Capacity'!#REF!</f>
        <v>#REF!</v>
      </c>
      <c r="Q27" s="97" t="e">
        <f t="shared" si="5"/>
        <v>#REF!</v>
      </c>
      <c r="R27" s="104" t="e">
        <f t="shared" si="6"/>
        <v>#REF!</v>
      </c>
      <c r="S27" s="104" t="e">
        <f t="shared" si="13"/>
        <v>#REF!</v>
      </c>
      <c r="T27" s="136">
        <v>0</v>
      </c>
      <c r="U27" s="126">
        <f>VLOOKUP(T27,'Kb Values MoCo'!$A$2:$D$92,3,FALSE)</f>
        <v>0.15</v>
      </c>
      <c r="V27" s="104" t="e">
        <f>(U27*N27*N27)/64.4</f>
        <v>#REF!</v>
      </c>
      <c r="W27" s="113" t="e">
        <f t="shared" si="14"/>
        <v>#REF!</v>
      </c>
      <c r="X27" s="98" t="e">
        <f>VLOOKUP(D27,'10 Yr Pipe Capacity'!B22:Q38,17,FALSE)</f>
        <v>#REF!</v>
      </c>
      <c r="Y27" s="134" t="e">
        <f>X27+G27/12</f>
        <v>#REF!</v>
      </c>
      <c r="Z27" s="98"/>
      <c r="AA27" s="99" t="e">
        <f t="shared" si="20"/>
        <v>#REF!</v>
      </c>
      <c r="AB27" s="98" t="e">
        <f>VLOOKUP(D27,'10 Yr Pipe Capacity'!B22:Q38,16,FALSE)</f>
        <v>#REF!</v>
      </c>
      <c r="AC27" s="98" t="e">
        <f t="shared" si="17"/>
        <v>#REF!</v>
      </c>
      <c r="AD27" s="98" t="e">
        <f t="shared" si="18"/>
        <v>#REF!</v>
      </c>
      <c r="AE27" s="99" t="e">
        <f t="shared" si="10"/>
        <v>#REF!</v>
      </c>
      <c r="AF27" s="98" t="e">
        <f t="shared" si="11"/>
        <v>#REF!</v>
      </c>
      <c r="AG27" s="98" t="e">
        <f>'10 Yr Pipe Capacity'!#REF!</f>
        <v>#REF!</v>
      </c>
      <c r="AH27" s="115" t="e">
        <f t="shared" si="19"/>
        <v>#REF!</v>
      </c>
      <c r="AI27" s="104" t="e">
        <f t="shared" si="1"/>
        <v>#REF!</v>
      </c>
      <c r="AJ27" s="100"/>
      <c r="AK27" s="104"/>
      <c r="AL27" s="104"/>
      <c r="AM27" s="104"/>
      <c r="AN27" s="104"/>
      <c r="AO27" s="104"/>
      <c r="AP27" s="105" t="s">
        <v>179</v>
      </c>
    </row>
    <row r="28" spans="2:43" ht="13.15">
      <c r="B28" s="106"/>
      <c r="C28" s="249"/>
      <c r="D28" s="249"/>
      <c r="E28" s="93"/>
      <c r="F28" s="93"/>
      <c r="G28" s="94"/>
      <c r="H28" s="109"/>
      <c r="I28" s="110"/>
      <c r="J28" s="112"/>
      <c r="K28" s="95"/>
      <c r="L28" s="96"/>
      <c r="M28" s="96"/>
      <c r="N28" s="109"/>
      <c r="O28" s="109"/>
      <c r="P28" s="114"/>
      <c r="Q28" s="97"/>
      <c r="R28" s="104"/>
      <c r="S28" s="104"/>
      <c r="T28" s="136"/>
      <c r="U28" s="126"/>
      <c r="V28" s="104"/>
      <c r="W28" s="113"/>
      <c r="X28" s="98"/>
      <c r="Y28" s="134"/>
      <c r="Z28" s="98"/>
      <c r="AA28" s="99"/>
      <c r="AB28" s="98"/>
      <c r="AC28" s="98"/>
      <c r="AD28" s="98"/>
      <c r="AE28" s="99"/>
      <c r="AF28" s="98"/>
      <c r="AG28" s="98"/>
      <c r="AH28" s="115"/>
      <c r="AI28" s="104"/>
      <c r="AJ28" s="100"/>
      <c r="AK28" s="104"/>
      <c r="AL28" s="104"/>
      <c r="AM28" s="104"/>
      <c r="AN28" s="104"/>
      <c r="AO28" s="104"/>
      <c r="AP28" s="105"/>
    </row>
    <row r="29" spans="2:43" ht="13.15">
      <c r="B29" s="106"/>
      <c r="C29" s="249" t="str">
        <f>'10 Yr Pipe Capacity'!A23</f>
        <v>I-7</v>
      </c>
      <c r="D29" s="249" t="str">
        <f>'10 Yr Pipe Capacity'!B23</f>
        <v>CULVERT</v>
      </c>
      <c r="E29" s="93">
        <f>'10 Yr Pipe Capacity'!L23</f>
        <v>7.5924479677685941</v>
      </c>
      <c r="F29" s="93">
        <f>'10 Yr Pipe Capacity'!X23</f>
        <v>22.542641700252659</v>
      </c>
      <c r="G29" s="94">
        <f>'10 Yr Pipe Capacity'!M23</f>
        <v>24</v>
      </c>
      <c r="H29" s="109">
        <f>'Pipe Properties'!B14</f>
        <v>10.8</v>
      </c>
      <c r="I29" s="110">
        <v>1.2999999999999999E-2</v>
      </c>
      <c r="J29" s="112">
        <f>'Pipe Properties'!D14</f>
        <v>0.8688656476267097</v>
      </c>
      <c r="K29" s="95">
        <f>'10 Yr Pipe Capacity'!T23</f>
        <v>9.876415977464156E-3</v>
      </c>
      <c r="L29" s="96">
        <f>((E29*I29)/(0.463*((44.5/12)^2.67)))^2</f>
        <v>4.1502453003733094E-5</v>
      </c>
      <c r="M29" s="96">
        <f>((F29*I29)/(0.463*((44.5/12)^2.67)))^2</f>
        <v>3.658640473177904E-4</v>
      </c>
      <c r="N29" s="109">
        <f>'10 Yr Pipe Capacity'!U23</f>
        <v>6.6929195766648393</v>
      </c>
      <c r="O29" s="109">
        <f>'10 Yr Pipe Capacity'!V23</f>
        <v>7.1755517748186932</v>
      </c>
      <c r="P29" s="114">
        <f>'10 Yr Pipe Capacity'!S23</f>
        <v>23.287800000000001</v>
      </c>
      <c r="Q29" s="97">
        <f>33/12</f>
        <v>2.75</v>
      </c>
      <c r="R29" s="104">
        <f t="shared" ref="R29:R55" si="22">P29*L29</f>
        <v>9.6650082506033561E-4</v>
      </c>
      <c r="S29" s="104">
        <f t="shared" si="13"/>
        <v>1.0061261301239236E-3</v>
      </c>
      <c r="T29" s="136">
        <v>0</v>
      </c>
      <c r="U29" s="126">
        <f>VLOOKUP(T29,'Kb Values MoCo'!$A$2:$D$92,3,FALSE)</f>
        <v>0.15</v>
      </c>
      <c r="V29" s="104">
        <f>(U29*N29*N29)/64.4</f>
        <v>0.10433658181607945</v>
      </c>
      <c r="W29" s="113">
        <f t="shared" si="14"/>
        <v>0.1199267312261732</v>
      </c>
      <c r="X29" s="98" t="e">
        <f>VLOOKUP(D29,'10 Yr Pipe Capacity'!B23:Q40,17,FALSE)</f>
        <v>#REF!</v>
      </c>
      <c r="Y29" s="134" t="e">
        <f>X29+33/12</f>
        <v>#REF!</v>
      </c>
      <c r="Z29" s="98"/>
      <c r="AA29" s="99" t="e">
        <f t="shared" si="20"/>
        <v>#REF!</v>
      </c>
      <c r="AB29" s="98">
        <f>VLOOKUP(D29,'10 Yr Pipe Capacity'!B23:Q40,16,FALSE)</f>
        <v>66.87</v>
      </c>
      <c r="AC29" s="98">
        <f>AB29+33/12</f>
        <v>69.62</v>
      </c>
      <c r="AD29" s="98" t="e">
        <f t="shared" si="18"/>
        <v>#REF!</v>
      </c>
      <c r="AE29" s="99" t="e">
        <f t="shared" si="10"/>
        <v>#REF!</v>
      </c>
      <c r="AF29" s="98" t="e">
        <f t="shared" si="11"/>
        <v>#REF!</v>
      </c>
      <c r="AG29" s="98">
        <f>'10 Yr Pipe Capacity'!R23</f>
        <v>312.08</v>
      </c>
      <c r="AH29" s="115" t="e">
        <f t="shared" si="19"/>
        <v>#REF!</v>
      </c>
      <c r="AI29" s="104" t="e">
        <f t="shared" si="1"/>
        <v>#REF!</v>
      </c>
      <c r="AJ29" s="100"/>
      <c r="AK29" s="104"/>
      <c r="AL29" s="104"/>
      <c r="AM29" s="104"/>
      <c r="AN29" s="104"/>
      <c r="AO29" s="104"/>
      <c r="AP29" s="105" t="s">
        <v>179</v>
      </c>
      <c r="AQ29" s="252" t="s">
        <v>410</v>
      </c>
    </row>
    <row r="30" spans="2:43" ht="13.15">
      <c r="B30" s="106"/>
      <c r="C30" s="249" t="e">
        <f>'10 Yr Pipe Capacity'!#REF!</f>
        <v>#REF!</v>
      </c>
      <c r="D30" s="249" t="e">
        <f>'10 Yr Pipe Capacity'!#REF!</f>
        <v>#REF!</v>
      </c>
      <c r="E30" s="93" t="e">
        <f>'10 Yr Pipe Capacity'!#REF!</f>
        <v>#REF!</v>
      </c>
      <c r="F30" s="93" t="e">
        <f>'10 Yr Pipe Capacity'!#REF!</f>
        <v>#REF!</v>
      </c>
      <c r="G30" s="94" t="e">
        <f>'10 Yr Pipe Capacity'!#REF!</f>
        <v>#REF!</v>
      </c>
      <c r="H30" s="109" t="e">
        <f t="shared" si="2"/>
        <v>#REF!</v>
      </c>
      <c r="I30" s="110">
        <v>1.2999999999999999E-2</v>
      </c>
      <c r="J30" s="112" t="e">
        <f>VLOOKUP(G30,'Pipe Properties'!$A$2:$D$12,4,0)</f>
        <v>#REF!</v>
      </c>
      <c r="K30" s="95" t="e">
        <f>'10 Yr Pipe Capacity'!#REF!</f>
        <v>#REF!</v>
      </c>
      <c r="L30" s="96" t="e">
        <f t="shared" si="3"/>
        <v>#REF!</v>
      </c>
      <c r="M30" s="96" t="e">
        <f t="shared" si="4"/>
        <v>#REF!</v>
      </c>
      <c r="N30" s="109" t="e">
        <f>'10 Yr Pipe Capacity'!#REF!</f>
        <v>#REF!</v>
      </c>
      <c r="O30" s="109" t="e">
        <f>'10 Yr Pipe Capacity'!#REF!</f>
        <v>#REF!</v>
      </c>
      <c r="P30" s="114" t="e">
        <f>'10 Yr Pipe Capacity'!#REF!</f>
        <v>#REF!</v>
      </c>
      <c r="Q30" s="97" t="e">
        <f t="shared" ref="Q30:Q55" si="23">G30/12</f>
        <v>#REF!</v>
      </c>
      <c r="R30" s="104" t="e">
        <f t="shared" si="22"/>
        <v>#REF!</v>
      </c>
      <c r="S30" s="104" t="e">
        <f t="shared" si="13"/>
        <v>#REF!</v>
      </c>
      <c r="T30" s="136">
        <v>0</v>
      </c>
      <c r="U30" s="126">
        <f>VLOOKUP(T30,'Kb Values MoCo'!$A$2:$D$92,2,FALSE)</f>
        <v>0.5</v>
      </c>
      <c r="V30" s="104" t="e">
        <f>(U30*N30*N30)/64.4</f>
        <v>#REF!</v>
      </c>
      <c r="W30" s="113" t="e">
        <f t="shared" si="14"/>
        <v>#REF!</v>
      </c>
      <c r="X30" s="98" t="e">
        <f>VLOOKUP(D30,'10 Yr Pipe Capacity'!B24:Q41,17,FALSE)</f>
        <v>#REF!</v>
      </c>
      <c r="Y30" s="134" t="e">
        <f t="shared" ref="Y30:Y31" si="24">X30+G30/12</f>
        <v>#REF!</v>
      </c>
      <c r="Z30" s="98"/>
      <c r="AA30" s="99" t="e">
        <f t="shared" ref="AA30" si="25">Y30</f>
        <v>#REF!</v>
      </c>
      <c r="AB30" s="98" t="e">
        <f>VLOOKUP(D30,'10 Yr Pipe Capacity'!B24:Q41,16,FALSE)</f>
        <v>#REF!</v>
      </c>
      <c r="AC30" s="98" t="e">
        <f t="shared" si="17"/>
        <v>#REF!</v>
      </c>
      <c r="AD30" s="98" t="e">
        <f t="shared" si="18"/>
        <v>#REF!</v>
      </c>
      <c r="AE30" s="99" t="e">
        <f t="shared" si="10"/>
        <v>#REF!</v>
      </c>
      <c r="AF30" s="98" t="e">
        <f t="shared" si="11"/>
        <v>#REF!</v>
      </c>
      <c r="AG30" s="98" t="e">
        <f>'10 Yr Pipe Capacity'!#REF!</f>
        <v>#REF!</v>
      </c>
      <c r="AH30" s="115" t="e">
        <f t="shared" si="19"/>
        <v>#REF!</v>
      </c>
      <c r="AI30" s="104" t="e">
        <f t="shared" si="1"/>
        <v>#REF!</v>
      </c>
      <c r="AJ30" s="100"/>
      <c r="AK30" s="104"/>
      <c r="AL30" s="104"/>
      <c r="AM30" s="104"/>
      <c r="AN30" s="104"/>
      <c r="AO30" s="104"/>
      <c r="AP30" s="105"/>
    </row>
    <row r="31" spans="2:43" ht="13.15">
      <c r="B31" s="106"/>
      <c r="C31" s="249" t="e">
        <f>'10 Yr Pipe Capacity'!#REF!</f>
        <v>#REF!</v>
      </c>
      <c r="D31" s="249" t="e">
        <f>'10 Yr Pipe Capacity'!#REF!</f>
        <v>#REF!</v>
      </c>
      <c r="E31" s="93" t="e">
        <f>'10 Yr Pipe Capacity'!#REF!</f>
        <v>#REF!</v>
      </c>
      <c r="F31" s="93" t="e">
        <f>'10 Yr Pipe Capacity'!#REF!</f>
        <v>#REF!</v>
      </c>
      <c r="G31" s="94" t="e">
        <f>'10 Yr Pipe Capacity'!#REF!</f>
        <v>#REF!</v>
      </c>
      <c r="H31" s="109" t="e">
        <f t="shared" si="2"/>
        <v>#REF!</v>
      </c>
      <c r="I31" s="110">
        <v>1.2999999999999999E-2</v>
      </c>
      <c r="J31" s="112" t="e">
        <f>VLOOKUP(G31,'Pipe Properties'!$A$2:$D$12,4,0)</f>
        <v>#REF!</v>
      </c>
      <c r="K31" s="95" t="e">
        <f>'10 Yr Pipe Capacity'!#REF!</f>
        <v>#REF!</v>
      </c>
      <c r="L31" s="96" t="e">
        <f t="shared" si="3"/>
        <v>#REF!</v>
      </c>
      <c r="M31" s="96" t="e">
        <f t="shared" si="4"/>
        <v>#REF!</v>
      </c>
      <c r="N31" s="109" t="e">
        <f>'10 Yr Pipe Capacity'!#REF!</f>
        <v>#REF!</v>
      </c>
      <c r="O31" s="109" t="e">
        <f>'10 Yr Pipe Capacity'!#REF!</f>
        <v>#REF!</v>
      </c>
      <c r="P31" s="114" t="e">
        <f>'10 Yr Pipe Capacity'!#REF!</f>
        <v>#REF!</v>
      </c>
      <c r="Q31" s="97" t="e">
        <f t="shared" si="23"/>
        <v>#REF!</v>
      </c>
      <c r="R31" s="104" t="e">
        <f t="shared" si="22"/>
        <v>#REF!</v>
      </c>
      <c r="S31" s="104" t="e">
        <f t="shared" si="13"/>
        <v>#REF!</v>
      </c>
      <c r="T31" s="136">
        <v>0</v>
      </c>
      <c r="U31" s="126">
        <f>VLOOKUP(T31,'Kb Values MoCo'!$A$2:$D$92,2,FALSE)</f>
        <v>0.5</v>
      </c>
      <c r="V31" s="104" t="e">
        <f>(U31*N31*N31)/64.4</f>
        <v>#REF!</v>
      </c>
      <c r="W31" s="113" t="e">
        <f t="shared" si="14"/>
        <v>#REF!</v>
      </c>
      <c r="X31" s="98" t="e">
        <f>VLOOKUP(D31,'10 Yr Pipe Capacity'!B24:Q42,17,FALSE)</f>
        <v>#REF!</v>
      </c>
      <c r="Y31" s="134" t="e">
        <f t="shared" si="24"/>
        <v>#REF!</v>
      </c>
      <c r="Z31" s="98"/>
      <c r="AA31" s="99" t="e">
        <f t="shared" ref="AA31" si="26">IF(Z31&gt;Y31,Z31,Y31)</f>
        <v>#REF!</v>
      </c>
      <c r="AB31" s="98" t="e">
        <f>VLOOKUP(D31,'10 Yr Pipe Capacity'!B24:Q42,16,FALSE)</f>
        <v>#REF!</v>
      </c>
      <c r="AC31" s="98" t="e">
        <f t="shared" si="17"/>
        <v>#REF!</v>
      </c>
      <c r="AD31" s="98" t="e">
        <f t="shared" si="18"/>
        <v>#REF!</v>
      </c>
      <c r="AE31" s="99" t="e">
        <f t="shared" si="10"/>
        <v>#REF!</v>
      </c>
      <c r="AF31" s="98" t="e">
        <f t="shared" si="11"/>
        <v>#REF!</v>
      </c>
      <c r="AG31" s="98" t="e">
        <f>'10 Yr Pipe Capacity'!#REF!</f>
        <v>#REF!</v>
      </c>
      <c r="AH31" s="115" t="e">
        <f t="shared" si="19"/>
        <v>#REF!</v>
      </c>
      <c r="AI31" s="104" t="e">
        <f t="shared" si="1"/>
        <v>#REF!</v>
      </c>
      <c r="AJ31" s="100"/>
      <c r="AK31" s="104"/>
      <c r="AL31" s="104"/>
      <c r="AM31" s="104"/>
      <c r="AN31" s="104"/>
      <c r="AO31" s="104"/>
      <c r="AP31" s="105" t="s">
        <v>179</v>
      </c>
    </row>
    <row r="32" spans="2:43" ht="13.15">
      <c r="B32" s="106"/>
      <c r="C32" s="249" t="e">
        <f>'10 Yr Pipe Capacity'!#REF!</f>
        <v>#REF!</v>
      </c>
      <c r="D32" s="249" t="e">
        <f>'10 Yr Pipe Capacity'!#REF!</f>
        <v>#REF!</v>
      </c>
      <c r="E32" s="93" t="e">
        <f>'10 Yr Pipe Capacity'!#REF!</f>
        <v>#REF!</v>
      </c>
      <c r="F32" s="93" t="e">
        <f>'10 Yr Pipe Capacity'!#REF!</f>
        <v>#REF!</v>
      </c>
      <c r="G32" s="94" t="e">
        <f>'10 Yr Pipe Capacity'!#REF!</f>
        <v>#REF!</v>
      </c>
      <c r="H32" s="109">
        <f>'Pipe Properties'!B14</f>
        <v>10.8</v>
      </c>
      <c r="I32" s="110">
        <v>1.2999999999999999E-2</v>
      </c>
      <c r="J32" s="112">
        <f>'Pipe Properties'!D14</f>
        <v>0.8688656476267097</v>
      </c>
      <c r="K32" s="95" t="e">
        <f>'10 Yr Pipe Capacity'!#REF!</f>
        <v>#REF!</v>
      </c>
      <c r="L32" s="96" t="e">
        <f>((E32*I32)/(0.463*((44.5/12)^2.67)))^2</f>
        <v>#REF!</v>
      </c>
      <c r="M32" s="96" t="e">
        <f>((F32*I32)/(0.463*((44.5/12)^2.67)))^2</f>
        <v>#REF!</v>
      </c>
      <c r="N32" s="109" t="e">
        <f>'10 Yr Pipe Capacity'!#REF!</f>
        <v>#REF!</v>
      </c>
      <c r="O32" s="109" t="e">
        <f>'10 Yr Pipe Capacity'!#REF!</f>
        <v>#REF!</v>
      </c>
      <c r="P32" s="114" t="e">
        <f>'10 Yr Pipe Capacity'!#REF!</f>
        <v>#REF!</v>
      </c>
      <c r="Q32" s="97">
        <f>33/12</f>
        <v>2.75</v>
      </c>
      <c r="R32" s="104" t="e">
        <f t="shared" si="22"/>
        <v>#REF!</v>
      </c>
      <c r="S32" s="104" t="e">
        <f t="shared" si="13"/>
        <v>#REF!</v>
      </c>
      <c r="T32" s="134">
        <v>0</v>
      </c>
      <c r="U32" s="126">
        <f>VLOOKUP(T32,'Kb Values MoCo'!$A$2:$D$92,4,FALSE)</f>
        <v>0.01</v>
      </c>
      <c r="V32" s="104" t="e">
        <f>(U32*N32*N32)/64.4</f>
        <v>#REF!</v>
      </c>
      <c r="W32" s="113" t="e">
        <f t="shared" si="14"/>
        <v>#REF!</v>
      </c>
      <c r="X32" s="98" t="e">
        <f>VLOOKUP(D32,'10 Yr Pipe Capacity'!B24:Q43,17,FALSE)</f>
        <v>#REF!</v>
      </c>
      <c r="Y32" s="134" t="e">
        <f>X32+33/12</f>
        <v>#REF!</v>
      </c>
      <c r="Z32" s="98"/>
      <c r="AA32" s="99" t="e">
        <f t="shared" si="20"/>
        <v>#REF!</v>
      </c>
      <c r="AB32" s="98" t="e">
        <f>VLOOKUP(D32,'10 Yr Pipe Capacity'!B24:Q43,16,FALSE)</f>
        <v>#REF!</v>
      </c>
      <c r="AC32" s="98" t="e">
        <f>AB32+33/12</f>
        <v>#REF!</v>
      </c>
      <c r="AD32" s="98" t="e">
        <f t="shared" si="18"/>
        <v>#REF!</v>
      </c>
      <c r="AE32" s="99" t="e">
        <f t="shared" si="10"/>
        <v>#REF!</v>
      </c>
      <c r="AF32" s="98" t="e">
        <f t="shared" si="11"/>
        <v>#REF!</v>
      </c>
      <c r="AG32" s="98" t="e">
        <f>'10 Yr Pipe Capacity'!#REF!</f>
        <v>#REF!</v>
      </c>
      <c r="AH32" s="115" t="e">
        <f t="shared" si="19"/>
        <v>#REF!</v>
      </c>
      <c r="AI32" s="104" t="e">
        <f t="shared" si="1"/>
        <v>#REF!</v>
      </c>
      <c r="AJ32" s="100"/>
      <c r="AK32" s="104"/>
      <c r="AL32" s="104"/>
      <c r="AM32" s="104"/>
      <c r="AN32" s="104"/>
      <c r="AO32" s="104"/>
      <c r="AP32" s="105" t="s">
        <v>202</v>
      </c>
    </row>
    <row r="33" spans="2:42" ht="13.15">
      <c r="B33" s="106"/>
      <c r="C33" s="249"/>
      <c r="D33" s="249"/>
      <c r="E33" s="93"/>
      <c r="F33" s="93"/>
      <c r="G33" s="94"/>
      <c r="H33" s="109"/>
      <c r="I33" s="110"/>
      <c r="J33" s="112"/>
      <c r="K33" s="95"/>
      <c r="L33" s="96"/>
      <c r="M33" s="96"/>
      <c r="N33" s="109"/>
      <c r="O33" s="109"/>
      <c r="P33" s="114"/>
      <c r="Q33" s="97"/>
      <c r="R33" s="104"/>
      <c r="S33" s="104"/>
      <c r="T33" s="134"/>
      <c r="U33" s="126"/>
      <c r="V33" s="104"/>
      <c r="W33" s="113"/>
      <c r="X33" s="98"/>
      <c r="Y33" s="134"/>
      <c r="Z33" s="98"/>
      <c r="AA33" s="99"/>
      <c r="AB33" s="98"/>
      <c r="AC33" s="98"/>
      <c r="AD33" s="98"/>
      <c r="AE33" s="99"/>
      <c r="AF33" s="98"/>
      <c r="AG33" s="98"/>
      <c r="AH33" s="115"/>
      <c r="AI33" s="104"/>
      <c r="AJ33" s="100"/>
      <c r="AK33" s="104"/>
      <c r="AL33" s="104"/>
      <c r="AM33" s="104"/>
      <c r="AN33" s="104"/>
      <c r="AO33" s="104"/>
      <c r="AP33" s="105"/>
    </row>
    <row r="34" spans="2:42" ht="13.15">
      <c r="B34" s="106"/>
      <c r="C34" s="249" t="str">
        <f>'10 Yr Pipe Capacity'!A26</f>
        <v>I-5</v>
      </c>
      <c r="D34" s="249" t="str">
        <f>'10 Yr Pipe Capacity'!B26</f>
        <v>I-4</v>
      </c>
      <c r="E34" s="93">
        <f>'10 Yr Pipe Capacity'!L26</f>
        <v>3.8605377118457298</v>
      </c>
      <c r="F34" s="93">
        <f>'10 Yr Pipe Capacity'!X26</f>
        <v>14.7535496571866</v>
      </c>
      <c r="G34" s="94">
        <f>'10 Yr Pipe Capacity'!M26</f>
        <v>18</v>
      </c>
      <c r="H34" s="109">
        <f t="shared" si="2"/>
        <v>1.7671458676442586</v>
      </c>
      <c r="I34" s="110">
        <v>1.2999999999999999E-2</v>
      </c>
      <c r="J34" s="112">
        <f>VLOOKUP(G34,'Pipe Properties'!$A$2:$D$12,4,0)</f>
        <v>0.37579617834394907</v>
      </c>
      <c r="K34" s="95">
        <f>'10 Yr Pipe Capacity'!T26</f>
        <v>1.962110960757775E-2</v>
      </c>
      <c r="L34" s="96">
        <f t="shared" si="3"/>
        <v>1.3480096391359705E-3</v>
      </c>
      <c r="M34" s="96">
        <f t="shared" si="4"/>
        <v>1.9687494270240892E-2</v>
      </c>
      <c r="N34" s="109">
        <f>'10 Yr Pipe Capacity'!U26</f>
        <v>7.3481564822188528</v>
      </c>
      <c r="O34" s="109">
        <f>'10 Yr Pipe Capacity'!V26</f>
        <v>8.3488083180450943</v>
      </c>
      <c r="P34" s="114">
        <f>'10 Yr Pipe Capacity'!S26</f>
        <v>29.56</v>
      </c>
      <c r="Q34" s="97">
        <f t="shared" si="23"/>
        <v>1.5</v>
      </c>
      <c r="R34" s="104">
        <f t="shared" si="22"/>
        <v>3.9847164932859287E-2</v>
      </c>
      <c r="S34" s="104">
        <f t="shared" si="13"/>
        <v>2.9531241405361338E-2</v>
      </c>
      <c r="T34" s="134">
        <v>0</v>
      </c>
      <c r="U34" s="126">
        <f>VLOOKUP(T34,'Kb Values MoCo'!$A$2:$D$92,2,FALSE)</f>
        <v>0.5</v>
      </c>
      <c r="V34" s="104">
        <f t="shared" ref="V34:V54" si="27">(U34*N34*N34)/64.4</f>
        <v>0.41921897272651348</v>
      </c>
      <c r="W34" s="113">
        <f t="shared" si="14"/>
        <v>0.54116925723182407</v>
      </c>
      <c r="X34" s="98" t="e">
        <f>VLOOKUP(D34,'10 Yr Pipe Capacity'!B26:Q45,17,FALSE)</f>
        <v>#REF!</v>
      </c>
      <c r="Y34" s="134" t="e">
        <f t="shared" ref="Y34:Y55" si="28">X34+G34/12</f>
        <v>#REF!</v>
      </c>
      <c r="Z34" s="98"/>
      <c r="AA34" s="99" t="e">
        <f t="shared" si="20"/>
        <v>#REF!</v>
      </c>
      <c r="AB34" s="98">
        <f>VLOOKUP(D34,'10 Yr Pipe Capacity'!B26:Q45,16,FALSE)</f>
        <v>71.41</v>
      </c>
      <c r="AC34" s="98">
        <f t="shared" si="17"/>
        <v>72.91</v>
      </c>
      <c r="AD34" s="98" t="e">
        <f t="shared" si="18"/>
        <v>#REF!</v>
      </c>
      <c r="AE34" s="99" t="e">
        <f t="shared" si="10"/>
        <v>#REF!</v>
      </c>
      <c r="AF34" s="98" t="e">
        <f t="shared" si="11"/>
        <v>#REF!</v>
      </c>
      <c r="AG34" s="98">
        <f>'10 Yr Pipe Capacity'!R26</f>
        <v>313.37</v>
      </c>
      <c r="AH34" s="115" t="e">
        <f t="shared" si="19"/>
        <v>#REF!</v>
      </c>
      <c r="AI34" s="104" t="e">
        <f t="shared" si="1"/>
        <v>#REF!</v>
      </c>
      <c r="AJ34" s="100"/>
      <c r="AK34" s="104"/>
      <c r="AL34" s="104"/>
      <c r="AM34" s="104"/>
      <c r="AN34" s="104"/>
      <c r="AO34" s="104"/>
      <c r="AP34" s="105" t="s">
        <v>202</v>
      </c>
    </row>
    <row r="35" spans="2:42" ht="13.15">
      <c r="B35" s="106"/>
      <c r="C35" s="249" t="str">
        <f>'10 Yr Pipe Capacity'!A27</f>
        <v>I-4</v>
      </c>
      <c r="D35" s="249" t="str">
        <f>'10 Yr Pipe Capacity'!B27</f>
        <v>CULVERT</v>
      </c>
      <c r="E35" s="93">
        <f>'10 Yr Pipe Capacity'!L27</f>
        <v>4.3967569676308544</v>
      </c>
      <c r="F35" s="93">
        <f>'10 Yr Pipe Capacity'!X27</f>
        <v>10.607290977742158</v>
      </c>
      <c r="G35" s="94">
        <f>'10 Yr Pipe Capacity'!M27</f>
        <v>18</v>
      </c>
      <c r="H35" s="109">
        <f t="shared" si="2"/>
        <v>1.7671458676442586</v>
      </c>
      <c r="I35" s="110">
        <v>1.2999999999999999E-2</v>
      </c>
      <c r="J35" s="112">
        <f>VLOOKUP(G35,'Pipe Properties'!$A$2:$D$12,4,0)</f>
        <v>0.37579617834394907</v>
      </c>
      <c r="K35" s="95">
        <f>'10 Yr Pipe Capacity'!T27</f>
        <v>1.014237078303909E-2</v>
      </c>
      <c r="L35" s="96">
        <f t="shared" si="3"/>
        <v>1.7484866478510675E-3</v>
      </c>
      <c r="M35" s="96">
        <f t="shared" si="4"/>
        <v>1.0176685756886267E-2</v>
      </c>
      <c r="N35" s="109">
        <f>'10 Yr Pipe Capacity'!U27</f>
        <v>5.8717374033531717</v>
      </c>
      <c r="O35" s="109">
        <f>'10 Yr Pipe Capacity'!V27</f>
        <v>6.0025038858198316</v>
      </c>
      <c r="P35" s="114">
        <f>'10 Yr Pipe Capacity'!S27</f>
        <v>32.31</v>
      </c>
      <c r="Q35" s="97">
        <f t="shared" si="23"/>
        <v>1.5</v>
      </c>
      <c r="R35" s="104">
        <f t="shared" si="22"/>
        <v>5.6493603592067995E-2</v>
      </c>
      <c r="S35" s="104">
        <f t="shared" si="13"/>
        <v>1.52650286353294E-2</v>
      </c>
      <c r="T35" s="134">
        <v>4</v>
      </c>
      <c r="U35" s="126">
        <f>VLOOKUP(T35,'Kb Values MoCo'!$A$2:$D$92,2,FALSE)</f>
        <v>0.54</v>
      </c>
      <c r="V35" s="104">
        <f t="shared" si="27"/>
        <v>0.28909537379387867</v>
      </c>
      <c r="W35" s="113">
        <f t="shared" si="14"/>
        <v>0.3021153503977077</v>
      </c>
      <c r="X35" s="98" t="e">
        <f>VLOOKUP(D35,'10 Yr Pipe Capacity'!B27:Q46,17,FALSE)</f>
        <v>#REF!</v>
      </c>
      <c r="Y35" s="134" t="e">
        <f t="shared" si="28"/>
        <v>#REF!</v>
      </c>
      <c r="Z35" s="98"/>
      <c r="AA35" s="99" t="e">
        <f t="shared" si="20"/>
        <v>#REF!</v>
      </c>
      <c r="AB35" s="98">
        <f>VLOOKUP(D35,'10 Yr Pipe Capacity'!B27:Q46,16,FALSE)</f>
        <v>71.040000000000006</v>
      </c>
      <c r="AC35" s="98">
        <f t="shared" si="17"/>
        <v>72.540000000000006</v>
      </c>
      <c r="AD35" s="98" t="e">
        <f t="shared" si="18"/>
        <v>#REF!</v>
      </c>
      <c r="AE35" s="99" t="e">
        <f t="shared" si="10"/>
        <v>#REF!</v>
      </c>
      <c r="AF35" s="98" t="e">
        <f t="shared" si="11"/>
        <v>#REF!</v>
      </c>
      <c r="AG35" s="98">
        <f>'10 Yr Pipe Capacity'!R27</f>
        <v>308.27</v>
      </c>
      <c r="AH35" s="115" t="e">
        <f t="shared" si="19"/>
        <v>#REF!</v>
      </c>
      <c r="AI35" s="104" t="e">
        <f t="shared" si="1"/>
        <v>#REF!</v>
      </c>
      <c r="AJ35" s="100"/>
      <c r="AK35" s="104"/>
      <c r="AL35" s="104"/>
      <c r="AM35" s="104"/>
      <c r="AN35" s="104"/>
      <c r="AO35" s="104"/>
      <c r="AP35" s="105" t="s">
        <v>202</v>
      </c>
    </row>
    <row r="36" spans="2:42" ht="13.15">
      <c r="B36" s="106"/>
      <c r="C36" s="249"/>
      <c r="D36" s="249"/>
      <c r="E36" s="93"/>
      <c r="F36" s="93"/>
      <c r="G36" s="94"/>
      <c r="H36" s="109"/>
      <c r="I36" s="110"/>
      <c r="J36" s="112"/>
      <c r="K36" s="95"/>
      <c r="L36" s="96"/>
      <c r="M36" s="96"/>
      <c r="N36" s="109"/>
      <c r="O36" s="109"/>
      <c r="P36" s="114"/>
      <c r="Q36" s="97"/>
      <c r="R36" s="104"/>
      <c r="S36" s="104"/>
      <c r="T36" s="134"/>
      <c r="U36" s="126"/>
      <c r="V36" s="104"/>
      <c r="W36" s="113"/>
      <c r="X36" s="98"/>
      <c r="Y36" s="134"/>
      <c r="Z36" s="98"/>
      <c r="AA36" s="99"/>
      <c r="AB36" s="98"/>
      <c r="AC36" s="98"/>
      <c r="AD36" s="98"/>
      <c r="AE36" s="99"/>
      <c r="AF36" s="98"/>
      <c r="AG36" s="98"/>
      <c r="AH36" s="115"/>
      <c r="AI36" s="104"/>
      <c r="AJ36" s="100"/>
      <c r="AK36" s="104"/>
      <c r="AL36" s="104"/>
      <c r="AM36" s="104"/>
      <c r="AN36" s="104"/>
      <c r="AO36" s="104"/>
      <c r="AP36" s="105"/>
    </row>
    <row r="37" spans="2:42" ht="13.15">
      <c r="B37" s="106"/>
      <c r="C37" s="249" t="e">
        <f>'10 Yr Pipe Capacity'!#REF!</f>
        <v>#REF!</v>
      </c>
      <c r="D37" s="249" t="e">
        <f>'10 Yr Pipe Capacity'!#REF!</f>
        <v>#REF!</v>
      </c>
      <c r="E37" s="93" t="e">
        <f>'10 Yr Pipe Capacity'!#REF!</f>
        <v>#REF!</v>
      </c>
      <c r="F37" s="93" t="e">
        <f>'10 Yr Pipe Capacity'!#REF!</f>
        <v>#REF!</v>
      </c>
      <c r="G37" s="94" t="e">
        <f>'10 Yr Pipe Capacity'!#REF!</f>
        <v>#REF!</v>
      </c>
      <c r="H37" s="109" t="e">
        <f t="shared" si="2"/>
        <v>#REF!</v>
      </c>
      <c r="I37" s="110">
        <v>1.2999999999999999E-2</v>
      </c>
      <c r="J37" s="112" t="e">
        <f>VLOOKUP(G37,'Pipe Properties'!$A$2:$D$12,4,0)</f>
        <v>#REF!</v>
      </c>
      <c r="K37" s="95" t="e">
        <f>'10 Yr Pipe Capacity'!#REF!</f>
        <v>#REF!</v>
      </c>
      <c r="L37" s="96" t="e">
        <f t="shared" si="3"/>
        <v>#REF!</v>
      </c>
      <c r="M37" s="96" t="e">
        <f t="shared" si="4"/>
        <v>#REF!</v>
      </c>
      <c r="N37" s="109" t="e">
        <f>'10 Yr Pipe Capacity'!#REF!</f>
        <v>#REF!</v>
      </c>
      <c r="O37" s="109" t="e">
        <f>'10 Yr Pipe Capacity'!#REF!</f>
        <v>#REF!</v>
      </c>
      <c r="P37" s="114" t="e">
        <f>'10 Yr Pipe Capacity'!#REF!</f>
        <v>#REF!</v>
      </c>
      <c r="Q37" s="97" t="e">
        <f t="shared" si="23"/>
        <v>#REF!</v>
      </c>
      <c r="R37" s="104" t="e">
        <f t="shared" si="22"/>
        <v>#REF!</v>
      </c>
      <c r="S37" s="104" t="e">
        <f t="shared" si="13"/>
        <v>#REF!</v>
      </c>
      <c r="T37" s="134">
        <v>0</v>
      </c>
      <c r="U37" s="126">
        <f>VLOOKUP(T37,'Kb Values MoCo'!$A$2:$D$92,3,FALSE)</f>
        <v>0.15</v>
      </c>
      <c r="V37" s="104" t="e">
        <f t="shared" si="27"/>
        <v>#REF!</v>
      </c>
      <c r="W37" s="113" t="e">
        <f t="shared" si="14"/>
        <v>#REF!</v>
      </c>
      <c r="X37" s="98" t="e">
        <f>VLOOKUP(D37,'10 Yr Pipe Capacity'!B29:Q48,17,FALSE)</f>
        <v>#REF!</v>
      </c>
      <c r="Y37" s="134" t="e">
        <f t="shared" si="28"/>
        <v>#REF!</v>
      </c>
      <c r="Z37" s="98"/>
      <c r="AA37" s="99" t="e">
        <f t="shared" ref="AA37" si="29">IF(Z37&gt;Y37,Z37,Y37)</f>
        <v>#REF!</v>
      </c>
      <c r="AB37" s="98" t="e">
        <f>VLOOKUP(D37,'10 Yr Pipe Capacity'!B29:Q48,16,FALSE)</f>
        <v>#REF!</v>
      </c>
      <c r="AC37" s="98" t="e">
        <f t="shared" si="17"/>
        <v>#REF!</v>
      </c>
      <c r="AD37" s="98" t="e">
        <f t="shared" si="18"/>
        <v>#REF!</v>
      </c>
      <c r="AE37" s="99" t="e">
        <f t="shared" si="10"/>
        <v>#REF!</v>
      </c>
      <c r="AF37" s="98" t="e">
        <f t="shared" si="11"/>
        <v>#REF!</v>
      </c>
      <c r="AG37" s="98" t="e">
        <f>'10 Yr Pipe Capacity'!#REF!</f>
        <v>#REF!</v>
      </c>
      <c r="AH37" s="115" t="e">
        <f t="shared" si="19"/>
        <v>#REF!</v>
      </c>
      <c r="AI37" s="104" t="e">
        <f t="shared" si="1"/>
        <v>#REF!</v>
      </c>
      <c r="AJ37" s="100"/>
      <c r="AK37" s="104"/>
      <c r="AL37" s="104"/>
      <c r="AM37" s="104"/>
      <c r="AN37" s="104"/>
      <c r="AO37" s="104"/>
      <c r="AP37" s="105" t="s">
        <v>202</v>
      </c>
    </row>
    <row r="38" spans="2:42" ht="13.15">
      <c r="B38" s="106"/>
      <c r="C38" s="249" t="e">
        <f>'10 Yr Pipe Capacity'!#REF!</f>
        <v>#REF!</v>
      </c>
      <c r="D38" s="249" t="e">
        <f>'10 Yr Pipe Capacity'!#REF!</f>
        <v>#REF!</v>
      </c>
      <c r="E38" s="93" t="e">
        <f>'10 Yr Pipe Capacity'!#REF!</f>
        <v>#REF!</v>
      </c>
      <c r="F38" s="93" t="e">
        <f>'10 Yr Pipe Capacity'!#REF!</f>
        <v>#REF!</v>
      </c>
      <c r="G38" s="94" t="e">
        <f>'10 Yr Pipe Capacity'!#REF!</f>
        <v>#REF!</v>
      </c>
      <c r="H38" s="109" t="e">
        <f t="shared" si="2"/>
        <v>#REF!</v>
      </c>
      <c r="I38" s="110">
        <v>1.2999999999999999E-2</v>
      </c>
      <c r="J38" s="112" t="e">
        <f>VLOOKUP(G38,'Pipe Properties'!$A$2:$D$12,4,0)</f>
        <v>#REF!</v>
      </c>
      <c r="K38" s="95" t="e">
        <f>'10 Yr Pipe Capacity'!#REF!</f>
        <v>#REF!</v>
      </c>
      <c r="L38" s="96" t="e">
        <f t="shared" si="3"/>
        <v>#REF!</v>
      </c>
      <c r="M38" s="96" t="e">
        <f t="shared" si="4"/>
        <v>#REF!</v>
      </c>
      <c r="N38" s="109" t="e">
        <f>'10 Yr Pipe Capacity'!#REF!</f>
        <v>#REF!</v>
      </c>
      <c r="O38" s="109" t="e">
        <f>'10 Yr Pipe Capacity'!#REF!</f>
        <v>#REF!</v>
      </c>
      <c r="P38" s="114" t="e">
        <f>'10 Yr Pipe Capacity'!#REF!</f>
        <v>#REF!</v>
      </c>
      <c r="Q38" s="97" t="e">
        <f t="shared" si="23"/>
        <v>#REF!</v>
      </c>
      <c r="R38" s="104" t="e">
        <f t="shared" si="22"/>
        <v>#REF!</v>
      </c>
      <c r="S38" s="104" t="e">
        <f t="shared" si="13"/>
        <v>#REF!</v>
      </c>
      <c r="T38" s="134">
        <v>89</v>
      </c>
      <c r="U38" s="126">
        <f>VLOOKUP(T38,'Kb Values MoCo'!$A$2:$D$92,3,FALSE)</f>
        <v>0.99</v>
      </c>
      <c r="V38" s="104" t="e">
        <f t="shared" si="27"/>
        <v>#REF!</v>
      </c>
      <c r="W38" s="113" t="e">
        <f t="shared" si="14"/>
        <v>#REF!</v>
      </c>
      <c r="X38" s="98" t="e">
        <f>VLOOKUP(D38,'10 Yr Pipe Capacity'!B29:Q49,17,FALSE)</f>
        <v>#REF!</v>
      </c>
      <c r="Y38" s="134" t="e">
        <f t="shared" si="28"/>
        <v>#REF!</v>
      </c>
      <c r="Z38" s="98"/>
      <c r="AA38" s="99" t="e">
        <f t="shared" si="20"/>
        <v>#REF!</v>
      </c>
      <c r="AB38" s="98" t="e">
        <f>VLOOKUP(D38,'10 Yr Pipe Capacity'!B29:Q49,16,FALSE)</f>
        <v>#REF!</v>
      </c>
      <c r="AC38" s="98" t="e">
        <f t="shared" si="17"/>
        <v>#REF!</v>
      </c>
      <c r="AD38" s="98" t="e">
        <f t="shared" si="18"/>
        <v>#REF!</v>
      </c>
      <c r="AE38" s="99" t="e">
        <f t="shared" si="10"/>
        <v>#REF!</v>
      </c>
      <c r="AF38" s="98" t="e">
        <f t="shared" si="11"/>
        <v>#REF!</v>
      </c>
      <c r="AG38" s="98" t="e">
        <f>'10 Yr Pipe Capacity'!#REF!</f>
        <v>#REF!</v>
      </c>
      <c r="AH38" s="115" t="e">
        <f t="shared" si="19"/>
        <v>#REF!</v>
      </c>
      <c r="AI38" s="104" t="e">
        <f t="shared" si="1"/>
        <v>#REF!</v>
      </c>
      <c r="AJ38" s="100"/>
      <c r="AK38" s="104"/>
      <c r="AL38" s="104"/>
      <c r="AM38" s="104"/>
      <c r="AN38" s="104"/>
      <c r="AO38" s="104"/>
      <c r="AP38" s="105" t="s">
        <v>202</v>
      </c>
    </row>
    <row r="39" spans="2:42" ht="13.15">
      <c r="B39" s="106"/>
      <c r="C39" s="249" t="e">
        <f>'10 Yr Pipe Capacity'!#REF!</f>
        <v>#REF!</v>
      </c>
      <c r="D39" s="249" t="e">
        <f>'10 Yr Pipe Capacity'!#REF!</f>
        <v>#REF!</v>
      </c>
      <c r="E39" s="93" t="e">
        <f>'10 Yr Pipe Capacity'!#REF!</f>
        <v>#REF!</v>
      </c>
      <c r="F39" s="93" t="e">
        <f>'10 Yr Pipe Capacity'!#REF!</f>
        <v>#REF!</v>
      </c>
      <c r="G39" s="94" t="e">
        <f>'10 Yr Pipe Capacity'!#REF!</f>
        <v>#REF!</v>
      </c>
      <c r="H39" s="109" t="e">
        <f t="shared" si="2"/>
        <v>#REF!</v>
      </c>
      <c r="I39" s="110">
        <v>1.2999999999999999E-2</v>
      </c>
      <c r="J39" s="112" t="e">
        <f>VLOOKUP(G39,'Pipe Properties'!$A$2:$D$12,4,0)</f>
        <v>#REF!</v>
      </c>
      <c r="K39" s="95" t="e">
        <f>'10 Yr Pipe Capacity'!#REF!</f>
        <v>#REF!</v>
      </c>
      <c r="L39" s="96" t="e">
        <f t="shared" si="3"/>
        <v>#REF!</v>
      </c>
      <c r="M39" s="96" t="e">
        <f t="shared" si="4"/>
        <v>#REF!</v>
      </c>
      <c r="N39" s="109" t="e">
        <f>'10 Yr Pipe Capacity'!#REF!</f>
        <v>#REF!</v>
      </c>
      <c r="O39" s="109" t="e">
        <f>'10 Yr Pipe Capacity'!#REF!</f>
        <v>#REF!</v>
      </c>
      <c r="P39" s="114" t="e">
        <f>'10 Yr Pipe Capacity'!#REF!</f>
        <v>#REF!</v>
      </c>
      <c r="Q39" s="97" t="e">
        <f t="shared" si="23"/>
        <v>#REF!</v>
      </c>
      <c r="R39" s="104" t="e">
        <f t="shared" si="22"/>
        <v>#REF!</v>
      </c>
      <c r="S39" s="104" t="e">
        <f t="shared" si="13"/>
        <v>#REF!</v>
      </c>
      <c r="T39" s="134">
        <v>90</v>
      </c>
      <c r="U39" s="126">
        <f>VLOOKUP(T39,'Kb Values MoCo'!$A$2:$D$92,3,FALSE)</f>
        <v>1</v>
      </c>
      <c r="V39" s="104" t="e">
        <f t="shared" si="27"/>
        <v>#REF!</v>
      </c>
      <c r="W39" s="113" t="e">
        <f t="shared" si="14"/>
        <v>#REF!</v>
      </c>
      <c r="X39" s="98" t="e">
        <f>VLOOKUP(D39,'10 Yr Pipe Capacity'!B29:Q50,17,FALSE)</f>
        <v>#REF!</v>
      </c>
      <c r="Y39" s="134" t="e">
        <f t="shared" si="28"/>
        <v>#REF!</v>
      </c>
      <c r="Z39" s="98"/>
      <c r="AA39" s="99" t="e">
        <f t="shared" si="20"/>
        <v>#REF!</v>
      </c>
      <c r="AB39" s="98" t="e">
        <f>VLOOKUP(D39,'10 Yr Pipe Capacity'!B29:Q50,16,FALSE)</f>
        <v>#REF!</v>
      </c>
      <c r="AC39" s="98" t="e">
        <f t="shared" si="17"/>
        <v>#REF!</v>
      </c>
      <c r="AD39" s="98" t="e">
        <f t="shared" si="18"/>
        <v>#REF!</v>
      </c>
      <c r="AE39" s="99" t="e">
        <f t="shared" si="10"/>
        <v>#REF!</v>
      </c>
      <c r="AF39" s="98" t="e">
        <f t="shared" si="11"/>
        <v>#REF!</v>
      </c>
      <c r="AG39" s="98" t="e">
        <f>'10 Yr Pipe Capacity'!#REF!</f>
        <v>#REF!</v>
      </c>
      <c r="AH39" s="115" t="e">
        <f t="shared" si="19"/>
        <v>#REF!</v>
      </c>
      <c r="AI39" s="104" t="e">
        <f t="shared" si="1"/>
        <v>#REF!</v>
      </c>
      <c r="AJ39" s="100"/>
      <c r="AK39" s="104"/>
      <c r="AL39" s="104"/>
      <c r="AM39" s="104"/>
      <c r="AN39" s="104"/>
      <c r="AO39" s="104"/>
      <c r="AP39" s="105" t="s">
        <v>202</v>
      </c>
    </row>
    <row r="40" spans="2:42" ht="13.15">
      <c r="B40" s="106"/>
      <c r="C40" s="249" t="e">
        <f>'10 Yr Pipe Capacity'!#REF!</f>
        <v>#REF!</v>
      </c>
      <c r="D40" s="249" t="e">
        <f>'10 Yr Pipe Capacity'!#REF!</f>
        <v>#REF!</v>
      </c>
      <c r="E40" s="93" t="e">
        <f>'10 Yr Pipe Capacity'!#REF!</f>
        <v>#REF!</v>
      </c>
      <c r="F40" s="93" t="e">
        <f>'10 Yr Pipe Capacity'!#REF!</f>
        <v>#REF!</v>
      </c>
      <c r="G40" s="94" t="e">
        <f>'10 Yr Pipe Capacity'!#REF!</f>
        <v>#REF!</v>
      </c>
      <c r="H40" s="109" t="e">
        <f t="shared" si="2"/>
        <v>#REF!</v>
      </c>
      <c r="I40" s="110">
        <v>1.2999999999999999E-2</v>
      </c>
      <c r="J40" s="112" t="e">
        <f>VLOOKUP(G40,'Pipe Properties'!$A$2:$D$12,4,0)</f>
        <v>#REF!</v>
      </c>
      <c r="K40" s="95" t="e">
        <f>'10 Yr Pipe Capacity'!#REF!</f>
        <v>#REF!</v>
      </c>
      <c r="L40" s="96" t="e">
        <f t="shared" si="3"/>
        <v>#REF!</v>
      </c>
      <c r="M40" s="96" t="e">
        <f t="shared" si="4"/>
        <v>#REF!</v>
      </c>
      <c r="N40" s="109" t="e">
        <f>'10 Yr Pipe Capacity'!#REF!</f>
        <v>#REF!</v>
      </c>
      <c r="O40" s="109" t="e">
        <f>'10 Yr Pipe Capacity'!#REF!</f>
        <v>#REF!</v>
      </c>
      <c r="P40" s="114" t="e">
        <f>'10 Yr Pipe Capacity'!#REF!</f>
        <v>#REF!</v>
      </c>
      <c r="Q40" s="97" t="e">
        <f t="shared" si="23"/>
        <v>#REF!</v>
      </c>
      <c r="R40" s="104" t="e">
        <f t="shared" si="22"/>
        <v>#REF!</v>
      </c>
      <c r="S40" s="104" t="e">
        <f t="shared" si="13"/>
        <v>#REF!</v>
      </c>
      <c r="T40" s="134">
        <v>69</v>
      </c>
      <c r="U40" s="126">
        <f>VLOOKUP(T40,'Kb Values MoCo'!$A$2:$D$92,3,FALSE)</f>
        <v>0.89</v>
      </c>
      <c r="V40" s="104" t="e">
        <f t="shared" si="27"/>
        <v>#REF!</v>
      </c>
      <c r="W40" s="113" t="e">
        <f t="shared" si="14"/>
        <v>#REF!</v>
      </c>
      <c r="X40" s="98" t="e">
        <f>VLOOKUP(D40,'10 Yr Pipe Capacity'!B29:Q51,17,FALSE)</f>
        <v>#REF!</v>
      </c>
      <c r="Y40" s="134" t="e">
        <f t="shared" si="28"/>
        <v>#REF!</v>
      </c>
      <c r="Z40" s="98"/>
      <c r="AA40" s="99" t="e">
        <f t="shared" si="20"/>
        <v>#REF!</v>
      </c>
      <c r="AB40" s="98" t="e">
        <f>VLOOKUP(D40,'10 Yr Pipe Capacity'!B29:Q51,16,FALSE)</f>
        <v>#REF!</v>
      </c>
      <c r="AC40" s="98" t="e">
        <f t="shared" si="17"/>
        <v>#REF!</v>
      </c>
      <c r="AD40" s="98" t="e">
        <f t="shared" si="18"/>
        <v>#REF!</v>
      </c>
      <c r="AE40" s="99" t="e">
        <f t="shared" si="10"/>
        <v>#REF!</v>
      </c>
      <c r="AF40" s="98" t="e">
        <f t="shared" si="11"/>
        <v>#REF!</v>
      </c>
      <c r="AG40" s="98" t="e">
        <f>'10 Yr Pipe Capacity'!#REF!</f>
        <v>#REF!</v>
      </c>
      <c r="AH40" s="115" t="e">
        <f t="shared" si="19"/>
        <v>#REF!</v>
      </c>
      <c r="AI40" s="104" t="e">
        <f t="shared" si="1"/>
        <v>#REF!</v>
      </c>
      <c r="AJ40" s="100"/>
      <c r="AK40" s="104"/>
      <c r="AL40" s="104"/>
      <c r="AM40" s="104"/>
      <c r="AN40" s="104"/>
      <c r="AO40" s="104"/>
      <c r="AP40" s="105"/>
    </row>
    <row r="41" spans="2:42" ht="13.15">
      <c r="B41" s="106"/>
      <c r="C41" s="249" t="e">
        <f>'10 Yr Pipe Capacity'!#REF!</f>
        <v>#REF!</v>
      </c>
      <c r="D41" s="249" t="e">
        <f>'10 Yr Pipe Capacity'!#REF!</f>
        <v>#REF!</v>
      </c>
      <c r="E41" s="93" t="e">
        <f>'10 Yr Pipe Capacity'!#REF!</f>
        <v>#REF!</v>
      </c>
      <c r="F41" s="93" t="e">
        <f>'10 Yr Pipe Capacity'!#REF!</f>
        <v>#REF!</v>
      </c>
      <c r="G41" s="94" t="e">
        <f>'10 Yr Pipe Capacity'!#REF!</f>
        <v>#REF!</v>
      </c>
      <c r="H41" s="109" t="e">
        <f t="shared" si="2"/>
        <v>#REF!</v>
      </c>
      <c r="I41" s="110">
        <v>1.2999999999999999E-2</v>
      </c>
      <c r="J41" s="112" t="e">
        <f>VLOOKUP(G41,'Pipe Properties'!$A$2:$D$12,4,0)</f>
        <v>#REF!</v>
      </c>
      <c r="K41" s="95" t="e">
        <f>'10 Yr Pipe Capacity'!#REF!</f>
        <v>#REF!</v>
      </c>
      <c r="L41" s="96" t="e">
        <f t="shared" si="3"/>
        <v>#REF!</v>
      </c>
      <c r="M41" s="96" t="e">
        <f t="shared" si="4"/>
        <v>#REF!</v>
      </c>
      <c r="N41" s="109" t="e">
        <f>'10 Yr Pipe Capacity'!#REF!</f>
        <v>#REF!</v>
      </c>
      <c r="O41" s="109" t="e">
        <f>'10 Yr Pipe Capacity'!#REF!</f>
        <v>#REF!</v>
      </c>
      <c r="P41" s="114" t="e">
        <f>'10 Yr Pipe Capacity'!#REF!</f>
        <v>#REF!</v>
      </c>
      <c r="Q41" s="97" t="e">
        <f t="shared" si="23"/>
        <v>#REF!</v>
      </c>
      <c r="R41" s="104" t="e">
        <f t="shared" si="22"/>
        <v>#REF!</v>
      </c>
      <c r="S41" s="104" t="e">
        <f t="shared" si="13"/>
        <v>#REF!</v>
      </c>
      <c r="T41" s="134">
        <v>74</v>
      </c>
      <c r="U41" s="126">
        <f>VLOOKUP(T41,'Kb Values MoCo'!$A$2:$D$92,3,FALSE)</f>
        <v>0.92</v>
      </c>
      <c r="V41" s="104" t="e">
        <f t="shared" si="27"/>
        <v>#REF!</v>
      </c>
      <c r="W41" s="113" t="e">
        <f t="shared" si="14"/>
        <v>#REF!</v>
      </c>
      <c r="X41" s="98" t="e">
        <f>VLOOKUP(D41,'10 Yr Pipe Capacity'!B29:Q52,17,FALSE)</f>
        <v>#REF!</v>
      </c>
      <c r="Y41" s="134" t="e">
        <f t="shared" si="28"/>
        <v>#REF!</v>
      </c>
      <c r="Z41" s="98"/>
      <c r="AA41" s="99" t="e">
        <f t="shared" si="20"/>
        <v>#REF!</v>
      </c>
      <c r="AB41" s="98" t="e">
        <f>VLOOKUP(D41,'10 Yr Pipe Capacity'!B29:Q52,16,FALSE)</f>
        <v>#REF!</v>
      </c>
      <c r="AC41" s="98" t="e">
        <f t="shared" si="17"/>
        <v>#REF!</v>
      </c>
      <c r="AD41" s="98" t="e">
        <f t="shared" si="18"/>
        <v>#REF!</v>
      </c>
      <c r="AE41" s="99" t="e">
        <f t="shared" si="10"/>
        <v>#REF!</v>
      </c>
      <c r="AF41" s="98" t="e">
        <f t="shared" si="11"/>
        <v>#REF!</v>
      </c>
      <c r="AG41" s="98" t="e">
        <f>'10 Yr Pipe Capacity'!#REF!</f>
        <v>#REF!</v>
      </c>
      <c r="AH41" s="115" t="e">
        <f t="shared" si="19"/>
        <v>#REF!</v>
      </c>
      <c r="AI41" s="104" t="e">
        <f t="shared" si="1"/>
        <v>#REF!</v>
      </c>
      <c r="AJ41" s="100"/>
      <c r="AK41" s="104"/>
      <c r="AL41" s="104"/>
      <c r="AM41" s="104"/>
      <c r="AN41" s="104"/>
      <c r="AO41" s="104"/>
      <c r="AP41" s="105" t="s">
        <v>202</v>
      </c>
    </row>
    <row r="42" spans="2:42" ht="13.15">
      <c r="B42" s="106"/>
      <c r="C42" s="249" t="e">
        <f>'10 Yr Pipe Capacity'!#REF!</f>
        <v>#REF!</v>
      </c>
      <c r="D42" s="249" t="e">
        <f>'10 Yr Pipe Capacity'!#REF!</f>
        <v>#REF!</v>
      </c>
      <c r="E42" s="93" t="e">
        <f>'10 Yr Pipe Capacity'!#REF!</f>
        <v>#REF!</v>
      </c>
      <c r="F42" s="93" t="e">
        <f>'10 Yr Pipe Capacity'!#REF!</f>
        <v>#REF!</v>
      </c>
      <c r="G42" s="94" t="e">
        <f>'10 Yr Pipe Capacity'!#REF!</f>
        <v>#REF!</v>
      </c>
      <c r="H42" s="109" t="e">
        <f t="shared" si="2"/>
        <v>#REF!</v>
      </c>
      <c r="I42" s="110">
        <v>1.2999999999999999E-2</v>
      </c>
      <c r="J42" s="112" t="e">
        <f>VLOOKUP(G42,'Pipe Properties'!$A$2:$D$12,4,0)</f>
        <v>#REF!</v>
      </c>
      <c r="K42" s="95" t="e">
        <f>'10 Yr Pipe Capacity'!#REF!</f>
        <v>#REF!</v>
      </c>
      <c r="L42" s="96" t="e">
        <f t="shared" si="3"/>
        <v>#REF!</v>
      </c>
      <c r="M42" s="96" t="e">
        <f t="shared" si="4"/>
        <v>#REF!</v>
      </c>
      <c r="N42" s="109" t="e">
        <f>'10 Yr Pipe Capacity'!#REF!</f>
        <v>#REF!</v>
      </c>
      <c r="O42" s="109" t="e">
        <f>'10 Yr Pipe Capacity'!#REF!</f>
        <v>#REF!</v>
      </c>
      <c r="P42" s="114" t="e">
        <f>'10 Yr Pipe Capacity'!#REF!</f>
        <v>#REF!</v>
      </c>
      <c r="Q42" s="97" t="e">
        <f t="shared" si="23"/>
        <v>#REF!</v>
      </c>
      <c r="R42" s="104" t="e">
        <f t="shared" si="22"/>
        <v>#REF!</v>
      </c>
      <c r="S42" s="104" t="e">
        <f t="shared" si="13"/>
        <v>#REF!</v>
      </c>
      <c r="T42" s="134">
        <v>48</v>
      </c>
      <c r="U42" s="126">
        <f>VLOOKUP(T42,'Kb Values MoCo'!$A$2:$D$92,3,FALSE)</f>
        <v>0.77</v>
      </c>
      <c r="V42" s="104" t="e">
        <f t="shared" si="27"/>
        <v>#REF!</v>
      </c>
      <c r="W42" s="113" t="e">
        <f t="shared" si="14"/>
        <v>#REF!</v>
      </c>
      <c r="X42" s="98" t="e">
        <f>VLOOKUP(D42,'10 Yr Pipe Capacity'!B29:Q53,17,FALSE)</f>
        <v>#REF!</v>
      </c>
      <c r="Y42" s="134" t="e">
        <f t="shared" si="28"/>
        <v>#REF!</v>
      </c>
      <c r="Z42" s="98"/>
      <c r="AA42" s="99" t="e">
        <f t="shared" ref="AA42" si="30">Y42</f>
        <v>#REF!</v>
      </c>
      <c r="AB42" s="98" t="e">
        <f>VLOOKUP(D42,'10 Yr Pipe Capacity'!B29:Q53,16,FALSE)</f>
        <v>#REF!</v>
      </c>
      <c r="AC42" s="98" t="e">
        <f t="shared" si="17"/>
        <v>#REF!</v>
      </c>
      <c r="AD42" s="98" t="e">
        <f t="shared" si="18"/>
        <v>#REF!</v>
      </c>
      <c r="AE42" s="99" t="e">
        <f t="shared" si="10"/>
        <v>#REF!</v>
      </c>
      <c r="AF42" s="98" t="e">
        <f t="shared" si="11"/>
        <v>#REF!</v>
      </c>
      <c r="AG42" s="98" t="e">
        <f>'10 Yr Pipe Capacity'!#REF!</f>
        <v>#REF!</v>
      </c>
      <c r="AH42" s="115" t="e">
        <f t="shared" si="19"/>
        <v>#REF!</v>
      </c>
      <c r="AI42" s="104" t="e">
        <f t="shared" si="1"/>
        <v>#REF!</v>
      </c>
      <c r="AJ42" s="100"/>
      <c r="AK42" s="104"/>
      <c r="AL42" s="104"/>
      <c r="AM42" s="104"/>
      <c r="AN42" s="104"/>
      <c r="AO42" s="104"/>
      <c r="AP42" s="105" t="s">
        <v>179</v>
      </c>
    </row>
    <row r="43" spans="2:42" ht="13.15">
      <c r="B43" s="106"/>
      <c r="C43" s="249" t="e">
        <f>'10 Yr Pipe Capacity'!#REF!</f>
        <v>#REF!</v>
      </c>
      <c r="D43" s="249" t="e">
        <f>'10 Yr Pipe Capacity'!#REF!</f>
        <v>#REF!</v>
      </c>
      <c r="E43" s="93" t="e">
        <f>'10 Yr Pipe Capacity'!#REF!</f>
        <v>#REF!</v>
      </c>
      <c r="F43" s="93" t="e">
        <f>'10 Yr Pipe Capacity'!#REF!</f>
        <v>#REF!</v>
      </c>
      <c r="G43" s="94" t="e">
        <f>'10 Yr Pipe Capacity'!#REF!</f>
        <v>#REF!</v>
      </c>
      <c r="H43" s="109" t="e">
        <f t="shared" si="2"/>
        <v>#REF!</v>
      </c>
      <c r="I43" s="110">
        <v>1.2999999999999999E-2</v>
      </c>
      <c r="J43" s="112" t="e">
        <f>VLOOKUP(G43,'Pipe Properties'!$A$2:$D$12,4,0)</f>
        <v>#REF!</v>
      </c>
      <c r="K43" s="95" t="e">
        <f>'10 Yr Pipe Capacity'!#REF!</f>
        <v>#REF!</v>
      </c>
      <c r="L43" s="96" t="e">
        <f t="shared" si="3"/>
        <v>#REF!</v>
      </c>
      <c r="M43" s="96" t="e">
        <f t="shared" si="4"/>
        <v>#REF!</v>
      </c>
      <c r="N43" s="109" t="e">
        <f>'10 Yr Pipe Capacity'!#REF!</f>
        <v>#REF!</v>
      </c>
      <c r="O43" s="109" t="e">
        <f>'10 Yr Pipe Capacity'!#REF!</f>
        <v>#REF!</v>
      </c>
      <c r="P43" s="114" t="e">
        <f>'10 Yr Pipe Capacity'!#REF!</f>
        <v>#REF!</v>
      </c>
      <c r="Q43" s="97" t="e">
        <f t="shared" si="23"/>
        <v>#REF!</v>
      </c>
      <c r="R43" s="104" t="e">
        <f t="shared" si="22"/>
        <v>#REF!</v>
      </c>
      <c r="S43" s="104" t="e">
        <f t="shared" si="13"/>
        <v>#REF!</v>
      </c>
      <c r="T43" s="134">
        <v>1</v>
      </c>
      <c r="U43" s="126">
        <f>VLOOKUP(T43,'Kb Values MoCo'!$A$2:$D$92,3,FALSE)</f>
        <v>0.16</v>
      </c>
      <c r="V43" s="104" t="e">
        <f t="shared" si="27"/>
        <v>#REF!</v>
      </c>
      <c r="W43" s="113" t="e">
        <f t="shared" si="14"/>
        <v>#REF!</v>
      </c>
      <c r="X43" s="98" t="e">
        <f>VLOOKUP(D43,'10 Yr Pipe Capacity'!B29:Q54,17,FALSE)</f>
        <v>#REF!</v>
      </c>
      <c r="Y43" s="134" t="e">
        <f t="shared" si="28"/>
        <v>#REF!</v>
      </c>
      <c r="Z43" s="98"/>
      <c r="AA43" s="99" t="e">
        <f t="shared" ref="AA43" si="31">IF(Z43&gt;Y43,Z43,Y43)</f>
        <v>#REF!</v>
      </c>
      <c r="AB43" s="98" t="e">
        <f>VLOOKUP(D43,'10 Yr Pipe Capacity'!B29:Q54,16,FALSE)</f>
        <v>#REF!</v>
      </c>
      <c r="AC43" s="98" t="e">
        <f t="shared" si="17"/>
        <v>#REF!</v>
      </c>
      <c r="AD43" s="98" t="e">
        <f t="shared" si="18"/>
        <v>#REF!</v>
      </c>
      <c r="AE43" s="99" t="e">
        <f t="shared" si="10"/>
        <v>#REF!</v>
      </c>
      <c r="AF43" s="98" t="e">
        <f t="shared" si="11"/>
        <v>#REF!</v>
      </c>
      <c r="AG43" s="98" t="e">
        <f>'10 Yr Pipe Capacity'!#REF!</f>
        <v>#REF!</v>
      </c>
      <c r="AH43" s="115" t="e">
        <f t="shared" si="19"/>
        <v>#REF!</v>
      </c>
      <c r="AI43" s="104" t="e">
        <f t="shared" si="1"/>
        <v>#REF!</v>
      </c>
      <c r="AJ43" s="100"/>
      <c r="AK43" s="104"/>
      <c r="AL43" s="104"/>
      <c r="AM43" s="104"/>
      <c r="AN43" s="104"/>
      <c r="AO43" s="104"/>
      <c r="AP43" s="105"/>
    </row>
    <row r="44" spans="2:42" ht="13.15">
      <c r="B44" s="106"/>
      <c r="C44" s="249" t="e">
        <f>'10 Yr Pipe Capacity'!#REF!</f>
        <v>#REF!</v>
      </c>
      <c r="D44" s="249" t="e">
        <f>'10 Yr Pipe Capacity'!#REF!</f>
        <v>#REF!</v>
      </c>
      <c r="E44" s="93" t="e">
        <f>'10 Yr Pipe Capacity'!#REF!</f>
        <v>#REF!</v>
      </c>
      <c r="F44" s="93" t="e">
        <f>'10 Yr Pipe Capacity'!#REF!</f>
        <v>#REF!</v>
      </c>
      <c r="G44" s="94" t="e">
        <f>'10 Yr Pipe Capacity'!#REF!</f>
        <v>#REF!</v>
      </c>
      <c r="H44" s="109" t="e">
        <f t="shared" si="2"/>
        <v>#REF!</v>
      </c>
      <c r="I44" s="110">
        <v>1.2999999999999999E-2</v>
      </c>
      <c r="J44" s="112" t="e">
        <f>VLOOKUP(G44,'Pipe Properties'!$A$2:$D$12,4,0)</f>
        <v>#REF!</v>
      </c>
      <c r="K44" s="95" t="e">
        <f>'10 Yr Pipe Capacity'!#REF!</f>
        <v>#REF!</v>
      </c>
      <c r="L44" s="96" t="e">
        <f t="shared" si="3"/>
        <v>#REF!</v>
      </c>
      <c r="M44" s="96" t="e">
        <f t="shared" si="4"/>
        <v>#REF!</v>
      </c>
      <c r="N44" s="109" t="e">
        <f>'10 Yr Pipe Capacity'!#REF!</f>
        <v>#REF!</v>
      </c>
      <c r="O44" s="109" t="e">
        <f>'10 Yr Pipe Capacity'!#REF!</f>
        <v>#REF!</v>
      </c>
      <c r="P44" s="114" t="e">
        <f>'10 Yr Pipe Capacity'!#REF!</f>
        <v>#REF!</v>
      </c>
      <c r="Q44" s="97" t="e">
        <f t="shared" si="23"/>
        <v>#REF!</v>
      </c>
      <c r="R44" s="104" t="e">
        <f t="shared" si="22"/>
        <v>#REF!</v>
      </c>
      <c r="S44" s="104" t="e">
        <f t="shared" si="13"/>
        <v>#REF!</v>
      </c>
      <c r="T44" s="134">
        <v>45</v>
      </c>
      <c r="U44" s="126">
        <f>VLOOKUP(T44,'Kb Values MoCo'!$A$2:$D$92,3,FALSE)</f>
        <v>0.75</v>
      </c>
      <c r="V44" s="104" t="e">
        <f t="shared" si="27"/>
        <v>#REF!</v>
      </c>
      <c r="W44" s="113" t="e">
        <f t="shared" si="14"/>
        <v>#REF!</v>
      </c>
      <c r="X44" s="98" t="e">
        <f>VLOOKUP(D44,'10 Yr Pipe Capacity'!B29:Q55,17,FALSE)</f>
        <v>#REF!</v>
      </c>
      <c r="Y44" s="134" t="e">
        <f t="shared" si="28"/>
        <v>#REF!</v>
      </c>
      <c r="Z44" s="98" t="e">
        <f>Y44</f>
        <v>#REF!</v>
      </c>
      <c r="AA44" s="99" t="e">
        <f t="shared" si="20"/>
        <v>#REF!</v>
      </c>
      <c r="AB44" s="98" t="e">
        <f>VLOOKUP(D44,'10 Yr Pipe Capacity'!B29:Q55,16,FALSE)</f>
        <v>#REF!</v>
      </c>
      <c r="AC44" s="98" t="e">
        <f t="shared" si="17"/>
        <v>#REF!</v>
      </c>
      <c r="AD44" s="98" t="e">
        <f>AA44+R44</f>
        <v>#REF!</v>
      </c>
      <c r="AE44" s="99" t="e">
        <f t="shared" si="10"/>
        <v>#REF!</v>
      </c>
      <c r="AF44" s="98" t="e">
        <f t="shared" si="11"/>
        <v>#REF!</v>
      </c>
      <c r="AG44" s="98" t="e">
        <f>'10 Yr Pipe Capacity'!#REF!</f>
        <v>#REF!</v>
      </c>
      <c r="AH44" s="115" t="e">
        <f t="shared" si="19"/>
        <v>#REF!</v>
      </c>
      <c r="AI44" s="104" t="e">
        <f t="shared" si="1"/>
        <v>#REF!</v>
      </c>
      <c r="AJ44" s="100"/>
      <c r="AK44" s="104"/>
      <c r="AL44" s="104"/>
      <c r="AM44" s="104"/>
      <c r="AN44" s="104"/>
      <c r="AO44" s="104"/>
      <c r="AP44" s="105"/>
    </row>
    <row r="45" spans="2:42" ht="13.15">
      <c r="B45" s="106"/>
      <c r="C45" s="249"/>
      <c r="D45" s="249"/>
      <c r="E45" s="93"/>
      <c r="F45" s="93"/>
      <c r="G45" s="94"/>
      <c r="H45" s="109"/>
      <c r="I45" s="110"/>
      <c r="J45" s="112"/>
      <c r="K45" s="95"/>
      <c r="L45" s="96"/>
      <c r="M45" s="96"/>
      <c r="N45" s="109"/>
      <c r="O45" s="109"/>
      <c r="P45" s="114"/>
      <c r="Q45" s="97"/>
      <c r="R45" s="104"/>
      <c r="S45" s="104"/>
      <c r="T45" s="134"/>
      <c r="U45" s="126"/>
      <c r="V45" s="104"/>
      <c r="W45" s="113"/>
      <c r="X45" s="98"/>
      <c r="Y45" s="134"/>
      <c r="Z45" s="98"/>
      <c r="AA45" s="99"/>
      <c r="AB45" s="98"/>
      <c r="AC45" s="98"/>
      <c r="AD45" s="98"/>
      <c r="AE45" s="99"/>
      <c r="AF45" s="98"/>
      <c r="AG45" s="98"/>
      <c r="AH45" s="115"/>
      <c r="AI45" s="104"/>
      <c r="AJ45" s="100"/>
      <c r="AK45" s="104"/>
      <c r="AL45" s="104"/>
      <c r="AM45" s="104"/>
      <c r="AN45" s="104"/>
      <c r="AO45" s="104"/>
      <c r="AP45" s="105"/>
    </row>
    <row r="46" spans="2:42" ht="13.15">
      <c r="B46" s="106"/>
      <c r="C46" s="249" t="e">
        <f>'10 Yr Pipe Capacity'!#REF!</f>
        <v>#REF!</v>
      </c>
      <c r="D46" s="249" t="e">
        <f>'10 Yr Pipe Capacity'!#REF!</f>
        <v>#REF!</v>
      </c>
      <c r="E46" s="93" t="e">
        <f>'10 Yr Pipe Capacity'!#REF!</f>
        <v>#REF!</v>
      </c>
      <c r="F46" s="93" t="e">
        <f>'10 Yr Pipe Capacity'!#REF!</f>
        <v>#REF!</v>
      </c>
      <c r="G46" s="94" t="e">
        <f>'10 Yr Pipe Capacity'!#REF!</f>
        <v>#REF!</v>
      </c>
      <c r="H46" s="109" t="e">
        <f t="shared" si="2"/>
        <v>#REF!</v>
      </c>
      <c r="I46" s="110">
        <v>1.2999999999999999E-2</v>
      </c>
      <c r="J46" s="112" t="e">
        <f>VLOOKUP(G46,'Pipe Properties'!$A$2:$D$16,4,0)</f>
        <v>#REF!</v>
      </c>
      <c r="K46" s="95" t="e">
        <f>'10 Yr Pipe Capacity'!#REF!</f>
        <v>#REF!</v>
      </c>
      <c r="L46" s="96" t="e">
        <f t="shared" si="3"/>
        <v>#REF!</v>
      </c>
      <c r="M46" s="96" t="e">
        <f>((F46*I46)/(0.463*((G46/12)^2.67)))^2</f>
        <v>#REF!</v>
      </c>
      <c r="N46" s="109" t="e">
        <f>'10 Yr Pipe Capacity'!#REF!</f>
        <v>#REF!</v>
      </c>
      <c r="O46" s="109" t="e">
        <f>'10 Yr Pipe Capacity'!#REF!</f>
        <v>#REF!</v>
      </c>
      <c r="P46" s="114" t="e">
        <f>'10 Yr Pipe Capacity'!#REF!</f>
        <v>#REF!</v>
      </c>
      <c r="Q46" s="97" t="e">
        <f t="shared" si="23"/>
        <v>#REF!</v>
      </c>
      <c r="R46" s="104" t="e">
        <f t="shared" si="22"/>
        <v>#REF!</v>
      </c>
      <c r="S46" s="104" t="e">
        <f t="shared" si="13"/>
        <v>#REF!</v>
      </c>
      <c r="T46" s="134">
        <v>60</v>
      </c>
      <c r="U46" s="126">
        <f>VLOOKUP(T46,'Kb Values MoCo'!$A$2:$D$92,3,FALSE)</f>
        <v>0.85</v>
      </c>
      <c r="V46" s="104" t="e">
        <f t="shared" si="27"/>
        <v>#REF!</v>
      </c>
      <c r="W46" s="113" t="e">
        <f t="shared" si="14"/>
        <v>#REF!</v>
      </c>
      <c r="X46" s="98" t="e">
        <f>VLOOKUP(D46,'10 Yr Pipe Capacity'!B29:Q57,17,FALSE)</f>
        <v>#REF!</v>
      </c>
      <c r="Y46" s="134" t="e">
        <f t="shared" si="28"/>
        <v>#REF!</v>
      </c>
      <c r="Z46" s="98"/>
      <c r="AA46" s="99" t="e">
        <f>IF(Z46&gt;Y46,Z46,Y46)</f>
        <v>#REF!</v>
      </c>
      <c r="AB46" s="98" t="e">
        <f>VLOOKUP(D46,'10 Yr Pipe Capacity'!B29:Q57,16,FALSE)</f>
        <v>#REF!</v>
      </c>
      <c r="AC46" s="98" t="e">
        <f t="shared" si="17"/>
        <v>#REF!</v>
      </c>
      <c r="AD46" s="98" t="e">
        <f t="shared" si="18"/>
        <v>#REF!</v>
      </c>
      <c r="AE46" s="99" t="e">
        <f t="shared" si="10"/>
        <v>#REF!</v>
      </c>
      <c r="AF46" s="98" t="e">
        <f t="shared" si="11"/>
        <v>#REF!</v>
      </c>
      <c r="AG46" s="98" t="e">
        <f>'10 Yr Pipe Capacity'!#REF!</f>
        <v>#REF!</v>
      </c>
      <c r="AH46" s="115" t="e">
        <f t="shared" si="19"/>
        <v>#REF!</v>
      </c>
      <c r="AI46" s="104" t="e">
        <f t="shared" si="1"/>
        <v>#REF!</v>
      </c>
      <c r="AJ46" s="100"/>
      <c r="AK46" s="104"/>
      <c r="AL46" s="104"/>
      <c r="AM46" s="104"/>
      <c r="AN46" s="104"/>
      <c r="AO46" s="104"/>
      <c r="AP46" s="105"/>
    </row>
    <row r="47" spans="2:42" ht="13.15">
      <c r="B47" s="106"/>
      <c r="C47" s="249"/>
      <c r="D47" s="249"/>
      <c r="E47" s="93"/>
      <c r="F47" s="93"/>
      <c r="G47" s="94"/>
      <c r="H47" s="109"/>
      <c r="I47" s="110"/>
      <c r="J47" s="112"/>
      <c r="K47" s="95"/>
      <c r="L47" s="96"/>
      <c r="M47" s="96"/>
      <c r="N47" s="109"/>
      <c r="O47" s="109"/>
      <c r="P47" s="114"/>
      <c r="Q47" s="97"/>
      <c r="R47" s="104"/>
      <c r="S47" s="104"/>
      <c r="T47" s="134"/>
      <c r="U47" s="126"/>
      <c r="V47" s="104"/>
      <c r="W47" s="113"/>
      <c r="X47" s="98"/>
      <c r="Y47" s="134"/>
      <c r="Z47" s="98"/>
      <c r="AA47" s="99"/>
      <c r="AB47" s="98"/>
      <c r="AC47" s="98"/>
      <c r="AD47" s="98"/>
      <c r="AE47" s="99"/>
      <c r="AF47" s="98"/>
      <c r="AG47" s="98"/>
      <c r="AH47" s="115"/>
      <c r="AI47" s="104"/>
      <c r="AJ47" s="100"/>
      <c r="AK47" s="104"/>
      <c r="AL47" s="104"/>
      <c r="AM47" s="104"/>
      <c r="AN47" s="104"/>
      <c r="AO47" s="104"/>
      <c r="AP47" s="105"/>
    </row>
    <row r="48" spans="2:42" ht="13.15">
      <c r="B48" s="106"/>
      <c r="C48" s="249" t="e">
        <f>'10 Yr Pipe Capacity'!#REF!</f>
        <v>#REF!</v>
      </c>
      <c r="D48" s="249" t="e">
        <f>'10 Yr Pipe Capacity'!#REF!</f>
        <v>#REF!</v>
      </c>
      <c r="E48" s="93" t="e">
        <f>'10 Yr Pipe Capacity'!#REF!</f>
        <v>#REF!</v>
      </c>
      <c r="F48" s="93" t="e">
        <f>'10 Yr Pipe Capacity'!#REF!</f>
        <v>#REF!</v>
      </c>
      <c r="G48" s="94" t="e">
        <f>'10 Yr Pipe Capacity'!#REF!</f>
        <v>#REF!</v>
      </c>
      <c r="H48" s="109">
        <f>'Pipe Properties'!B15</f>
        <v>1.96</v>
      </c>
      <c r="I48" s="110">
        <v>1.2999999999999999E-2</v>
      </c>
      <c r="J48" s="112" t="e">
        <f>VLOOKUP(G48,'Pipe Properties'!$A$2:$D$16,4,0)</f>
        <v>#REF!</v>
      </c>
      <c r="K48" s="95" t="e">
        <f>'10 Yr Pipe Capacity'!#REF!</f>
        <v>#REF!</v>
      </c>
      <c r="L48" s="96" t="e">
        <f>((E48*I48)/(0.463*((19/12)^2.67)))^2</f>
        <v>#REF!</v>
      </c>
      <c r="M48" s="96" t="e">
        <f>((F48*I48)/(0.463*((19/12)^2.67)))^2</f>
        <v>#REF!</v>
      </c>
      <c r="N48" s="109" t="e">
        <f>'10 Yr Pipe Capacity'!#REF!</f>
        <v>#REF!</v>
      </c>
      <c r="O48" s="109" t="e">
        <f>'10 Yr Pipe Capacity'!#REF!</f>
        <v>#REF!</v>
      </c>
      <c r="P48" s="114" t="e">
        <f>'10 Yr Pipe Capacity'!#REF!</f>
        <v>#REF!</v>
      </c>
      <c r="Q48" s="97">
        <f>15/12</f>
        <v>1.25</v>
      </c>
      <c r="R48" s="104" t="e">
        <f>P48*L48</f>
        <v>#REF!</v>
      </c>
      <c r="S48" s="104" t="e">
        <f t="shared" si="13"/>
        <v>#REF!</v>
      </c>
      <c r="T48" s="134">
        <v>0</v>
      </c>
      <c r="U48" s="126">
        <f>VLOOKUP(T48,'Kb Values MoCo'!$A$2:$D$92,2,FALSE)</f>
        <v>0.5</v>
      </c>
      <c r="V48" s="104" t="e">
        <f t="shared" si="27"/>
        <v>#REF!</v>
      </c>
      <c r="W48" s="113" t="e">
        <f t="shared" si="14"/>
        <v>#REF!</v>
      </c>
      <c r="X48" s="98" t="e">
        <f>VLOOKUP(D48,'10 Yr Pipe Capacity'!B29:Q59,17,FALSE)</f>
        <v>#REF!</v>
      </c>
      <c r="Y48" s="134" t="e">
        <f>X48+15/12</f>
        <v>#REF!</v>
      </c>
      <c r="Z48" s="98"/>
      <c r="AA48" s="99" t="e">
        <f t="shared" ref="AA48:AA50" si="32">IF(Z48&gt;Y48,Z48,Y48)</f>
        <v>#REF!</v>
      </c>
      <c r="AB48" s="98" t="e">
        <f>VLOOKUP(D48,'10 Yr Pipe Capacity'!B29:Q59,16,FALSE)</f>
        <v>#REF!</v>
      </c>
      <c r="AC48" s="98" t="e">
        <f>AB48+15/12</f>
        <v>#REF!</v>
      </c>
      <c r="AD48" s="98" t="e">
        <f t="shared" si="18"/>
        <v>#REF!</v>
      </c>
      <c r="AE48" s="99" t="e">
        <f t="shared" si="10"/>
        <v>#REF!</v>
      </c>
      <c r="AF48" s="98" t="e">
        <f t="shared" si="11"/>
        <v>#REF!</v>
      </c>
      <c r="AG48" s="98" t="e">
        <f>'10 Yr Pipe Capacity'!#REF!</f>
        <v>#REF!</v>
      </c>
      <c r="AH48" s="115" t="e">
        <f t="shared" si="19"/>
        <v>#REF!</v>
      </c>
      <c r="AI48" s="104" t="e">
        <f t="shared" si="1"/>
        <v>#REF!</v>
      </c>
      <c r="AJ48" s="100"/>
      <c r="AK48" s="104"/>
      <c r="AL48" s="104"/>
      <c r="AM48" s="104"/>
      <c r="AN48" s="104"/>
      <c r="AO48" s="104"/>
      <c r="AP48" s="105"/>
    </row>
    <row r="49" spans="2:42" ht="13.15">
      <c r="B49" s="106"/>
      <c r="C49" s="249"/>
      <c r="D49" s="249"/>
      <c r="E49" s="93"/>
      <c r="F49" s="93"/>
      <c r="G49" s="94"/>
      <c r="H49" s="109"/>
      <c r="I49" s="110"/>
      <c r="J49" s="112"/>
      <c r="K49" s="95"/>
      <c r="L49" s="96"/>
      <c r="M49" s="96"/>
      <c r="N49" s="109"/>
      <c r="O49" s="109"/>
      <c r="P49" s="114"/>
      <c r="Q49" s="97"/>
      <c r="R49" s="104"/>
      <c r="S49" s="104"/>
      <c r="T49" s="134"/>
      <c r="U49" s="126"/>
      <c r="V49" s="104"/>
      <c r="W49" s="113"/>
      <c r="X49" s="98"/>
      <c r="Y49" s="134"/>
      <c r="Z49" s="98"/>
      <c r="AA49" s="99"/>
      <c r="AB49" s="98"/>
      <c r="AC49" s="98"/>
      <c r="AD49" s="98"/>
      <c r="AE49" s="99"/>
      <c r="AF49" s="98"/>
      <c r="AG49" s="98"/>
      <c r="AH49" s="115"/>
      <c r="AI49" s="104"/>
      <c r="AJ49" s="100"/>
      <c r="AK49" s="104"/>
      <c r="AL49" s="104"/>
      <c r="AM49" s="104"/>
      <c r="AN49" s="104"/>
      <c r="AO49" s="104"/>
      <c r="AP49" s="105"/>
    </row>
    <row r="50" spans="2:42" ht="13.15">
      <c r="B50" s="106"/>
      <c r="C50" s="249" t="e">
        <f>'10 Yr Pipe Capacity'!#REF!</f>
        <v>#REF!</v>
      </c>
      <c r="D50" s="249" t="e">
        <f>'10 Yr Pipe Capacity'!#REF!</f>
        <v>#REF!</v>
      </c>
      <c r="E50" s="93" t="e">
        <f>'10 Yr Pipe Capacity'!#REF!</f>
        <v>#REF!</v>
      </c>
      <c r="F50" s="93" t="e">
        <f>'10 Yr Pipe Capacity'!#REF!</f>
        <v>#REF!</v>
      </c>
      <c r="G50" s="94" t="e">
        <f>'10 Yr Pipe Capacity'!#REF!</f>
        <v>#REF!</v>
      </c>
      <c r="H50" s="109" t="e">
        <f t="shared" si="2"/>
        <v>#REF!</v>
      </c>
      <c r="I50" s="110">
        <v>1.2999999999999999E-2</v>
      </c>
      <c r="J50" s="112" t="e">
        <f>VLOOKUP(G50,'Pipe Properties'!$A$2:$D$12,4,0)</f>
        <v>#REF!</v>
      </c>
      <c r="K50" s="95" t="e">
        <f>'10 Yr Pipe Capacity'!#REF!</f>
        <v>#REF!</v>
      </c>
      <c r="L50" s="96" t="e">
        <f t="shared" si="3"/>
        <v>#REF!</v>
      </c>
      <c r="M50" s="96" t="e">
        <f>((F50*I50)/(0.463*((19/12)^2.67)))^2</f>
        <v>#REF!</v>
      </c>
      <c r="N50" s="109" t="e">
        <f>'10 Yr Pipe Capacity'!#REF!</f>
        <v>#REF!</v>
      </c>
      <c r="O50" s="109" t="e">
        <f>'10 Yr Pipe Capacity'!#REF!</f>
        <v>#REF!</v>
      </c>
      <c r="P50" s="114" t="e">
        <f>'10 Yr Pipe Capacity'!#REF!</f>
        <v>#REF!</v>
      </c>
      <c r="Q50" s="97" t="e">
        <f t="shared" si="23"/>
        <v>#REF!</v>
      </c>
      <c r="R50" s="104" t="e">
        <f t="shared" si="22"/>
        <v>#REF!</v>
      </c>
      <c r="S50" s="104" t="e">
        <f t="shared" si="13"/>
        <v>#REF!</v>
      </c>
      <c r="T50" s="134">
        <v>0</v>
      </c>
      <c r="U50" s="126">
        <f>VLOOKUP(T50,'Kb Values MoCo'!$A$2:$D$92,2,FALSE)</f>
        <v>0.5</v>
      </c>
      <c r="V50" s="104" t="e">
        <f t="shared" si="27"/>
        <v>#REF!</v>
      </c>
      <c r="W50" s="113" t="e">
        <f t="shared" si="14"/>
        <v>#REF!</v>
      </c>
      <c r="X50" s="98" t="e">
        <f>VLOOKUP(D50,'10 Yr Pipe Capacity'!B29:Q61,17,FALSE)</f>
        <v>#REF!</v>
      </c>
      <c r="Y50" s="134" t="e">
        <f t="shared" si="28"/>
        <v>#REF!</v>
      </c>
      <c r="Z50" s="98"/>
      <c r="AA50" s="99" t="e">
        <f t="shared" si="32"/>
        <v>#REF!</v>
      </c>
      <c r="AB50" s="98" t="e">
        <f>VLOOKUP(D50,'10 Yr Pipe Capacity'!B29:Q61,16,FALSE)</f>
        <v>#REF!</v>
      </c>
      <c r="AC50" s="98" t="e">
        <f t="shared" si="17"/>
        <v>#REF!</v>
      </c>
      <c r="AD50" s="98" t="e">
        <f t="shared" si="18"/>
        <v>#REF!</v>
      </c>
      <c r="AE50" s="99" t="e">
        <f t="shared" si="10"/>
        <v>#REF!</v>
      </c>
      <c r="AF50" s="98" t="e">
        <f t="shared" si="11"/>
        <v>#REF!</v>
      </c>
      <c r="AG50" s="98" t="e">
        <f>'10 Yr Pipe Capacity'!#REF!</f>
        <v>#REF!</v>
      </c>
      <c r="AH50" s="115" t="e">
        <f t="shared" si="19"/>
        <v>#REF!</v>
      </c>
      <c r="AI50" s="104" t="e">
        <f t="shared" si="1"/>
        <v>#REF!</v>
      </c>
      <c r="AJ50" s="100"/>
      <c r="AK50" s="104"/>
      <c r="AL50" s="104"/>
      <c r="AM50" s="104"/>
      <c r="AN50" s="104"/>
      <c r="AO50" s="104"/>
      <c r="AP50" s="105"/>
    </row>
    <row r="51" spans="2:42" ht="13.15">
      <c r="B51" s="106"/>
      <c r="C51" s="249"/>
      <c r="D51" s="249"/>
      <c r="E51" s="93"/>
      <c r="F51" s="93"/>
      <c r="G51" s="94"/>
      <c r="H51" s="109"/>
      <c r="I51" s="110"/>
      <c r="J51" s="112"/>
      <c r="K51" s="95"/>
      <c r="L51" s="96"/>
      <c r="M51" s="96"/>
      <c r="N51" s="109"/>
      <c r="O51" s="109"/>
      <c r="P51" s="114"/>
      <c r="Q51" s="97"/>
      <c r="R51" s="104"/>
      <c r="S51" s="104"/>
      <c r="T51" s="134"/>
      <c r="U51" s="126"/>
      <c r="V51" s="104"/>
      <c r="W51" s="113"/>
      <c r="X51" s="98"/>
      <c r="Y51" s="134"/>
      <c r="Z51" s="98"/>
      <c r="AA51" s="99"/>
      <c r="AB51" s="98"/>
      <c r="AC51" s="98"/>
      <c r="AD51" s="98"/>
      <c r="AE51" s="99"/>
      <c r="AF51" s="98"/>
      <c r="AG51" s="98"/>
      <c r="AH51" s="115"/>
      <c r="AI51" s="104"/>
      <c r="AJ51" s="100"/>
      <c r="AK51" s="104"/>
      <c r="AL51" s="104"/>
      <c r="AM51" s="104"/>
      <c r="AN51" s="104"/>
      <c r="AO51" s="104"/>
      <c r="AP51" s="105"/>
    </row>
    <row r="52" spans="2:42" ht="13.15">
      <c r="B52" s="106"/>
      <c r="C52" s="249" t="e">
        <f>'10 Yr Pipe Capacity'!#REF!</f>
        <v>#REF!</v>
      </c>
      <c r="D52" s="249" t="e">
        <f>'10 Yr Pipe Capacity'!#REF!</f>
        <v>#REF!</v>
      </c>
      <c r="E52" s="93" t="e">
        <f>'10 Yr Pipe Capacity'!#REF!</f>
        <v>#REF!</v>
      </c>
      <c r="F52" s="93" t="e">
        <f>'10 Yr Pipe Capacity'!#REF!</f>
        <v>#REF!</v>
      </c>
      <c r="G52" s="94" t="e">
        <f>'10 Yr Pipe Capacity'!#REF!</f>
        <v>#REF!</v>
      </c>
      <c r="H52" s="109" t="e">
        <f t="shared" si="2"/>
        <v>#REF!</v>
      </c>
      <c r="I52" s="110">
        <v>1.2999999999999999E-2</v>
      </c>
      <c r="J52" s="112" t="e">
        <f>VLOOKUP(G52,'Pipe Properties'!$A$2:$D$12,4,0)</f>
        <v>#REF!</v>
      </c>
      <c r="K52" s="95" t="e">
        <f>'10 Yr Pipe Capacity'!#REF!</f>
        <v>#REF!</v>
      </c>
      <c r="L52" s="96" t="e">
        <f t="shared" si="3"/>
        <v>#REF!</v>
      </c>
      <c r="M52" s="96" t="e">
        <f t="shared" si="4"/>
        <v>#REF!</v>
      </c>
      <c r="N52" s="109" t="e">
        <f>'10 Yr Pipe Capacity'!#REF!</f>
        <v>#REF!</v>
      </c>
      <c r="O52" s="109" t="e">
        <f>'10 Yr Pipe Capacity'!#REF!</f>
        <v>#REF!</v>
      </c>
      <c r="P52" s="114" t="e">
        <f>'10 Yr Pipe Capacity'!#REF!</f>
        <v>#REF!</v>
      </c>
      <c r="Q52" s="97" t="e">
        <f t="shared" si="23"/>
        <v>#REF!</v>
      </c>
      <c r="R52" s="104" t="e">
        <f t="shared" si="22"/>
        <v>#REF!</v>
      </c>
      <c r="S52" s="104" t="e">
        <f t="shared" si="13"/>
        <v>#REF!</v>
      </c>
      <c r="T52" s="134">
        <v>15</v>
      </c>
      <c r="U52" s="126">
        <f>VLOOKUP(T52,'Kb Values MoCo'!$A$2:$D$92,3,FALSE)</f>
        <v>0.35</v>
      </c>
      <c r="V52" s="104" t="e">
        <f t="shared" si="27"/>
        <v>#REF!</v>
      </c>
      <c r="W52" s="113" t="e">
        <f t="shared" si="14"/>
        <v>#REF!</v>
      </c>
      <c r="X52" s="98" t="e">
        <f>VLOOKUP(D52,'10 Yr Pipe Capacity'!B29:Q63,17,FALSE)</f>
        <v>#REF!</v>
      </c>
      <c r="Y52" s="134" t="e">
        <f t="shared" si="28"/>
        <v>#REF!</v>
      </c>
      <c r="Z52" s="98"/>
      <c r="AA52" s="99" t="e">
        <f t="shared" ref="AA52:AA55" si="33">IF(Z52&gt;Y52,Z52,Y52)</f>
        <v>#REF!</v>
      </c>
      <c r="AB52" s="98" t="e">
        <f>VLOOKUP(D52,'10 Yr Pipe Capacity'!B29:Q63,16,FALSE)</f>
        <v>#REF!</v>
      </c>
      <c r="AC52" s="98" t="e">
        <f t="shared" si="17"/>
        <v>#REF!</v>
      </c>
      <c r="AD52" s="98" t="e">
        <f t="shared" si="18"/>
        <v>#REF!</v>
      </c>
      <c r="AE52" s="99" t="e">
        <f t="shared" si="10"/>
        <v>#REF!</v>
      </c>
      <c r="AF52" s="98" t="e">
        <f t="shared" si="11"/>
        <v>#REF!</v>
      </c>
      <c r="AG52" s="98" t="e">
        <f>'10 Yr Pipe Capacity'!#REF!</f>
        <v>#REF!</v>
      </c>
      <c r="AH52" s="115" t="e">
        <f t="shared" si="19"/>
        <v>#REF!</v>
      </c>
      <c r="AI52" s="104" t="e">
        <f t="shared" si="1"/>
        <v>#REF!</v>
      </c>
      <c r="AJ52" s="100"/>
      <c r="AK52" s="104"/>
      <c r="AL52" s="104"/>
      <c r="AM52" s="104"/>
      <c r="AN52" s="104"/>
      <c r="AO52" s="104"/>
      <c r="AP52" s="105"/>
    </row>
    <row r="53" spans="2:42" ht="13.15">
      <c r="B53" s="106"/>
      <c r="C53" s="249" t="e">
        <f>'10 Yr Pipe Capacity'!#REF!</f>
        <v>#REF!</v>
      </c>
      <c r="D53" s="249" t="e">
        <f>'10 Yr Pipe Capacity'!#REF!</f>
        <v>#REF!</v>
      </c>
      <c r="E53" s="93" t="e">
        <f>'10 Yr Pipe Capacity'!#REF!</f>
        <v>#REF!</v>
      </c>
      <c r="F53" s="93" t="e">
        <f>'10 Yr Pipe Capacity'!#REF!</f>
        <v>#REF!</v>
      </c>
      <c r="G53" s="94" t="e">
        <f>'10 Yr Pipe Capacity'!#REF!</f>
        <v>#REF!</v>
      </c>
      <c r="H53" s="109" t="e">
        <f t="shared" si="2"/>
        <v>#REF!</v>
      </c>
      <c r="I53" s="110">
        <v>1.2999999999999999E-2</v>
      </c>
      <c r="J53" s="112" t="e">
        <f>VLOOKUP(G53,'Pipe Properties'!$A$2:$D$12,4,0)</f>
        <v>#REF!</v>
      </c>
      <c r="K53" s="95" t="e">
        <f>'10 Yr Pipe Capacity'!#REF!</f>
        <v>#REF!</v>
      </c>
      <c r="L53" s="96" t="e">
        <f t="shared" si="3"/>
        <v>#REF!</v>
      </c>
      <c r="M53" s="96" t="e">
        <f t="shared" si="4"/>
        <v>#REF!</v>
      </c>
      <c r="N53" s="109" t="e">
        <f>'10 Yr Pipe Capacity'!#REF!</f>
        <v>#REF!</v>
      </c>
      <c r="O53" s="109" t="e">
        <f>'10 Yr Pipe Capacity'!#REF!</f>
        <v>#REF!</v>
      </c>
      <c r="P53" s="114" t="e">
        <f>'10 Yr Pipe Capacity'!#REF!</f>
        <v>#REF!</v>
      </c>
      <c r="Q53" s="97" t="e">
        <f t="shared" si="23"/>
        <v>#REF!</v>
      </c>
      <c r="R53" s="104" t="e">
        <f t="shared" si="22"/>
        <v>#REF!</v>
      </c>
      <c r="S53" s="104" t="e">
        <f t="shared" si="13"/>
        <v>#REF!</v>
      </c>
      <c r="T53" s="134">
        <v>0</v>
      </c>
      <c r="U53" s="126">
        <f>VLOOKUP(T53,'Kb Values MoCo'!$A$2:$D$92,2,FALSE)</f>
        <v>0.5</v>
      </c>
      <c r="V53" s="104" t="e">
        <f t="shared" si="27"/>
        <v>#REF!</v>
      </c>
      <c r="W53" s="113" t="e">
        <f t="shared" si="14"/>
        <v>#REF!</v>
      </c>
      <c r="X53" s="98" t="e">
        <f>VLOOKUP(D53,'10 Yr Pipe Capacity'!B29:Q64,17,FALSE)</f>
        <v>#REF!</v>
      </c>
      <c r="Y53" s="134" t="e">
        <f t="shared" si="28"/>
        <v>#REF!</v>
      </c>
      <c r="Z53" s="98"/>
      <c r="AA53" s="99" t="e">
        <f t="shared" si="33"/>
        <v>#REF!</v>
      </c>
      <c r="AB53" s="98" t="e">
        <f>VLOOKUP(D53,'10 Yr Pipe Capacity'!B29:Q64,16,FALSE)</f>
        <v>#REF!</v>
      </c>
      <c r="AC53" s="98" t="e">
        <f t="shared" si="17"/>
        <v>#REF!</v>
      </c>
      <c r="AD53" s="98" t="e">
        <f t="shared" si="18"/>
        <v>#REF!</v>
      </c>
      <c r="AE53" s="99" t="e">
        <f t="shared" si="10"/>
        <v>#REF!</v>
      </c>
      <c r="AF53" s="98" t="e">
        <f t="shared" si="11"/>
        <v>#REF!</v>
      </c>
      <c r="AG53" s="98" t="e">
        <f>'10 Yr Pipe Capacity'!#REF!</f>
        <v>#REF!</v>
      </c>
      <c r="AH53" s="115" t="e">
        <f t="shared" si="19"/>
        <v>#REF!</v>
      </c>
      <c r="AI53" s="104" t="e">
        <f t="shared" si="1"/>
        <v>#REF!</v>
      </c>
      <c r="AJ53" s="100"/>
      <c r="AK53" s="104"/>
      <c r="AL53" s="104"/>
      <c r="AM53" s="104"/>
      <c r="AN53" s="104"/>
      <c r="AO53" s="104"/>
      <c r="AP53" s="105"/>
    </row>
    <row r="54" spans="2:42" ht="13.15">
      <c r="B54" s="106"/>
      <c r="C54" s="249" t="e">
        <f>'10 Yr Pipe Capacity'!#REF!</f>
        <v>#REF!</v>
      </c>
      <c r="D54" s="249" t="e">
        <f>'10 Yr Pipe Capacity'!#REF!</f>
        <v>#REF!</v>
      </c>
      <c r="E54" s="93" t="e">
        <f>'10 Yr Pipe Capacity'!#REF!</f>
        <v>#REF!</v>
      </c>
      <c r="F54" s="93" t="e">
        <f>'10 Yr Pipe Capacity'!#REF!</f>
        <v>#REF!</v>
      </c>
      <c r="G54" s="94" t="e">
        <f>'10 Yr Pipe Capacity'!#REF!</f>
        <v>#REF!</v>
      </c>
      <c r="H54" s="109" t="e">
        <f t="shared" si="2"/>
        <v>#REF!</v>
      </c>
      <c r="I54" s="110">
        <v>1.2999999999999999E-2</v>
      </c>
      <c r="J54" s="112" t="e">
        <f>VLOOKUP(G54,'Pipe Properties'!$A$2:$D$12,4,0)</f>
        <v>#REF!</v>
      </c>
      <c r="K54" s="95" t="e">
        <f>'10 Yr Pipe Capacity'!#REF!</f>
        <v>#REF!</v>
      </c>
      <c r="L54" s="96" t="e">
        <f t="shared" si="3"/>
        <v>#REF!</v>
      </c>
      <c r="M54" s="96" t="e">
        <f t="shared" si="4"/>
        <v>#REF!</v>
      </c>
      <c r="N54" s="109" t="e">
        <f>'10 Yr Pipe Capacity'!#REF!</f>
        <v>#REF!</v>
      </c>
      <c r="O54" s="109" t="e">
        <f>'10 Yr Pipe Capacity'!#REF!</f>
        <v>#REF!</v>
      </c>
      <c r="P54" s="114" t="e">
        <f>'10 Yr Pipe Capacity'!#REF!</f>
        <v>#REF!</v>
      </c>
      <c r="Q54" s="97" t="e">
        <f t="shared" si="23"/>
        <v>#REF!</v>
      </c>
      <c r="R54" s="104" t="e">
        <f t="shared" si="22"/>
        <v>#REF!</v>
      </c>
      <c r="S54" s="104" t="e">
        <f t="shared" si="13"/>
        <v>#REF!</v>
      </c>
      <c r="T54" s="134">
        <v>0</v>
      </c>
      <c r="U54" s="126">
        <f>VLOOKUP(T54,'Kb Values MoCo'!$A$2:$D$92,2,FALSE)</f>
        <v>0.5</v>
      </c>
      <c r="V54" s="104" t="e">
        <f t="shared" si="27"/>
        <v>#REF!</v>
      </c>
      <c r="W54" s="113" t="e">
        <f t="shared" si="14"/>
        <v>#REF!</v>
      </c>
      <c r="X54" s="98" t="e">
        <f>VLOOKUP(D54,'10 Yr Pipe Capacity'!B29:Q65,17,FALSE)</f>
        <v>#REF!</v>
      </c>
      <c r="Y54" s="134" t="e">
        <f t="shared" si="28"/>
        <v>#REF!</v>
      </c>
      <c r="Z54" s="98"/>
      <c r="AA54" s="99" t="e">
        <f t="shared" si="33"/>
        <v>#REF!</v>
      </c>
      <c r="AB54" s="98" t="e">
        <f>VLOOKUP(D54,'10 Yr Pipe Capacity'!B29:Q65,16,FALSE)</f>
        <v>#REF!</v>
      </c>
      <c r="AC54" s="98" t="e">
        <f t="shared" si="17"/>
        <v>#REF!</v>
      </c>
      <c r="AD54" s="98" t="e">
        <f t="shared" si="18"/>
        <v>#REF!</v>
      </c>
      <c r="AE54" s="99" t="e">
        <f t="shared" si="10"/>
        <v>#REF!</v>
      </c>
      <c r="AF54" s="98" t="e">
        <f t="shared" si="11"/>
        <v>#REF!</v>
      </c>
      <c r="AG54" s="98" t="e">
        <f>'10 Yr Pipe Capacity'!#REF!</f>
        <v>#REF!</v>
      </c>
      <c r="AH54" s="115" t="e">
        <f t="shared" si="19"/>
        <v>#REF!</v>
      </c>
      <c r="AI54" s="104" t="e">
        <f t="shared" si="1"/>
        <v>#REF!</v>
      </c>
      <c r="AJ54" s="100"/>
      <c r="AK54" s="104"/>
      <c r="AL54" s="104"/>
      <c r="AM54" s="104"/>
      <c r="AN54" s="104"/>
      <c r="AO54" s="104"/>
      <c r="AP54" s="105"/>
    </row>
    <row r="55" spans="2:42" ht="13.15">
      <c r="B55" s="106"/>
      <c r="C55" s="249" t="e">
        <f>'10 Yr Pipe Capacity'!#REF!</f>
        <v>#REF!</v>
      </c>
      <c r="D55" s="249" t="e">
        <f>'10 Yr Pipe Capacity'!#REF!</f>
        <v>#REF!</v>
      </c>
      <c r="E55" s="93" t="e">
        <f>'10 Yr Pipe Capacity'!#REF!</f>
        <v>#REF!</v>
      </c>
      <c r="F55" s="93" t="e">
        <f>'10 Yr Pipe Capacity'!#REF!</f>
        <v>#REF!</v>
      </c>
      <c r="G55" s="94" t="e">
        <f>'10 Yr Pipe Capacity'!#REF!</f>
        <v>#REF!</v>
      </c>
      <c r="H55" s="109" t="e">
        <f t="shared" si="2"/>
        <v>#REF!</v>
      </c>
      <c r="I55" s="110">
        <v>1.2999999999999999E-2</v>
      </c>
      <c r="J55" s="112" t="e">
        <f>VLOOKUP(G55,'Pipe Properties'!$A$2:$D$12,4,0)</f>
        <v>#REF!</v>
      </c>
      <c r="K55" s="95" t="e">
        <f>'10 Yr Pipe Capacity'!#REF!</f>
        <v>#REF!</v>
      </c>
      <c r="L55" s="96" t="e">
        <f t="shared" si="3"/>
        <v>#REF!</v>
      </c>
      <c r="M55" s="96" t="e">
        <f t="shared" si="4"/>
        <v>#REF!</v>
      </c>
      <c r="N55" s="109" t="e">
        <f>'10 Yr Pipe Capacity'!#REF!</f>
        <v>#REF!</v>
      </c>
      <c r="O55" s="109" t="e">
        <f>'10 Yr Pipe Capacity'!#REF!</f>
        <v>#REF!</v>
      </c>
      <c r="P55" s="114" t="e">
        <f>'10 Yr Pipe Capacity'!#REF!</f>
        <v>#REF!</v>
      </c>
      <c r="Q55" s="97" t="e">
        <f t="shared" si="23"/>
        <v>#REF!</v>
      </c>
      <c r="R55" s="104" t="e">
        <f t="shared" si="22"/>
        <v>#REF!</v>
      </c>
      <c r="S55" s="104" t="e">
        <f t="shared" si="13"/>
        <v>#REF!</v>
      </c>
      <c r="T55" s="134">
        <v>90</v>
      </c>
      <c r="U55" s="126">
        <f>VLOOKUP(T55,'Kb Values MoCo'!$A$2:$D$92,3,FALSE)</f>
        <v>1</v>
      </c>
      <c r="V55" s="104" t="e">
        <f>(U55*N55*N55)/64.4</f>
        <v>#REF!</v>
      </c>
      <c r="W55" s="113" t="e">
        <f t="shared" si="14"/>
        <v>#REF!</v>
      </c>
      <c r="X55" s="98" t="e">
        <f>VLOOKUP(D55,'10 Yr Pipe Capacity'!B29:Q66,17,FALSE)</f>
        <v>#REF!</v>
      </c>
      <c r="Y55" s="134" t="e">
        <f t="shared" si="28"/>
        <v>#REF!</v>
      </c>
      <c r="Z55" s="98"/>
      <c r="AA55" s="99" t="e">
        <f t="shared" si="33"/>
        <v>#REF!</v>
      </c>
      <c r="AB55" s="98" t="e">
        <f>VLOOKUP(D55,'10 Yr Pipe Capacity'!B29:Q66,16,FALSE)</f>
        <v>#REF!</v>
      </c>
      <c r="AC55" s="98" t="e">
        <f t="shared" si="17"/>
        <v>#REF!</v>
      </c>
      <c r="AD55" s="98" t="e">
        <f t="shared" si="18"/>
        <v>#REF!</v>
      </c>
      <c r="AE55" s="99" t="e">
        <f t="shared" si="10"/>
        <v>#REF!</v>
      </c>
      <c r="AF55" s="98" t="e">
        <f>MAX(_xlfn.MAXIFS($AA$12:$AA$45,$C$12:$C$45,D55),AE55)</f>
        <v>#REF!</v>
      </c>
      <c r="AG55" s="98" t="e">
        <f>'10 Yr Pipe Capacity'!#REF!</f>
        <v>#REF!</v>
      </c>
      <c r="AH55" s="115" t="e">
        <f t="shared" si="19"/>
        <v>#REF!</v>
      </c>
      <c r="AI55" s="104" t="e">
        <f t="shared" si="1"/>
        <v>#REF!</v>
      </c>
      <c r="AJ55" s="100"/>
      <c r="AK55" s="104"/>
      <c r="AL55" s="104"/>
      <c r="AM55" s="104"/>
      <c r="AN55" s="104"/>
      <c r="AO55" s="104"/>
      <c r="AP55" s="105"/>
    </row>
    <row r="56" spans="2:42" ht="13.15">
      <c r="B56" s="106"/>
      <c r="C56" s="249" t="e">
        <f>'10 Yr Pipe Capacity'!#REF!</f>
        <v>#REF!</v>
      </c>
      <c r="D56" s="249" t="e">
        <f>'10 Yr Pipe Capacity'!#REF!</f>
        <v>#REF!</v>
      </c>
      <c r="E56" s="93" t="e">
        <f>'10 Yr Pipe Capacity'!#REF!</f>
        <v>#REF!</v>
      </c>
      <c r="F56" s="93" t="e">
        <f>'10 Yr Pipe Capacity'!#REF!</f>
        <v>#REF!</v>
      </c>
      <c r="G56" s="94" t="e">
        <f>'10 Yr Pipe Capacity'!#REF!</f>
        <v>#REF!</v>
      </c>
      <c r="H56" s="109" t="e">
        <f t="shared" ref="H56:H60" si="34">PI()*(G56/12)^2/(4)</f>
        <v>#REF!</v>
      </c>
      <c r="I56" s="110">
        <v>1.2999999999999999E-2</v>
      </c>
      <c r="J56" s="112" t="e">
        <f>VLOOKUP(G56,'Pipe Properties'!$A$2:$D$12,4,0)</f>
        <v>#REF!</v>
      </c>
      <c r="K56" s="95" t="e">
        <f>'10 Yr Pipe Capacity'!#REF!</f>
        <v>#REF!</v>
      </c>
      <c r="L56" s="96" t="e">
        <f t="shared" ref="L56:L60" si="35">((E56*I56)/(0.463*((G56/12)^2.67)))^2</f>
        <v>#REF!</v>
      </c>
      <c r="M56" s="96" t="e">
        <f t="shared" ref="M56:M60" si="36">((F56*I56)/(0.463*((G56/12)^2.67)))^2</f>
        <v>#REF!</v>
      </c>
      <c r="N56" s="109" t="e">
        <f>'10 Yr Pipe Capacity'!#REF!</f>
        <v>#REF!</v>
      </c>
      <c r="O56" s="109" t="e">
        <f>'10 Yr Pipe Capacity'!#REF!</f>
        <v>#REF!</v>
      </c>
      <c r="P56" s="114" t="e">
        <f>'10 Yr Pipe Capacity'!#REF!</f>
        <v>#REF!</v>
      </c>
      <c r="Q56" s="97" t="e">
        <f t="shared" ref="Q56:Q60" si="37">G56/12</f>
        <v>#REF!</v>
      </c>
      <c r="R56" s="104" t="e">
        <f t="shared" ref="R56:R60" si="38">P56*L56</f>
        <v>#REF!</v>
      </c>
      <c r="S56" s="104" t="e">
        <f t="shared" ref="S56:S60" si="39">Q56*M56</f>
        <v>#REF!</v>
      </c>
      <c r="T56" s="134">
        <v>0</v>
      </c>
      <c r="U56" s="126">
        <f>VLOOKUP(T56,'Kb Values MoCo'!$A$2:$D$92,2,FALSE)</f>
        <v>0.5</v>
      </c>
      <c r="V56" s="104" t="e">
        <f t="shared" ref="V56:V58" si="40">(U56*N56*N56)/64.4</f>
        <v>#REF!</v>
      </c>
      <c r="W56" s="113" t="e">
        <f t="shared" ref="W56:W58" si="41">(U56*O56*O56)/64.4</f>
        <v>#REF!</v>
      </c>
      <c r="X56" s="98" t="e">
        <f>VLOOKUP(D56,'10 Yr Pipe Capacity'!B29:Q67,17,FALSE)</f>
        <v>#REF!</v>
      </c>
      <c r="Y56" s="134" t="e">
        <f t="shared" ref="Y56:Y58" si="42">X56+G56/12</f>
        <v>#REF!</v>
      </c>
      <c r="Z56" s="98"/>
      <c r="AA56" s="99" t="e">
        <f t="shared" ref="AA56:AA58" si="43">IF(Z56&gt;Y56,Z56,Y56)</f>
        <v>#REF!</v>
      </c>
      <c r="AB56" s="98" t="e">
        <f>VLOOKUP(D56,'10 Yr Pipe Capacity'!B29:Q67,16,FALSE)</f>
        <v>#REF!</v>
      </c>
      <c r="AC56" s="98" t="e">
        <f t="shared" ref="AC56:AC58" si="44">AB56+G56/12</f>
        <v>#REF!</v>
      </c>
      <c r="AD56" s="98" t="e">
        <f t="shared" ref="AD56:AD57" si="45">AA56+R56</f>
        <v>#REF!</v>
      </c>
      <c r="AE56" s="99" t="e">
        <f t="shared" ref="AE56:AE58" si="46">IF(AD56&gt;AC56,AD56,AC56)</f>
        <v>#REF!</v>
      </c>
      <c r="AF56" s="98" t="e">
        <f t="shared" ref="AF56:AF58" si="47">MAX(_xlfn.MAXIFS($AA$12:$AA$45,$C$12:$C$45,D56),AE56)</f>
        <v>#REF!</v>
      </c>
      <c r="AG56" s="98" t="e">
        <f>'10 Yr Pipe Capacity'!#REF!</f>
        <v>#REF!</v>
      </c>
      <c r="AH56" s="115" t="e">
        <f t="shared" ref="AH56:AH58" si="48">AG56-AF56</f>
        <v>#REF!</v>
      </c>
      <c r="AI56" s="104" t="e">
        <f t="shared" ref="AI56:AI58" si="49">IF(AH56&gt;0, "Ok!", "Check!")</f>
        <v>#REF!</v>
      </c>
      <c r="AJ56" s="100"/>
      <c r="AK56" s="104"/>
      <c r="AL56" s="104"/>
      <c r="AM56" s="104"/>
      <c r="AN56" s="104"/>
      <c r="AO56" s="104"/>
      <c r="AP56" s="105"/>
    </row>
    <row r="57" spans="2:42" ht="13.15">
      <c r="B57" s="106"/>
      <c r="C57" s="249" t="e">
        <f>'10 Yr Pipe Capacity'!#REF!</f>
        <v>#REF!</v>
      </c>
      <c r="D57" s="249" t="e">
        <f>'10 Yr Pipe Capacity'!#REF!</f>
        <v>#REF!</v>
      </c>
      <c r="E57" s="93" t="e">
        <f>'10 Yr Pipe Capacity'!#REF!</f>
        <v>#REF!</v>
      </c>
      <c r="F57" s="93" t="e">
        <f>'10 Yr Pipe Capacity'!#REF!</f>
        <v>#REF!</v>
      </c>
      <c r="G57" s="94" t="e">
        <f>'10 Yr Pipe Capacity'!#REF!</f>
        <v>#REF!</v>
      </c>
      <c r="H57" s="109" t="e">
        <f t="shared" si="34"/>
        <v>#REF!</v>
      </c>
      <c r="I57" s="110">
        <v>1.2999999999999999E-2</v>
      </c>
      <c r="J57" s="112" t="e">
        <f>VLOOKUP(G57,'Pipe Properties'!$A$2:$D$12,4,0)</f>
        <v>#REF!</v>
      </c>
      <c r="K57" s="95" t="e">
        <f>'10 Yr Pipe Capacity'!#REF!</f>
        <v>#REF!</v>
      </c>
      <c r="L57" s="96" t="e">
        <f t="shared" si="35"/>
        <v>#REF!</v>
      </c>
      <c r="M57" s="96" t="e">
        <f t="shared" si="36"/>
        <v>#REF!</v>
      </c>
      <c r="N57" s="109" t="e">
        <f>'10 Yr Pipe Capacity'!#REF!</f>
        <v>#REF!</v>
      </c>
      <c r="O57" s="109" t="e">
        <f>'10 Yr Pipe Capacity'!#REF!</f>
        <v>#REF!</v>
      </c>
      <c r="P57" s="114" t="e">
        <f>'10 Yr Pipe Capacity'!#REF!</f>
        <v>#REF!</v>
      </c>
      <c r="Q57" s="97" t="e">
        <f t="shared" si="37"/>
        <v>#REF!</v>
      </c>
      <c r="R57" s="104" t="e">
        <f t="shared" si="38"/>
        <v>#REF!</v>
      </c>
      <c r="S57" s="104" t="e">
        <f t="shared" si="39"/>
        <v>#REF!</v>
      </c>
      <c r="T57" s="134">
        <v>0</v>
      </c>
      <c r="U57" s="126">
        <f>VLOOKUP(T57,'Kb Values MoCo'!$A$2:$D$92,2,FALSE)</f>
        <v>0.5</v>
      </c>
      <c r="V57" s="104" t="e">
        <f t="shared" si="40"/>
        <v>#REF!</v>
      </c>
      <c r="W57" s="113" t="e">
        <f t="shared" si="41"/>
        <v>#REF!</v>
      </c>
      <c r="X57" s="98" t="e">
        <f>VLOOKUP(D57,'10 Yr Pipe Capacity'!B29:Q68,17,FALSE)</f>
        <v>#REF!</v>
      </c>
      <c r="Y57" s="134" t="e">
        <f t="shared" si="42"/>
        <v>#REF!</v>
      </c>
      <c r="Z57" s="98"/>
      <c r="AA57" s="99" t="e">
        <f t="shared" si="43"/>
        <v>#REF!</v>
      </c>
      <c r="AB57" s="98" t="e">
        <f>VLOOKUP(D57,'10 Yr Pipe Capacity'!B29:Q68,16,FALSE)</f>
        <v>#REF!</v>
      </c>
      <c r="AC57" s="98" t="e">
        <f t="shared" si="44"/>
        <v>#REF!</v>
      </c>
      <c r="AD57" s="98" t="e">
        <f t="shared" si="45"/>
        <v>#REF!</v>
      </c>
      <c r="AE57" s="99" t="e">
        <f t="shared" si="46"/>
        <v>#REF!</v>
      </c>
      <c r="AF57" s="98" t="e">
        <f t="shared" si="47"/>
        <v>#REF!</v>
      </c>
      <c r="AG57" s="98" t="e">
        <f>'10 Yr Pipe Capacity'!#REF!</f>
        <v>#REF!</v>
      </c>
      <c r="AH57" s="115" t="e">
        <f t="shared" si="48"/>
        <v>#REF!</v>
      </c>
      <c r="AI57" s="104" t="e">
        <f t="shared" si="49"/>
        <v>#REF!</v>
      </c>
      <c r="AJ57" s="100"/>
      <c r="AK57" s="104"/>
      <c r="AL57" s="104"/>
      <c r="AM57" s="104"/>
      <c r="AN57" s="104"/>
      <c r="AO57" s="104"/>
      <c r="AP57" s="105"/>
    </row>
    <row r="58" spans="2:42" ht="13.15">
      <c r="B58" s="106"/>
      <c r="C58" s="249" t="e">
        <f>'10 Yr Pipe Capacity'!#REF!</f>
        <v>#REF!</v>
      </c>
      <c r="D58" s="249" t="e">
        <f>'10 Yr Pipe Capacity'!#REF!</f>
        <v>#REF!</v>
      </c>
      <c r="E58" s="93" t="e">
        <f>'10 Yr Pipe Capacity'!#REF!</f>
        <v>#REF!</v>
      </c>
      <c r="F58" s="93" t="e">
        <f>'10 Yr Pipe Capacity'!#REF!</f>
        <v>#REF!</v>
      </c>
      <c r="G58" s="94" t="e">
        <f>'10 Yr Pipe Capacity'!#REF!</f>
        <v>#REF!</v>
      </c>
      <c r="H58" s="109" t="e">
        <f t="shared" si="34"/>
        <v>#REF!</v>
      </c>
      <c r="I58" s="110">
        <v>1.2999999999999999E-2</v>
      </c>
      <c r="J58" s="112" t="e">
        <f>VLOOKUP(G58,'Pipe Properties'!$A$2:$D$12,4,0)</f>
        <v>#REF!</v>
      </c>
      <c r="K58" s="95" t="e">
        <f>'10 Yr Pipe Capacity'!#REF!</f>
        <v>#REF!</v>
      </c>
      <c r="L58" s="96" t="e">
        <f t="shared" si="35"/>
        <v>#REF!</v>
      </c>
      <c r="M58" s="96" t="e">
        <f t="shared" si="36"/>
        <v>#REF!</v>
      </c>
      <c r="N58" s="109" t="e">
        <f>'10 Yr Pipe Capacity'!#REF!</f>
        <v>#REF!</v>
      </c>
      <c r="O58" s="109" t="e">
        <f>'10 Yr Pipe Capacity'!#REF!</f>
        <v>#REF!</v>
      </c>
      <c r="P58" s="114" t="e">
        <f>'10 Yr Pipe Capacity'!#REF!</f>
        <v>#REF!</v>
      </c>
      <c r="Q58" s="97" t="e">
        <f t="shared" si="37"/>
        <v>#REF!</v>
      </c>
      <c r="R58" s="104" t="e">
        <f t="shared" si="38"/>
        <v>#REF!</v>
      </c>
      <c r="S58" s="104" t="e">
        <f t="shared" si="39"/>
        <v>#REF!</v>
      </c>
      <c r="T58" s="134">
        <v>0</v>
      </c>
      <c r="U58" s="126">
        <f>VLOOKUP(T58,'Kb Values MoCo'!$A$2:$D$92,3,FALSE)</f>
        <v>0.15</v>
      </c>
      <c r="V58" s="104" t="e">
        <f t="shared" si="40"/>
        <v>#REF!</v>
      </c>
      <c r="W58" s="113" t="e">
        <f t="shared" si="41"/>
        <v>#REF!</v>
      </c>
      <c r="X58" s="98" t="e">
        <f>VLOOKUP(D58,'10 Yr Pipe Capacity'!B29:Q69,17,FALSE)</f>
        <v>#REF!</v>
      </c>
      <c r="Y58" s="134" t="e">
        <f t="shared" si="42"/>
        <v>#REF!</v>
      </c>
      <c r="Z58" s="98"/>
      <c r="AA58" s="99" t="e">
        <f t="shared" si="43"/>
        <v>#REF!</v>
      </c>
      <c r="AB58" s="98" t="e">
        <f>VLOOKUP(D58,'10 Yr Pipe Capacity'!B29:Q69,16,FALSE)</f>
        <v>#REF!</v>
      </c>
      <c r="AC58" s="98" t="e">
        <f t="shared" si="44"/>
        <v>#REF!</v>
      </c>
      <c r="AD58" s="98" t="e">
        <f>AA58+R58</f>
        <v>#REF!</v>
      </c>
      <c r="AE58" s="99" t="e">
        <f t="shared" si="46"/>
        <v>#REF!</v>
      </c>
      <c r="AF58" s="98" t="e">
        <f t="shared" si="47"/>
        <v>#REF!</v>
      </c>
      <c r="AG58" s="98" t="e">
        <f>'10 Yr Pipe Capacity'!#REF!</f>
        <v>#REF!</v>
      </c>
      <c r="AH58" s="115" t="e">
        <f t="shared" si="48"/>
        <v>#REF!</v>
      </c>
      <c r="AI58" s="104" t="e">
        <f t="shared" si="49"/>
        <v>#REF!</v>
      </c>
      <c r="AJ58" s="100"/>
      <c r="AK58" s="104"/>
      <c r="AL58" s="104"/>
      <c r="AM58" s="104"/>
      <c r="AN58" s="104"/>
      <c r="AO58" s="104"/>
      <c r="AP58" s="105"/>
    </row>
    <row r="59" spans="2:42" ht="13.15">
      <c r="B59" s="106"/>
      <c r="C59" s="249"/>
      <c r="D59" s="249"/>
      <c r="E59" s="93"/>
      <c r="F59" s="93"/>
      <c r="G59" s="94"/>
      <c r="H59" s="109"/>
      <c r="I59" s="110"/>
      <c r="J59" s="112"/>
      <c r="K59" s="95"/>
      <c r="L59" s="96"/>
      <c r="M59" s="96"/>
      <c r="N59" s="109"/>
      <c r="O59" s="109"/>
      <c r="P59" s="114"/>
      <c r="Q59" s="97"/>
      <c r="R59" s="104"/>
      <c r="S59" s="104"/>
      <c r="T59" s="134"/>
      <c r="U59" s="127"/>
      <c r="V59" s="113"/>
      <c r="W59" s="113"/>
      <c r="X59" s="98"/>
      <c r="Y59" s="98"/>
      <c r="Z59" s="98"/>
      <c r="AA59" s="99"/>
      <c r="AB59" s="98"/>
      <c r="AC59" s="98"/>
      <c r="AD59" s="98"/>
      <c r="AE59" s="99"/>
      <c r="AF59" s="98"/>
      <c r="AG59" s="98"/>
      <c r="AH59" s="115"/>
      <c r="AI59" s="104"/>
      <c r="AJ59" s="100"/>
      <c r="AK59" s="104"/>
      <c r="AL59" s="104"/>
      <c r="AM59" s="104"/>
      <c r="AN59" s="104"/>
      <c r="AO59" s="104"/>
      <c r="AP59" s="105"/>
    </row>
    <row r="60" spans="2:42" ht="13.15">
      <c r="B60" s="106"/>
      <c r="C60" s="249" t="e">
        <f>'10 Yr Pipe Capacity'!#REF!</f>
        <v>#REF!</v>
      </c>
      <c r="D60" s="249" t="e">
        <f>'10 Yr Pipe Capacity'!#REF!</f>
        <v>#REF!</v>
      </c>
      <c r="E60" s="93" t="e">
        <f>'10 Yr Pipe Capacity'!#REF!</f>
        <v>#REF!</v>
      </c>
      <c r="F60" s="93" t="e">
        <f>'10 Yr Pipe Capacity'!#REF!</f>
        <v>#REF!</v>
      </c>
      <c r="G60" s="94" t="e">
        <f>'10 Yr Pipe Capacity'!#REF!</f>
        <v>#REF!</v>
      </c>
      <c r="H60" s="109" t="e">
        <f t="shared" si="34"/>
        <v>#REF!</v>
      </c>
      <c r="I60" s="110">
        <v>1.2999999999999999E-2</v>
      </c>
      <c r="J60" s="112" t="e">
        <f>VLOOKUP(G60,'Pipe Properties'!$A$2:$D$12,4,0)</f>
        <v>#REF!</v>
      </c>
      <c r="K60" s="95" t="e">
        <f>'10 Yr Pipe Capacity'!#REF!</f>
        <v>#REF!</v>
      </c>
      <c r="L60" s="96" t="e">
        <f t="shared" si="35"/>
        <v>#REF!</v>
      </c>
      <c r="M60" s="96" t="e">
        <f t="shared" si="36"/>
        <v>#REF!</v>
      </c>
      <c r="N60" s="109" t="e">
        <f>'10 Yr Pipe Capacity'!#REF!</f>
        <v>#REF!</v>
      </c>
      <c r="O60" s="109" t="e">
        <f>'10 Yr Pipe Capacity'!#REF!</f>
        <v>#REF!</v>
      </c>
      <c r="P60" s="114" t="e">
        <f>'10 Yr Pipe Capacity'!#REF!</f>
        <v>#REF!</v>
      </c>
      <c r="Q60" s="97" t="e">
        <f t="shared" si="37"/>
        <v>#REF!</v>
      </c>
      <c r="R60" s="104" t="e">
        <f t="shared" si="38"/>
        <v>#REF!</v>
      </c>
      <c r="S60" s="104" t="e">
        <f t="shared" si="39"/>
        <v>#REF!</v>
      </c>
      <c r="T60" s="134">
        <v>0</v>
      </c>
      <c r="U60" s="126">
        <f>VLOOKUP(T60,'Kb Values MoCo'!$A$2:$D$92,3,FALSE)</f>
        <v>0.15</v>
      </c>
      <c r="V60" s="104" t="e">
        <f t="shared" ref="V60" si="50">(U60*N60*N60)/64.4</f>
        <v>#REF!</v>
      </c>
      <c r="W60" s="113" t="e">
        <f t="shared" ref="W60" si="51">(U60*O60*O60)/64.4</f>
        <v>#REF!</v>
      </c>
      <c r="X60" s="98" t="e">
        <f>VLOOKUP(D60,'10 Yr Pipe Capacity'!B29:Q71,17,FALSE)</f>
        <v>#REF!</v>
      </c>
      <c r="Y60" s="134" t="e">
        <f t="shared" ref="Y60" si="52">X60+G60/12</f>
        <v>#REF!</v>
      </c>
      <c r="Z60" s="98"/>
      <c r="AA60" s="99" t="e">
        <f t="shared" ref="AA60" si="53">IF(Z60&gt;Y60,Z60,Y60)</f>
        <v>#REF!</v>
      </c>
      <c r="AB60" s="98" t="e">
        <f>VLOOKUP(D60,'10 Yr Pipe Capacity'!B29:Q71,16,FALSE)</f>
        <v>#REF!</v>
      </c>
      <c r="AC60" s="98" t="e">
        <f t="shared" ref="AC60" si="54">AB60+G60/12</f>
        <v>#REF!</v>
      </c>
      <c r="AD60" s="98" t="e">
        <f>AA60+R60</f>
        <v>#REF!</v>
      </c>
      <c r="AE60" s="99" t="e">
        <f t="shared" ref="AE60" si="55">IF(AD60&gt;AC60,AD60,AC60)</f>
        <v>#REF!</v>
      </c>
      <c r="AF60" s="98" t="e">
        <f t="shared" ref="AF60" si="56">MAX(_xlfn.MAXIFS($AA$12:$AA$45,$C$12:$C$45,D60),AE60)</f>
        <v>#REF!</v>
      </c>
      <c r="AG60" s="98" t="e">
        <f>'10 Yr Pipe Capacity'!#REF!</f>
        <v>#REF!</v>
      </c>
      <c r="AH60" s="115" t="e">
        <f t="shared" ref="AH60" si="57">AG60-AF60</f>
        <v>#REF!</v>
      </c>
      <c r="AI60" s="104" t="e">
        <f t="shared" ref="AI60" si="58">IF(AH60&gt;0, "Ok!", "Check!")</f>
        <v>#REF!</v>
      </c>
      <c r="AJ60" s="100"/>
      <c r="AK60" s="104"/>
      <c r="AL60" s="104"/>
      <c r="AM60" s="104"/>
      <c r="AN60" s="104"/>
      <c r="AO60" s="104"/>
      <c r="AP60" s="105"/>
    </row>
    <row r="62" spans="2:42">
      <c r="C62" s="46" t="s">
        <v>203</v>
      </c>
    </row>
    <row r="63" spans="2:42">
      <c r="C63" s="46" t="s">
        <v>204</v>
      </c>
    </row>
    <row r="64" spans="2:42">
      <c r="C64" s="46" t="s">
        <v>205</v>
      </c>
    </row>
    <row r="65" spans="3:18">
      <c r="C65" s="46" t="s">
        <v>206</v>
      </c>
    </row>
    <row r="66" spans="3:18">
      <c r="C66" s="46" t="s">
        <v>207</v>
      </c>
    </row>
    <row r="67" spans="3:18">
      <c r="C67" s="46" t="s">
        <v>208</v>
      </c>
    </row>
    <row r="68" spans="3:18">
      <c r="C68" s="46" t="s">
        <v>209</v>
      </c>
    </row>
    <row r="69" spans="3:18">
      <c r="C69" s="46" t="s">
        <v>210</v>
      </c>
    </row>
    <row r="70" spans="3:18">
      <c r="C70" s="46" t="s">
        <v>273</v>
      </c>
    </row>
    <row r="71" spans="3:18">
      <c r="C71" s="46" t="s">
        <v>274</v>
      </c>
    </row>
    <row r="76" spans="3:18">
      <c r="Q76" s="46"/>
      <c r="R76" s="46"/>
    </row>
    <row r="77" spans="3:18">
      <c r="Q77" s="46"/>
      <c r="R77" s="46"/>
    </row>
    <row r="78" spans="3:18">
      <c r="Q78" s="46"/>
      <c r="R78" s="46"/>
    </row>
    <row r="79" spans="3:18">
      <c r="Q79" s="46"/>
      <c r="R79" s="46"/>
    </row>
    <row r="83" spans="17:18">
      <c r="Q83" s="46"/>
      <c r="R83" s="46"/>
    </row>
    <row r="84" spans="17:18">
      <c r="Q84" s="46"/>
      <c r="R84" s="46"/>
    </row>
    <row r="85" spans="17:18">
      <c r="Q85" s="46"/>
      <c r="R85" s="46"/>
    </row>
    <row r="86" spans="17:18">
      <c r="Q86" s="46"/>
      <c r="R86" s="46"/>
    </row>
    <row r="87" spans="17:18">
      <c r="Q87" s="46"/>
      <c r="R87" s="46"/>
    </row>
    <row r="88" spans="17:18">
      <c r="Q88" s="46"/>
      <c r="R88" s="46"/>
    </row>
    <row r="89" spans="17:18">
      <c r="Q89" s="46"/>
      <c r="R89" s="46"/>
    </row>
    <row r="90" spans="17:18">
      <c r="Q90" s="46"/>
      <c r="R90" s="46"/>
    </row>
    <row r="91" spans="17:18">
      <c r="Q91" s="46"/>
      <c r="R91" s="46"/>
    </row>
    <row r="92" spans="17:18">
      <c r="Q92" s="46"/>
      <c r="R92" s="46"/>
    </row>
  </sheetData>
  <mergeCells count="16">
    <mergeCell ref="B6:C6"/>
    <mergeCell ref="O2:Q2"/>
    <mergeCell ref="B2:C2"/>
    <mergeCell ref="D2:E2"/>
    <mergeCell ref="H2:I2"/>
    <mergeCell ref="K2:L2"/>
    <mergeCell ref="O3:Q3"/>
    <mergeCell ref="B4:C4"/>
    <mergeCell ref="K4:L4"/>
    <mergeCell ref="O4:Q4"/>
    <mergeCell ref="B5:C5"/>
    <mergeCell ref="D5:E5"/>
    <mergeCell ref="B3:C3"/>
    <mergeCell ref="D3:E3"/>
    <mergeCell ref="H3:I3"/>
    <mergeCell ref="K3:L3"/>
  </mergeCells>
  <conditionalFormatting sqref="AI10:AI60 AO10:AO60">
    <cfRule type="cellIs" dxfId="1" priority="1" stopIfTrue="1" operator="equal">
      <formula>"Check!"</formula>
    </cfRule>
  </conditionalFormatting>
  <pageMargins left="0.75" right="0.75" top="1" bottom="1" header="0.5" footer="0.5"/>
  <pageSetup paperSize="3" scale="62" fitToHeight="0" orientation="landscape" r:id="rId1"/>
  <headerFooter alignWithMargins="0"/>
  <rowBreaks count="1" manualBreakCount="1">
    <brk id="60" min="1" max="41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3A9E-BA14-4939-9F56-12661213E2A4}">
  <sheetPr>
    <tabColor rgb="FF00B050"/>
    <pageSetUpPr fitToPage="1"/>
  </sheetPr>
  <dimension ref="A1:AQ92"/>
  <sheetViews>
    <sheetView view="pageBreakPreview" zoomScale="110" zoomScaleNormal="100" zoomScaleSheetLayoutView="110" workbookViewId="0">
      <pane ySplit="10" topLeftCell="A11" activePane="bottomLeft" state="frozen"/>
      <selection pane="bottomLeft" activeCell="S69" sqref="S69"/>
    </sheetView>
  </sheetViews>
  <sheetFormatPr defaultColWidth="9.1328125" defaultRowHeight="12.75"/>
  <cols>
    <col min="1" max="1" width="3.265625" style="46" customWidth="1"/>
    <col min="2" max="2" width="16.59765625" style="46" customWidth="1"/>
    <col min="3" max="3" width="9" style="46" bestFit="1" customWidth="1"/>
    <col min="4" max="4" width="14" style="46" customWidth="1"/>
    <col min="5" max="6" width="10.59765625" style="46" customWidth="1"/>
    <col min="7" max="8" width="8.1328125" style="46" customWidth="1"/>
    <col min="9" max="9" width="9.265625" style="46" customWidth="1"/>
    <col min="10" max="10" width="8.1328125" style="46" customWidth="1"/>
    <col min="11" max="11" width="11.3984375" style="46" customWidth="1"/>
    <col min="12" max="16" width="8.1328125" style="46" customWidth="1"/>
    <col min="17" max="17" width="10.73046875" style="48" customWidth="1"/>
    <col min="18" max="20" width="8.1328125" style="48" customWidth="1"/>
    <col min="21" max="21" width="12.265625" style="46" customWidth="1"/>
    <col min="22" max="34" width="8.1328125" style="46" customWidth="1"/>
    <col min="35" max="35" width="13.3984375" style="46" customWidth="1"/>
    <col min="36" max="36" width="13.3984375" style="50" hidden="1" customWidth="1"/>
    <col min="37" max="41" width="0" style="46" hidden="1" customWidth="1"/>
    <col min="42" max="16384" width="9.1328125" style="46"/>
  </cols>
  <sheetData>
    <row r="1" spans="1:43" ht="13.15">
      <c r="B1" s="47"/>
      <c r="C1" s="47"/>
      <c r="D1" s="47"/>
      <c r="E1" s="47"/>
      <c r="F1" s="47"/>
      <c r="L1" s="47"/>
      <c r="M1" s="47"/>
      <c r="N1" s="47"/>
      <c r="O1" s="47" t="s">
        <v>357</v>
      </c>
      <c r="AJ1" s="46"/>
    </row>
    <row r="2" spans="1:43">
      <c r="B2" s="443" t="s">
        <v>9</v>
      </c>
      <c r="C2" s="443"/>
      <c r="D2" s="444" t="s">
        <v>367</v>
      </c>
      <c r="E2" s="445"/>
      <c r="F2" s="119"/>
      <c r="G2" s="119" t="s">
        <v>23</v>
      </c>
      <c r="H2" s="446"/>
      <c r="I2" s="445"/>
      <c r="J2" s="119"/>
      <c r="K2" s="443" t="s">
        <v>18</v>
      </c>
      <c r="L2" s="443"/>
      <c r="M2" s="119"/>
      <c r="N2" s="119"/>
      <c r="O2" s="442" t="s">
        <v>168</v>
      </c>
      <c r="P2" s="442"/>
      <c r="Q2" s="442"/>
      <c r="R2" s="119"/>
      <c r="S2" s="119"/>
      <c r="T2" s="119"/>
      <c r="AJ2" s="46"/>
      <c r="AK2" s="46" t="s">
        <v>44</v>
      </c>
    </row>
    <row r="3" spans="1:43" ht="15.75">
      <c r="B3" s="443" t="s">
        <v>20</v>
      </c>
      <c r="C3" s="443"/>
      <c r="D3" s="445"/>
      <c r="E3" s="445"/>
      <c r="F3" s="119"/>
      <c r="G3" s="119" t="s">
        <v>23</v>
      </c>
      <c r="H3" s="455"/>
      <c r="I3" s="456"/>
      <c r="J3" s="119"/>
      <c r="K3" s="441" t="s">
        <v>17</v>
      </c>
      <c r="L3" s="450"/>
      <c r="M3" s="120"/>
      <c r="N3" s="120"/>
      <c r="O3" s="447" t="s">
        <v>543</v>
      </c>
      <c r="P3" s="448"/>
      <c r="Q3" s="449"/>
      <c r="R3" s="119"/>
      <c r="S3" s="119"/>
      <c r="T3" s="119"/>
      <c r="AJ3" s="46"/>
    </row>
    <row r="4" spans="1:43">
      <c r="B4" s="443"/>
      <c r="C4" s="443"/>
      <c r="D4" s="121"/>
      <c r="E4" s="51"/>
      <c r="F4" s="53"/>
      <c r="G4" s="119"/>
      <c r="H4" s="120"/>
      <c r="I4" s="119"/>
      <c r="J4" s="119"/>
      <c r="K4" s="443"/>
      <c r="L4" s="450"/>
      <c r="M4" s="120"/>
      <c r="N4" s="120"/>
      <c r="O4" s="451"/>
      <c r="P4" s="451"/>
      <c r="Q4" s="452"/>
      <c r="R4" s="119"/>
      <c r="S4" s="119"/>
      <c r="T4" s="119"/>
      <c r="AJ4" s="46"/>
    </row>
    <row r="5" spans="1:43" ht="13.15">
      <c r="B5" s="441" t="s">
        <v>19</v>
      </c>
      <c r="C5" s="441"/>
      <c r="D5" s="453" t="s">
        <v>549</v>
      </c>
      <c r="E5" s="454"/>
      <c r="F5" s="52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X5" s="390" t="s">
        <v>180</v>
      </c>
      <c r="Y5" s="128" t="s">
        <v>181</v>
      </c>
      <c r="Z5" s="55" t="s">
        <v>182</v>
      </c>
      <c r="AA5" s="129" t="s">
        <v>183</v>
      </c>
      <c r="AB5" s="55" t="s">
        <v>184</v>
      </c>
      <c r="AC5" s="55" t="s">
        <v>185</v>
      </c>
      <c r="AD5" s="55" t="s">
        <v>186</v>
      </c>
      <c r="AE5" s="129" t="s">
        <v>187</v>
      </c>
      <c r="AF5" s="55" t="s">
        <v>188</v>
      </c>
      <c r="AG5" s="55" t="s">
        <v>189</v>
      </c>
      <c r="AH5" s="54" t="s">
        <v>190</v>
      </c>
      <c r="AI5" s="56"/>
    </row>
    <row r="6" spans="1:43" ht="13.5" thickBot="1">
      <c r="B6" s="441" t="s">
        <v>10</v>
      </c>
      <c r="C6" s="441"/>
      <c r="D6" s="53" t="s">
        <v>11</v>
      </c>
      <c r="E6" s="119">
        <v>1.2999999999999999E-2</v>
      </c>
      <c r="F6" s="119"/>
      <c r="G6" s="119" t="s">
        <v>22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35" t="s">
        <v>0</v>
      </c>
      <c r="V6" s="54"/>
      <c r="W6" s="54"/>
      <c r="X6" s="101"/>
      <c r="Y6" s="102"/>
      <c r="Z6" s="102"/>
      <c r="AA6" s="130" t="s">
        <v>191</v>
      </c>
      <c r="AB6" s="101"/>
      <c r="AC6" s="102"/>
      <c r="AD6" s="102"/>
      <c r="AE6" s="130" t="s">
        <v>191</v>
      </c>
      <c r="AF6" s="55" t="s">
        <v>192</v>
      </c>
      <c r="AG6" s="55" t="s">
        <v>192</v>
      </c>
      <c r="AH6" s="54" t="s">
        <v>38</v>
      </c>
      <c r="AI6" s="56" t="s">
        <v>32</v>
      </c>
      <c r="AJ6" s="54" t="s">
        <v>35</v>
      </c>
      <c r="AK6" s="56" t="s">
        <v>28</v>
      </c>
      <c r="AL6" s="56" t="s">
        <v>32</v>
      </c>
      <c r="AM6" s="54" t="s">
        <v>38</v>
      </c>
      <c r="AN6" s="56" t="s">
        <v>32</v>
      </c>
      <c r="AO6" s="56" t="s">
        <v>26</v>
      </c>
    </row>
    <row r="7" spans="1:43" ht="13.15">
      <c r="B7" s="57"/>
      <c r="C7" s="57"/>
      <c r="D7" s="58"/>
      <c r="E7" s="59" t="s">
        <v>45</v>
      </c>
      <c r="F7" s="59" t="s">
        <v>45</v>
      </c>
      <c r="G7" s="60" t="s">
        <v>46</v>
      </c>
      <c r="H7" s="60" t="s">
        <v>47</v>
      </c>
      <c r="I7" s="60" t="s">
        <v>173</v>
      </c>
      <c r="J7" s="60" t="s">
        <v>155</v>
      </c>
      <c r="K7" s="60" t="s">
        <v>174</v>
      </c>
      <c r="L7" s="60" t="s">
        <v>175</v>
      </c>
      <c r="M7" s="60" t="s">
        <v>175</v>
      </c>
      <c r="N7" s="60" t="s">
        <v>170</v>
      </c>
      <c r="O7" s="60" t="s">
        <v>176</v>
      </c>
      <c r="P7" s="60" t="s">
        <v>48</v>
      </c>
      <c r="Q7" s="61" t="s">
        <v>43</v>
      </c>
      <c r="R7" s="60" t="s">
        <v>49</v>
      </c>
      <c r="S7" s="60" t="s">
        <v>49</v>
      </c>
      <c r="T7" s="116"/>
      <c r="U7" s="62" t="s">
        <v>24</v>
      </c>
      <c r="V7" s="54" t="s">
        <v>29</v>
      </c>
      <c r="W7" s="54" t="s">
        <v>29</v>
      </c>
      <c r="X7" s="101" t="s">
        <v>193</v>
      </c>
      <c r="Y7" s="102" t="s">
        <v>193</v>
      </c>
      <c r="Z7" s="102" t="s">
        <v>194</v>
      </c>
      <c r="AA7" s="130" t="s">
        <v>194</v>
      </c>
      <c r="AB7" s="102" t="s">
        <v>195</v>
      </c>
      <c r="AC7" s="102" t="s">
        <v>195</v>
      </c>
      <c r="AD7" s="102" t="s">
        <v>196</v>
      </c>
      <c r="AE7" s="131" t="s">
        <v>196</v>
      </c>
      <c r="AF7" s="63" t="s">
        <v>28</v>
      </c>
      <c r="AG7" s="63" t="s">
        <v>50</v>
      </c>
      <c r="AH7" s="54" t="s">
        <v>37</v>
      </c>
      <c r="AI7" s="54" t="s">
        <v>35</v>
      </c>
      <c r="AJ7" s="56"/>
      <c r="AK7" s="56"/>
      <c r="AL7" s="56"/>
      <c r="AM7" s="56"/>
      <c r="AN7" s="54"/>
      <c r="AO7" s="56"/>
    </row>
    <row r="8" spans="1:43" ht="13.15">
      <c r="B8" s="64"/>
      <c r="C8" s="65" t="s">
        <v>0</v>
      </c>
      <c r="D8" s="65" t="s">
        <v>8</v>
      </c>
      <c r="E8" s="64" t="s">
        <v>16</v>
      </c>
      <c r="F8" s="64" t="s">
        <v>16</v>
      </c>
      <c r="G8" s="66" t="s">
        <v>12</v>
      </c>
      <c r="H8" s="66" t="s">
        <v>177</v>
      </c>
      <c r="I8" s="66" t="s">
        <v>25</v>
      </c>
      <c r="J8" s="66" t="s">
        <v>154</v>
      </c>
      <c r="K8" s="66" t="s">
        <v>14</v>
      </c>
      <c r="L8" s="66" t="s">
        <v>14</v>
      </c>
      <c r="M8" s="66" t="s">
        <v>14</v>
      </c>
      <c r="N8" s="66" t="s">
        <v>15</v>
      </c>
      <c r="O8" s="66" t="s">
        <v>15</v>
      </c>
      <c r="P8" s="66" t="s">
        <v>13</v>
      </c>
      <c r="Q8" s="67" t="s">
        <v>13</v>
      </c>
      <c r="R8" s="66" t="s">
        <v>178</v>
      </c>
      <c r="S8" s="66" t="s">
        <v>178</v>
      </c>
      <c r="T8" s="117" t="s">
        <v>41</v>
      </c>
      <c r="U8" s="68" t="s">
        <v>30</v>
      </c>
      <c r="V8" s="69" t="s">
        <v>26</v>
      </c>
      <c r="W8" s="69" t="s">
        <v>26</v>
      </c>
      <c r="X8" s="103" t="s">
        <v>5</v>
      </c>
      <c r="Y8" s="102" t="s">
        <v>197</v>
      </c>
      <c r="Z8" s="132" t="s">
        <v>198</v>
      </c>
      <c r="AA8" s="133" t="s">
        <v>198</v>
      </c>
      <c r="AB8" s="102" t="s">
        <v>5</v>
      </c>
      <c r="AC8" s="102" t="s">
        <v>197</v>
      </c>
      <c r="AD8" s="132" t="s">
        <v>198</v>
      </c>
      <c r="AE8" s="133" t="s">
        <v>198</v>
      </c>
      <c r="AF8" s="63" t="s">
        <v>26</v>
      </c>
      <c r="AG8" s="63" t="s">
        <v>26</v>
      </c>
      <c r="AH8" s="70" t="s">
        <v>166</v>
      </c>
      <c r="AI8" s="54" t="s">
        <v>36</v>
      </c>
      <c r="AJ8" s="56" t="s">
        <v>41</v>
      </c>
      <c r="AK8" s="56" t="s">
        <v>41</v>
      </c>
      <c r="AL8" s="56" t="s">
        <v>31</v>
      </c>
      <c r="AM8" s="56" t="s">
        <v>40</v>
      </c>
      <c r="AN8" s="54" t="s">
        <v>37</v>
      </c>
      <c r="AO8" s="56" t="s">
        <v>33</v>
      </c>
    </row>
    <row r="9" spans="1:43" ht="13.5" thickBot="1">
      <c r="B9" s="71"/>
      <c r="C9" s="71"/>
      <c r="D9" s="71"/>
      <c r="E9" s="71" t="s">
        <v>171</v>
      </c>
      <c r="F9" s="71" t="s">
        <v>169</v>
      </c>
      <c r="G9" s="72"/>
      <c r="H9" s="71"/>
      <c r="I9" s="71"/>
      <c r="J9" s="71" t="s">
        <v>169</v>
      </c>
      <c r="K9" s="71"/>
      <c r="L9" s="71" t="s">
        <v>27</v>
      </c>
      <c r="M9" s="71" t="s">
        <v>169</v>
      </c>
      <c r="N9" s="71" t="s">
        <v>171</v>
      </c>
      <c r="O9" s="71" t="s">
        <v>169</v>
      </c>
      <c r="P9" s="71"/>
      <c r="Q9" s="73"/>
      <c r="R9" s="71" t="s">
        <v>171</v>
      </c>
      <c r="S9" s="71" t="s">
        <v>169</v>
      </c>
      <c r="T9" s="118"/>
      <c r="U9" s="74"/>
      <c r="V9" s="75" t="s">
        <v>171</v>
      </c>
      <c r="W9" s="75" t="s">
        <v>169</v>
      </c>
      <c r="X9" s="103" t="s">
        <v>199</v>
      </c>
      <c r="Y9" s="102" t="s">
        <v>5</v>
      </c>
      <c r="Z9" s="102" t="s">
        <v>200</v>
      </c>
      <c r="AA9" s="131" t="s">
        <v>164</v>
      </c>
      <c r="AB9" s="102" t="s">
        <v>199</v>
      </c>
      <c r="AC9" s="102" t="s">
        <v>5</v>
      </c>
      <c r="AD9" s="102" t="s">
        <v>201</v>
      </c>
      <c r="AE9" s="131" t="s">
        <v>165</v>
      </c>
      <c r="AF9" s="76"/>
      <c r="AG9" s="77"/>
      <c r="AH9" s="78"/>
      <c r="AI9" s="77"/>
      <c r="AJ9" s="79"/>
      <c r="AK9" s="80" t="s">
        <v>42</v>
      </c>
      <c r="AL9" s="80" t="s">
        <v>39</v>
      </c>
      <c r="AM9" s="80" t="s">
        <v>39</v>
      </c>
      <c r="AN9" s="81" t="s">
        <v>28</v>
      </c>
      <c r="AO9" s="80" t="s">
        <v>34</v>
      </c>
    </row>
    <row r="10" spans="1:43" ht="13.15">
      <c r="B10" s="82"/>
      <c r="C10" s="83"/>
      <c r="D10" s="83"/>
      <c r="E10" s="83"/>
      <c r="F10" s="83"/>
      <c r="G10" s="84"/>
      <c r="H10" s="85"/>
      <c r="I10" s="86"/>
      <c r="J10" s="86"/>
      <c r="K10" s="87"/>
      <c r="L10" s="87"/>
      <c r="M10" s="87"/>
      <c r="N10" s="87"/>
      <c r="O10" s="85"/>
      <c r="P10" s="87"/>
      <c r="Q10" s="88"/>
      <c r="R10" s="88"/>
      <c r="S10" s="88"/>
      <c r="T10" s="88"/>
      <c r="U10" s="89"/>
      <c r="V10" s="89"/>
      <c r="W10" s="90"/>
      <c r="X10" s="88"/>
      <c r="Y10" s="88"/>
      <c r="Z10" s="88"/>
      <c r="AA10" s="88"/>
      <c r="AB10" s="88"/>
      <c r="AC10" s="88"/>
      <c r="AD10" s="88"/>
      <c r="AE10" s="88"/>
      <c r="AF10" s="88"/>
      <c r="AG10" s="82"/>
      <c r="AH10" s="88"/>
      <c r="AI10" s="88"/>
      <c r="AJ10" s="91"/>
      <c r="AK10" s="104">
        <v>68.45</v>
      </c>
      <c r="AL10" s="104" t="e">
        <f>#REF!+Q10</f>
        <v>#REF!</v>
      </c>
      <c r="AM10" s="104" t="e">
        <f>IF(AL10=#REF!, "Ok!", "Check!")</f>
        <v>#REF!</v>
      </c>
      <c r="AN10" s="104" t="e">
        <f>AJ10-#REF!</f>
        <v>#REF!</v>
      </c>
      <c r="AO10" s="104" t="e">
        <f>IF(AJ10&gt;AL10, "Ok!", "Check!")</f>
        <v>#REF!</v>
      </c>
      <c r="AP10" s="105"/>
    </row>
    <row r="11" spans="1:43" s="92" customFormat="1">
      <c r="B11" s="106"/>
      <c r="C11" s="107"/>
      <c r="D11" s="107"/>
      <c r="E11" s="107"/>
      <c r="F11" s="107"/>
      <c r="G11" s="108"/>
      <c r="H11" s="109"/>
      <c r="I11" s="110"/>
      <c r="J11" s="110"/>
      <c r="K11" s="111"/>
      <c r="L11" s="111"/>
      <c r="M11" s="111"/>
      <c r="N11" s="111"/>
      <c r="O11" s="109"/>
      <c r="P11" s="104"/>
      <c r="Q11" s="104"/>
      <c r="R11" s="104"/>
      <c r="S11" s="104"/>
      <c r="T11" s="104"/>
      <c r="U11" s="112"/>
      <c r="V11" s="112"/>
      <c r="W11" s="113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9"/>
      <c r="AK11" s="104"/>
      <c r="AL11" s="104"/>
      <c r="AM11" s="104"/>
      <c r="AN11" s="104"/>
      <c r="AO11" s="104"/>
      <c r="AP11" s="105"/>
    </row>
    <row r="12" spans="1:43" s="92" customFormat="1" ht="13.15" hidden="1">
      <c r="B12" s="106"/>
      <c r="C12" s="249" t="e">
        <f>'10 Yr Pipe Capacity'!#REF!</f>
        <v>#REF!</v>
      </c>
      <c r="D12" s="249" t="e">
        <f>'10 Yr Pipe Capacity'!#REF!</f>
        <v>#REF!</v>
      </c>
      <c r="E12" s="93" t="e">
        <f>'10 Yr Pipe Capacity'!#REF!</f>
        <v>#REF!</v>
      </c>
      <c r="F12" s="93" t="e">
        <f>'10 Yr Pipe Capacity'!#REF!</f>
        <v>#REF!</v>
      </c>
      <c r="G12" s="94" t="e">
        <f>'10 Yr Pipe Capacity'!#REF!</f>
        <v>#REF!</v>
      </c>
      <c r="H12" s="109" t="e">
        <f>PI()*(G12/12)^2/(4)</f>
        <v>#REF!</v>
      </c>
      <c r="I12" s="110">
        <v>1.2999999999999999E-2</v>
      </c>
      <c r="J12" s="112" t="e">
        <f>VLOOKUP(G12,'Pipe Properties'!$A$2:$D$12,4,0)</f>
        <v>#REF!</v>
      </c>
      <c r="K12" s="95" t="e">
        <f>'10 Yr Pipe Capacity'!#REF!</f>
        <v>#REF!</v>
      </c>
      <c r="L12" s="96" t="e">
        <f>((E12*I12)/(0.463*((G12/12)^2.67)))^2</f>
        <v>#REF!</v>
      </c>
      <c r="M12" s="96" t="e">
        <f>((F12*I12)/(0.463*((G12/12)^2.67)))^2</f>
        <v>#REF!</v>
      </c>
      <c r="N12" s="109" t="e">
        <f>'10 Yr Pipe Capacity'!#REF!</f>
        <v>#REF!</v>
      </c>
      <c r="O12" s="109" t="e">
        <f>'10 Yr Pipe Capacity'!#REF!</f>
        <v>#REF!</v>
      </c>
      <c r="P12" s="114" t="e">
        <f>'10 Yr Pipe Capacity'!#REF!</f>
        <v>#REF!</v>
      </c>
      <c r="Q12" s="97" t="e">
        <f>G12/12</f>
        <v>#REF!</v>
      </c>
      <c r="R12" s="104" t="e">
        <f>P12*L12</f>
        <v>#REF!</v>
      </c>
      <c r="S12" s="104" t="e">
        <f>Q12*M12</f>
        <v>#REF!</v>
      </c>
      <c r="T12" s="136">
        <v>0</v>
      </c>
      <c r="U12" s="126">
        <f>VLOOKUP(T12,'Kb Values MoCo'!$A$2:$D$92,2,FALSE)</f>
        <v>0.5</v>
      </c>
      <c r="V12" s="104" t="e">
        <f>(U12*N12*N12)/64.4</f>
        <v>#REF!</v>
      </c>
      <c r="W12" s="113" t="e">
        <f>(U12*O12*O12)/64.4</f>
        <v>#REF!</v>
      </c>
      <c r="X12" s="98" t="e">
        <f>VLOOKUP(D12,'10 Yr Pipe Capacity'!B14:Q28,17,FALSE)</f>
        <v>#REF!</v>
      </c>
      <c r="Y12" s="134" t="e">
        <f t="shared" ref="Y12:Y20" si="0">X12+G12/12</f>
        <v>#REF!</v>
      </c>
      <c r="Z12" s="98"/>
      <c r="AA12" s="99" t="e">
        <f>Y12</f>
        <v>#REF!</v>
      </c>
      <c r="AB12" s="98" t="e">
        <f>VLOOKUP(D12,'10 Yr Pipe Capacity'!B14:Q28,16,FALSE)</f>
        <v>#REF!</v>
      </c>
      <c r="AC12" s="98" t="e">
        <f>AB12+G12/12</f>
        <v>#REF!</v>
      </c>
      <c r="AD12" s="98" t="e">
        <f>AA12+R12</f>
        <v>#REF!</v>
      </c>
      <c r="AE12" s="99" t="e">
        <f>IF(AD12&gt;AC12,AD12,AC12)</f>
        <v>#REF!</v>
      </c>
      <c r="AF12" s="98" t="e">
        <f>MAX(_xlfn.MAXIFS($AA$12:$AA$45,$C$12:$C$45,D12),AE12)</f>
        <v>#REF!</v>
      </c>
      <c r="AG12" s="98" t="e">
        <f>'10 Yr Pipe Capacity'!#REF!</f>
        <v>#REF!</v>
      </c>
      <c r="AH12" s="115" t="e">
        <f>AG12-AF12</f>
        <v>#REF!</v>
      </c>
      <c r="AI12" s="104" t="e">
        <f t="shared" ref="AI12:AI58" si="1">IF(AH12&gt;0, "Ok!", "Check!")</f>
        <v>#REF!</v>
      </c>
      <c r="AJ12" s="100"/>
      <c r="AK12" s="104"/>
      <c r="AL12" s="104"/>
      <c r="AM12" s="104"/>
      <c r="AN12" s="104"/>
      <c r="AO12" s="104"/>
      <c r="AP12" s="105" t="s">
        <v>179</v>
      </c>
      <c r="AQ12" s="46"/>
    </row>
    <row r="13" spans="1:43" s="92" customFormat="1" ht="13.15" hidden="1">
      <c r="B13" s="106"/>
      <c r="C13" s="249" t="e">
        <f>'10 Yr Pipe Capacity'!#REF!</f>
        <v>#REF!</v>
      </c>
      <c r="D13" s="249" t="e">
        <f>'10 Yr Pipe Capacity'!#REF!</f>
        <v>#REF!</v>
      </c>
      <c r="E13" s="93" t="e">
        <f>'10 Yr Pipe Capacity'!#REF!</f>
        <v>#REF!</v>
      </c>
      <c r="F13" s="93" t="e">
        <f>'10 Yr Pipe Capacity'!#REF!</f>
        <v>#REF!</v>
      </c>
      <c r="G13" s="94" t="e">
        <f>'10 Yr Pipe Capacity'!#REF!</f>
        <v>#REF!</v>
      </c>
      <c r="H13" s="109" t="e">
        <f t="shared" ref="H13:H60" si="2">PI()*(G13/12)^2/(4)</f>
        <v>#REF!</v>
      </c>
      <c r="I13" s="110">
        <v>1.2999999999999999E-2</v>
      </c>
      <c r="J13" s="112" t="e">
        <f>VLOOKUP(G13,'Pipe Properties'!$A$2:$D$12,4,0)</f>
        <v>#REF!</v>
      </c>
      <c r="K13" s="95" t="e">
        <f>'10 Yr Pipe Capacity'!#REF!</f>
        <v>#REF!</v>
      </c>
      <c r="L13" s="96" t="e">
        <f t="shared" ref="L13:L60" si="3">((E13*I13)/(0.463*((G13/12)^2.67)))^2</f>
        <v>#REF!</v>
      </c>
      <c r="M13" s="96" t="e">
        <f t="shared" ref="M13:M60" si="4">((F13*I13)/(0.463*((G13/12)^2.67)))^2</f>
        <v>#REF!</v>
      </c>
      <c r="N13" s="109" t="e">
        <f>'10 Yr Pipe Capacity'!#REF!</f>
        <v>#REF!</v>
      </c>
      <c r="O13" s="109" t="e">
        <f>'10 Yr Pipe Capacity'!#REF!</f>
        <v>#REF!</v>
      </c>
      <c r="P13" s="114" t="e">
        <f>'10 Yr Pipe Capacity'!#REF!</f>
        <v>#REF!</v>
      </c>
      <c r="Q13" s="97" t="e">
        <f t="shared" ref="Q13:Q27" si="5">G13/12</f>
        <v>#REF!</v>
      </c>
      <c r="R13" s="104" t="e">
        <f t="shared" ref="R13:S27" si="6">P13*L13</f>
        <v>#REF!</v>
      </c>
      <c r="S13" s="104" t="e">
        <f>Q13*M13</f>
        <v>#REF!</v>
      </c>
      <c r="T13" s="136">
        <v>0</v>
      </c>
      <c r="U13" s="126">
        <f>VLOOKUP(T13,'Kb Values MoCo'!$A$2:$D$92,2,FALSE)</f>
        <v>0.5</v>
      </c>
      <c r="V13" s="104" t="e">
        <f t="shared" ref="V13:V18" si="7">(U13*N13*N13)/64.4</f>
        <v>#REF!</v>
      </c>
      <c r="W13" s="113" t="e">
        <f>(U13*O13*O13)/64.4</f>
        <v>#REF!</v>
      </c>
      <c r="X13" s="98" t="e">
        <f>VLOOKUP(D13,'10 Yr Pipe Capacity'!B14:Q28,17,FALSE)</f>
        <v>#REF!</v>
      </c>
      <c r="Y13" s="134" t="e">
        <f t="shared" si="0"/>
        <v>#REF!</v>
      </c>
      <c r="Z13" s="98"/>
      <c r="AA13" s="99" t="e">
        <f>IF(Z13&gt;Y13,Z13,Y13)</f>
        <v>#REF!</v>
      </c>
      <c r="AB13" s="98" t="e">
        <f>VLOOKUP(D13,'10 Yr Pipe Capacity'!B14:Q28,16,FALSE)</f>
        <v>#REF!</v>
      </c>
      <c r="AC13" s="98" t="e">
        <f t="shared" ref="AC13:AC16" si="8">AB13+G13/12</f>
        <v>#REF!</v>
      </c>
      <c r="AD13" s="98" t="e">
        <f t="shared" ref="AD13:AD16" si="9">AA13+R13</f>
        <v>#REF!</v>
      </c>
      <c r="AE13" s="99" t="e">
        <f t="shared" ref="AE13:AE58" si="10">IF(AD13&gt;AC13,AD13,AC13)</f>
        <v>#REF!</v>
      </c>
      <c r="AF13" s="98" t="e">
        <f t="shared" ref="AF13:AF54" si="11">MAX(_xlfn.MAXIFS($AA$12:$AA$45,$C$12:$C$45,D13),AE13)</f>
        <v>#REF!</v>
      </c>
      <c r="AG13" s="98" t="e">
        <f>'10 Yr Pipe Capacity'!#REF!</f>
        <v>#REF!</v>
      </c>
      <c r="AH13" s="115" t="e">
        <f t="shared" ref="AH13:AH16" si="12">AG13-AF13</f>
        <v>#REF!</v>
      </c>
      <c r="AI13" s="104" t="e">
        <f t="shared" si="1"/>
        <v>#REF!</v>
      </c>
      <c r="AJ13" s="100"/>
      <c r="AK13" s="104"/>
      <c r="AL13" s="104"/>
      <c r="AM13" s="104"/>
      <c r="AN13" s="104"/>
      <c r="AO13" s="104"/>
      <c r="AP13" s="105" t="s">
        <v>179</v>
      </c>
      <c r="AQ13" s="46"/>
    </row>
    <row r="14" spans="1:43" ht="13.15" hidden="1">
      <c r="A14" s="92"/>
      <c r="B14" s="106"/>
      <c r="C14" s="249" t="e">
        <f>'10 Yr Pipe Capacity'!#REF!</f>
        <v>#REF!</v>
      </c>
      <c r="D14" s="249" t="e">
        <f>'10 Yr Pipe Capacity'!#REF!</f>
        <v>#REF!</v>
      </c>
      <c r="E14" s="93" t="e">
        <f>'10 Yr Pipe Capacity'!#REF!</f>
        <v>#REF!</v>
      </c>
      <c r="F14" s="93" t="e">
        <f>'10 Yr Pipe Capacity'!#REF!</f>
        <v>#REF!</v>
      </c>
      <c r="G14" s="94" t="e">
        <f>'10 Yr Pipe Capacity'!#REF!</f>
        <v>#REF!</v>
      </c>
      <c r="H14" s="109" t="e">
        <f t="shared" si="2"/>
        <v>#REF!</v>
      </c>
      <c r="I14" s="110">
        <v>1.2999999999999999E-2</v>
      </c>
      <c r="J14" s="112" t="e">
        <f>VLOOKUP(G14,'Pipe Properties'!$A$2:$D$12,4,0)</f>
        <v>#REF!</v>
      </c>
      <c r="K14" s="95" t="e">
        <f>'10 Yr Pipe Capacity'!#REF!</f>
        <v>#REF!</v>
      </c>
      <c r="L14" s="96" t="e">
        <f>((E14*I14)/(0.463*((G14/12)^2.67)))^2</f>
        <v>#REF!</v>
      </c>
      <c r="M14" s="96" t="e">
        <f t="shared" si="4"/>
        <v>#REF!</v>
      </c>
      <c r="N14" s="109" t="e">
        <f>'10 Yr Pipe Capacity'!#REF!</f>
        <v>#REF!</v>
      </c>
      <c r="O14" s="109" t="e">
        <f>'10 Yr Pipe Capacity'!#REF!</f>
        <v>#REF!</v>
      </c>
      <c r="P14" s="114" t="e">
        <f>'10 Yr Pipe Capacity'!#REF!</f>
        <v>#REF!</v>
      </c>
      <c r="Q14" s="97" t="e">
        <f t="shared" si="5"/>
        <v>#REF!</v>
      </c>
      <c r="R14" s="104" t="e">
        <f t="shared" si="6"/>
        <v>#REF!</v>
      </c>
      <c r="S14" s="104" t="e">
        <f t="shared" si="6"/>
        <v>#REF!</v>
      </c>
      <c r="T14" s="136">
        <v>0</v>
      </c>
      <c r="U14" s="126">
        <f>VLOOKUP(T14,'Kb Values MoCo'!$A$2:$D$92,2,FALSE)</f>
        <v>0.5</v>
      </c>
      <c r="V14" s="104" t="e">
        <f t="shared" si="7"/>
        <v>#REF!</v>
      </c>
      <c r="W14" s="113" t="e">
        <f t="shared" ref="W14:W58" si="13">(U14*O14*O14)/64.4</f>
        <v>#REF!</v>
      </c>
      <c r="X14" s="98" t="e">
        <f>VLOOKUP(D14,'10 Yr Pipe Capacity'!B14:Q28,17,FALSE)</f>
        <v>#REF!</v>
      </c>
      <c r="Y14" s="134" t="e">
        <f t="shared" si="0"/>
        <v>#REF!</v>
      </c>
      <c r="Z14" s="98"/>
      <c r="AA14" s="99" t="e">
        <f t="shared" ref="AA14:AA17" si="14">IF(Z14&gt;Y14,Z14,Y14)</f>
        <v>#REF!</v>
      </c>
      <c r="AB14" s="98" t="e">
        <f>VLOOKUP(D14,'10 Yr Pipe Capacity'!B14:Q28,16,FALSE)</f>
        <v>#REF!</v>
      </c>
      <c r="AC14" s="98" t="e">
        <f t="shared" si="8"/>
        <v>#REF!</v>
      </c>
      <c r="AD14" s="98" t="e">
        <f t="shared" si="9"/>
        <v>#REF!</v>
      </c>
      <c r="AE14" s="99" t="e">
        <f t="shared" si="10"/>
        <v>#REF!</v>
      </c>
      <c r="AF14" s="98" t="e">
        <f>MAX(_xlfn.MAXIFS($AA$12:$AA$45,$C$12:$C$45,D14),AE14)</f>
        <v>#REF!</v>
      </c>
      <c r="AG14" s="98" t="e">
        <f>'10 Yr Pipe Capacity'!#REF!</f>
        <v>#REF!</v>
      </c>
      <c r="AH14" s="115" t="e">
        <f t="shared" si="12"/>
        <v>#REF!</v>
      </c>
      <c r="AI14" s="104" t="e">
        <f t="shared" si="1"/>
        <v>#REF!</v>
      </c>
      <c r="AJ14" s="100"/>
      <c r="AK14" s="104"/>
      <c r="AL14" s="104"/>
      <c r="AM14" s="104"/>
      <c r="AN14" s="104"/>
      <c r="AO14" s="104"/>
      <c r="AP14" s="105" t="s">
        <v>179</v>
      </c>
    </row>
    <row r="15" spans="1:43" ht="13.15" hidden="1">
      <c r="B15" s="106"/>
      <c r="C15" s="249" t="e">
        <f>'10 Yr Pipe Capacity'!#REF!</f>
        <v>#REF!</v>
      </c>
      <c r="D15" s="249" t="e">
        <f>'10 Yr Pipe Capacity'!#REF!</f>
        <v>#REF!</v>
      </c>
      <c r="E15" s="93" t="e">
        <f>'10 Yr Pipe Capacity'!#REF!</f>
        <v>#REF!</v>
      </c>
      <c r="F15" s="93" t="e">
        <f>'10 Yr Pipe Capacity'!#REF!</f>
        <v>#REF!</v>
      </c>
      <c r="G15" s="94" t="e">
        <f>'10 Yr Pipe Capacity'!#REF!</f>
        <v>#REF!</v>
      </c>
      <c r="H15" s="109" t="e">
        <f t="shared" si="2"/>
        <v>#REF!</v>
      </c>
      <c r="I15" s="110">
        <v>1.2999999999999999E-2</v>
      </c>
      <c r="J15" s="112" t="e">
        <f>VLOOKUP(G15,'Pipe Properties'!$A$2:$D$12,4,0)</f>
        <v>#REF!</v>
      </c>
      <c r="K15" s="95" t="e">
        <f>'10 Yr Pipe Capacity'!#REF!</f>
        <v>#REF!</v>
      </c>
      <c r="L15" s="96" t="e">
        <f t="shared" si="3"/>
        <v>#REF!</v>
      </c>
      <c r="M15" s="96" t="e">
        <f t="shared" si="4"/>
        <v>#REF!</v>
      </c>
      <c r="N15" s="109" t="e">
        <f>'10 Yr Pipe Capacity'!#REF!</f>
        <v>#REF!</v>
      </c>
      <c r="O15" s="109" t="e">
        <f>'10 Yr Pipe Capacity'!#REF!</f>
        <v>#REF!</v>
      </c>
      <c r="P15" s="114" t="e">
        <f>'10 Yr Pipe Capacity'!#REF!</f>
        <v>#REF!</v>
      </c>
      <c r="Q15" s="97" t="e">
        <f t="shared" si="5"/>
        <v>#REF!</v>
      </c>
      <c r="R15" s="104" t="e">
        <f t="shared" si="6"/>
        <v>#REF!</v>
      </c>
      <c r="S15" s="104" t="e">
        <f t="shared" si="6"/>
        <v>#REF!</v>
      </c>
      <c r="T15" s="136">
        <v>15</v>
      </c>
      <c r="U15" s="126">
        <f>VLOOKUP(T15,'Kb Values MoCo'!$A$2:$D$92,3,FALSE)</f>
        <v>0.35</v>
      </c>
      <c r="V15" s="104" t="e">
        <f t="shared" si="7"/>
        <v>#REF!</v>
      </c>
      <c r="W15" s="113" t="e">
        <f t="shared" si="13"/>
        <v>#REF!</v>
      </c>
      <c r="X15" s="98" t="e">
        <f>VLOOKUP(D15,'10 Yr Pipe Capacity'!B14:Q28,17,FALSE)</f>
        <v>#REF!</v>
      </c>
      <c r="Y15" s="134" t="e">
        <f t="shared" si="0"/>
        <v>#REF!</v>
      </c>
      <c r="Z15" s="98"/>
      <c r="AA15" s="99" t="e">
        <f t="shared" si="14"/>
        <v>#REF!</v>
      </c>
      <c r="AB15" s="98" t="e">
        <f>VLOOKUP(D15,'10 Yr Pipe Capacity'!B14:Q28,16,FALSE)</f>
        <v>#REF!</v>
      </c>
      <c r="AC15" s="98" t="e">
        <f t="shared" si="8"/>
        <v>#REF!</v>
      </c>
      <c r="AD15" s="98" t="e">
        <f t="shared" si="9"/>
        <v>#REF!</v>
      </c>
      <c r="AE15" s="99" t="e">
        <f t="shared" si="10"/>
        <v>#REF!</v>
      </c>
      <c r="AF15" s="98" t="e">
        <f t="shared" si="11"/>
        <v>#REF!</v>
      </c>
      <c r="AG15" s="98" t="e">
        <f>'10 Yr Pipe Capacity'!#REF!</f>
        <v>#REF!</v>
      </c>
      <c r="AH15" s="115" t="e">
        <f t="shared" si="12"/>
        <v>#REF!</v>
      </c>
      <c r="AI15" s="104" t="e">
        <f t="shared" si="1"/>
        <v>#REF!</v>
      </c>
      <c r="AJ15" s="100"/>
      <c r="AK15" s="104"/>
      <c r="AL15" s="104"/>
      <c r="AM15" s="104"/>
      <c r="AN15" s="104"/>
      <c r="AO15" s="104"/>
      <c r="AP15" s="105" t="s">
        <v>179</v>
      </c>
    </row>
    <row r="16" spans="1:43" ht="13.15" hidden="1">
      <c r="B16" s="106"/>
      <c r="C16" s="249" t="e">
        <f>'10 Yr Pipe Capacity'!#REF!</f>
        <v>#REF!</v>
      </c>
      <c r="D16" s="249" t="e">
        <f>'10 Yr Pipe Capacity'!#REF!</f>
        <v>#REF!</v>
      </c>
      <c r="E16" s="93" t="e">
        <f>'10 Yr Pipe Capacity'!#REF!</f>
        <v>#REF!</v>
      </c>
      <c r="F16" s="93" t="e">
        <f>'10 Yr Pipe Capacity'!#REF!</f>
        <v>#REF!</v>
      </c>
      <c r="G16" s="94" t="e">
        <f>'10 Yr Pipe Capacity'!#REF!</f>
        <v>#REF!</v>
      </c>
      <c r="H16" s="109" t="e">
        <f t="shared" si="2"/>
        <v>#REF!</v>
      </c>
      <c r="I16" s="110">
        <v>1.2999999999999999E-2</v>
      </c>
      <c r="J16" s="112" t="e">
        <f>VLOOKUP(G16,'Pipe Properties'!$A$2:$D$12,4,0)</f>
        <v>#REF!</v>
      </c>
      <c r="K16" s="95" t="e">
        <f>'10 Yr Pipe Capacity'!#REF!</f>
        <v>#REF!</v>
      </c>
      <c r="L16" s="96" t="e">
        <f t="shared" si="3"/>
        <v>#REF!</v>
      </c>
      <c r="M16" s="96" t="e">
        <f t="shared" si="4"/>
        <v>#REF!</v>
      </c>
      <c r="N16" s="109" t="e">
        <f>'10 Yr Pipe Capacity'!#REF!</f>
        <v>#REF!</v>
      </c>
      <c r="O16" s="109" t="e">
        <f>'10 Yr Pipe Capacity'!#REF!</f>
        <v>#REF!</v>
      </c>
      <c r="P16" s="114" t="e">
        <f>'10 Yr Pipe Capacity'!#REF!</f>
        <v>#REF!</v>
      </c>
      <c r="Q16" s="97" t="e">
        <f t="shared" si="5"/>
        <v>#REF!</v>
      </c>
      <c r="R16" s="104" t="e">
        <f t="shared" si="6"/>
        <v>#REF!</v>
      </c>
      <c r="S16" s="104" t="e">
        <f t="shared" si="6"/>
        <v>#REF!</v>
      </c>
      <c r="T16" s="136">
        <v>0</v>
      </c>
      <c r="U16" s="126">
        <f>VLOOKUP(T16,'Kb Values MoCo'!$A$2:$D$92,2,FALSE)</f>
        <v>0.5</v>
      </c>
      <c r="V16" s="104" t="e">
        <f t="shared" si="7"/>
        <v>#REF!</v>
      </c>
      <c r="W16" s="113" t="e">
        <f t="shared" si="13"/>
        <v>#REF!</v>
      </c>
      <c r="X16" s="98" t="e">
        <f>VLOOKUP(D16,'10 Yr Pipe Capacity'!B14:Q28,17,FALSE)</f>
        <v>#REF!</v>
      </c>
      <c r="Y16" s="134" t="e">
        <f t="shared" si="0"/>
        <v>#REF!</v>
      </c>
      <c r="Z16" s="98"/>
      <c r="AA16" s="99" t="e">
        <f t="shared" si="14"/>
        <v>#REF!</v>
      </c>
      <c r="AB16" s="98" t="e">
        <f>VLOOKUP(D16,'10 Yr Pipe Capacity'!B14:Q28,16,FALSE)</f>
        <v>#REF!</v>
      </c>
      <c r="AC16" s="98" t="e">
        <f t="shared" si="8"/>
        <v>#REF!</v>
      </c>
      <c r="AD16" s="98" t="e">
        <f t="shared" si="9"/>
        <v>#REF!</v>
      </c>
      <c r="AE16" s="99" t="e">
        <f t="shared" si="10"/>
        <v>#REF!</v>
      </c>
      <c r="AF16" s="98" t="e">
        <f t="shared" si="11"/>
        <v>#REF!</v>
      </c>
      <c r="AG16" s="98" t="e">
        <f>'10 Yr Pipe Capacity'!#REF!</f>
        <v>#REF!</v>
      </c>
      <c r="AH16" s="115" t="e">
        <f t="shared" si="12"/>
        <v>#REF!</v>
      </c>
      <c r="AI16" s="104" t="e">
        <f t="shared" si="1"/>
        <v>#REF!</v>
      </c>
      <c r="AJ16" s="100"/>
      <c r="AK16" s="104"/>
      <c r="AL16" s="104"/>
      <c r="AM16" s="104"/>
      <c r="AN16" s="104"/>
      <c r="AO16" s="104"/>
      <c r="AP16" s="105" t="s">
        <v>179</v>
      </c>
    </row>
    <row r="17" spans="2:43" ht="13.15" hidden="1">
      <c r="B17" s="106"/>
      <c r="C17" s="249" t="e">
        <f>'10 Yr Pipe Capacity'!#REF!</f>
        <v>#REF!</v>
      </c>
      <c r="D17" s="249" t="e">
        <f>'10 Yr Pipe Capacity'!#REF!</f>
        <v>#REF!</v>
      </c>
      <c r="E17" s="93" t="e">
        <f>'10 Yr Pipe Capacity'!#REF!</f>
        <v>#REF!</v>
      </c>
      <c r="F17" s="93" t="e">
        <f>'10 Yr Pipe Capacity'!#REF!</f>
        <v>#REF!</v>
      </c>
      <c r="G17" s="94" t="e">
        <f>'10 Yr Pipe Capacity'!#REF!</f>
        <v>#REF!</v>
      </c>
      <c r="H17" s="109" t="e">
        <f t="shared" si="2"/>
        <v>#REF!</v>
      </c>
      <c r="I17" s="110">
        <v>1.2999999999999999E-2</v>
      </c>
      <c r="J17" s="112" t="e">
        <f>VLOOKUP(G17,'Pipe Properties'!$A$2:$D$12,4,0)</f>
        <v>#REF!</v>
      </c>
      <c r="K17" s="95" t="e">
        <f>'10 Yr Pipe Capacity'!#REF!</f>
        <v>#REF!</v>
      </c>
      <c r="L17" s="96" t="e">
        <f t="shared" si="3"/>
        <v>#REF!</v>
      </c>
      <c r="M17" s="96" t="e">
        <f t="shared" si="4"/>
        <v>#REF!</v>
      </c>
      <c r="N17" s="109" t="e">
        <f>'10 Yr Pipe Capacity'!#REF!</f>
        <v>#REF!</v>
      </c>
      <c r="O17" s="109" t="e">
        <f>'10 Yr Pipe Capacity'!#REF!</f>
        <v>#REF!</v>
      </c>
      <c r="P17" s="114" t="e">
        <f>'10 Yr Pipe Capacity'!#REF!</f>
        <v>#REF!</v>
      </c>
      <c r="Q17" s="97" t="e">
        <f t="shared" si="5"/>
        <v>#REF!</v>
      </c>
      <c r="R17" s="104" t="e">
        <f t="shared" si="6"/>
        <v>#REF!</v>
      </c>
      <c r="S17" s="104" t="e">
        <f t="shared" si="6"/>
        <v>#REF!</v>
      </c>
      <c r="T17" s="136">
        <v>70</v>
      </c>
      <c r="U17" s="126">
        <f>VLOOKUP(T17,'Kb Values MoCo'!$A$2:$D$92,3,FALSE)</f>
        <v>0.9</v>
      </c>
      <c r="V17" s="104" t="e">
        <f t="shared" si="7"/>
        <v>#REF!</v>
      </c>
      <c r="W17" s="113" t="e">
        <f t="shared" si="13"/>
        <v>#REF!</v>
      </c>
      <c r="X17" s="98" t="e">
        <f>VLOOKUP(D17,'10 Yr Pipe Capacity'!B14:Q28,17,FALSE)</f>
        <v>#REF!</v>
      </c>
      <c r="Y17" s="134" t="e">
        <f>X17+G17/12</f>
        <v>#REF!</v>
      </c>
      <c r="Z17" s="98"/>
      <c r="AA17" s="99" t="e">
        <f t="shared" si="14"/>
        <v>#REF!</v>
      </c>
      <c r="AB17" s="98" t="e">
        <f>VLOOKUP(D17,'10 Yr Pipe Capacity'!B14:Q28,16,FALSE)</f>
        <v>#REF!</v>
      </c>
      <c r="AC17" s="98" t="e">
        <f>AB17+G17/12</f>
        <v>#REF!</v>
      </c>
      <c r="AD17" s="98" t="e">
        <f>AA17+R17</f>
        <v>#REF!</v>
      </c>
      <c r="AE17" s="99" t="e">
        <f t="shared" si="10"/>
        <v>#REF!</v>
      </c>
      <c r="AF17" s="98" t="e">
        <f t="shared" si="11"/>
        <v>#REF!</v>
      </c>
      <c r="AG17" s="98" t="e">
        <f>'10 Yr Pipe Capacity'!#REF!</f>
        <v>#REF!</v>
      </c>
      <c r="AH17" s="115" t="e">
        <f>AG17-AF17</f>
        <v>#REF!</v>
      </c>
      <c r="AI17" s="104" t="e">
        <f t="shared" si="1"/>
        <v>#REF!</v>
      </c>
      <c r="AJ17" s="100"/>
      <c r="AK17" s="104"/>
      <c r="AL17" s="104"/>
      <c r="AM17" s="104"/>
      <c r="AN17" s="104"/>
      <c r="AO17" s="104"/>
      <c r="AP17" s="105" t="s">
        <v>179</v>
      </c>
    </row>
    <row r="18" spans="2:43" ht="13.15" hidden="1">
      <c r="B18" s="106"/>
      <c r="C18" s="249" t="e">
        <f>'10 Yr Pipe Capacity'!#REF!</f>
        <v>#REF!</v>
      </c>
      <c r="D18" s="249" t="e">
        <f>'10 Yr Pipe Capacity'!#REF!</f>
        <v>#REF!</v>
      </c>
      <c r="E18" s="93" t="e">
        <f>'10 Yr Pipe Capacity'!#REF!</f>
        <v>#REF!</v>
      </c>
      <c r="F18" s="93" t="e">
        <f>'10 Yr Pipe Capacity'!#REF!</f>
        <v>#REF!</v>
      </c>
      <c r="G18" s="94" t="e">
        <f>'10 Yr Pipe Capacity'!#REF!</f>
        <v>#REF!</v>
      </c>
      <c r="H18" s="109" t="e">
        <f t="shared" si="2"/>
        <v>#REF!</v>
      </c>
      <c r="I18" s="110">
        <v>1.2999999999999999E-2</v>
      </c>
      <c r="J18" s="112" t="e">
        <f>VLOOKUP(G18,'Pipe Properties'!$A$2:$D$12,4,0)</f>
        <v>#REF!</v>
      </c>
      <c r="K18" s="95" t="e">
        <f>'10 Yr Pipe Capacity'!#REF!</f>
        <v>#REF!</v>
      </c>
      <c r="L18" s="96" t="e">
        <f t="shared" si="3"/>
        <v>#REF!</v>
      </c>
      <c r="M18" s="96" t="e">
        <f t="shared" si="4"/>
        <v>#REF!</v>
      </c>
      <c r="N18" s="109" t="e">
        <f>'10 Yr Pipe Capacity'!#REF!</f>
        <v>#REF!</v>
      </c>
      <c r="O18" s="109" t="e">
        <f>'10 Yr Pipe Capacity'!#REF!</f>
        <v>#REF!</v>
      </c>
      <c r="P18" s="114" t="e">
        <f>'10 Yr Pipe Capacity'!#REF!</f>
        <v>#REF!</v>
      </c>
      <c r="Q18" s="97" t="e">
        <f t="shared" si="5"/>
        <v>#REF!</v>
      </c>
      <c r="R18" s="104" t="e">
        <f t="shared" si="6"/>
        <v>#REF!</v>
      </c>
      <c r="S18" s="104" t="e">
        <f t="shared" si="6"/>
        <v>#REF!</v>
      </c>
      <c r="T18" s="136">
        <v>75</v>
      </c>
      <c r="U18" s="126">
        <f>VLOOKUP(T18,'Kb Values MoCo'!$A$2:$D$92,3,FALSE)</f>
        <v>0.92</v>
      </c>
      <c r="V18" s="104" t="e">
        <f t="shared" si="7"/>
        <v>#REF!</v>
      </c>
      <c r="W18" s="113" t="e">
        <f t="shared" si="13"/>
        <v>#REF!</v>
      </c>
      <c r="X18" s="98" t="e">
        <f>VLOOKUP(D18,'10 Yr Pipe Capacity'!B14:Q29,17,FALSE)</f>
        <v>#REF!</v>
      </c>
      <c r="Y18" s="134" t="e">
        <f t="shared" si="0"/>
        <v>#REF!</v>
      </c>
      <c r="Z18" s="98"/>
      <c r="AA18" s="99" t="e">
        <f t="shared" ref="AA18" si="15">Y18</f>
        <v>#REF!</v>
      </c>
      <c r="AB18" s="98" t="e">
        <f>VLOOKUP(D18,'10 Yr Pipe Capacity'!B14:Q29,16,FALSE)</f>
        <v>#REF!</v>
      </c>
      <c r="AC18" s="98" t="e">
        <f t="shared" ref="AC18:AC58" si="16">AB18+G18/12</f>
        <v>#REF!</v>
      </c>
      <c r="AD18" s="98" t="e">
        <f t="shared" ref="AD18:AD57" si="17">AA18+R18</f>
        <v>#REF!</v>
      </c>
      <c r="AE18" s="99" t="e">
        <f t="shared" si="10"/>
        <v>#REF!</v>
      </c>
      <c r="AF18" s="98" t="e">
        <f t="shared" si="11"/>
        <v>#REF!</v>
      </c>
      <c r="AG18" s="98" t="e">
        <f>'10 Yr Pipe Capacity'!#REF!</f>
        <v>#REF!</v>
      </c>
      <c r="AH18" s="115" t="e">
        <f t="shared" ref="AH18:AH58" si="18">AG18-AF18</f>
        <v>#REF!</v>
      </c>
      <c r="AI18" s="104" t="e">
        <f t="shared" si="1"/>
        <v>#REF!</v>
      </c>
      <c r="AJ18" s="100"/>
      <c r="AK18" s="104"/>
      <c r="AL18" s="104"/>
      <c r="AM18" s="104"/>
      <c r="AN18" s="104"/>
      <c r="AO18" s="104"/>
      <c r="AP18" s="105"/>
    </row>
    <row r="19" spans="2:43" ht="13.15" hidden="1">
      <c r="B19" s="106"/>
      <c r="C19" s="249"/>
      <c r="D19" s="249"/>
      <c r="E19" s="93"/>
      <c r="F19" s="93"/>
      <c r="G19" s="94"/>
      <c r="H19" s="109"/>
      <c r="I19" s="110"/>
      <c r="J19" s="112"/>
      <c r="K19" s="95"/>
      <c r="L19" s="96"/>
      <c r="M19" s="96"/>
      <c r="N19" s="109"/>
      <c r="O19" s="109"/>
      <c r="P19" s="114"/>
      <c r="Q19" s="97"/>
      <c r="R19" s="104"/>
      <c r="S19" s="104"/>
      <c r="T19" s="136"/>
      <c r="U19" s="126"/>
      <c r="V19" s="104"/>
      <c r="W19" s="113"/>
      <c r="X19" s="98"/>
      <c r="Y19" s="134"/>
      <c r="Z19" s="98"/>
      <c r="AA19" s="99"/>
      <c r="AB19" s="98"/>
      <c r="AC19" s="98"/>
      <c r="AD19" s="98"/>
      <c r="AE19" s="99"/>
      <c r="AF19" s="98"/>
      <c r="AG19" s="98"/>
      <c r="AH19" s="115"/>
      <c r="AI19" s="104"/>
      <c r="AJ19" s="100"/>
      <c r="AK19" s="104"/>
      <c r="AL19" s="104"/>
      <c r="AM19" s="104"/>
      <c r="AN19" s="104"/>
      <c r="AO19" s="104"/>
      <c r="AP19" s="105"/>
    </row>
    <row r="20" spans="2:43" ht="13.15" hidden="1">
      <c r="B20" s="106"/>
      <c r="C20" s="249" t="str">
        <f>'10 Yr Pipe Capacity'!A14</f>
        <v>I-3</v>
      </c>
      <c r="D20" s="249" t="str">
        <f>'10 Yr Pipe Capacity'!B14</f>
        <v>MH-3</v>
      </c>
      <c r="E20" s="93">
        <f>'10 Yr Pipe Capacity'!L14</f>
        <v>0.98921940661157048</v>
      </c>
      <c r="F20" s="93">
        <f>'10 Yr Pipe Capacity'!X14</f>
        <v>3.5408059252543271</v>
      </c>
      <c r="G20" s="94">
        <f>'10 Yr Pipe Capacity'!M14</f>
        <v>12</v>
      </c>
      <c r="H20" s="109">
        <f t="shared" si="2"/>
        <v>0.78539816339744828</v>
      </c>
      <c r="I20" s="110">
        <v>1.2999999999999999E-2</v>
      </c>
      <c r="J20" s="112" t="e">
        <f>VLOOKUP(G20,'Pipe Properties'!$A$2:$D$12,4,0)</f>
        <v>#N/A</v>
      </c>
      <c r="K20" s="95">
        <f>'10 Yr Pipe Capacity'!T14</f>
        <v>9.8240218691271145E-3</v>
      </c>
      <c r="L20" s="96">
        <f t="shared" si="3"/>
        <v>7.7145389872819361E-4</v>
      </c>
      <c r="M20" s="96">
        <f t="shared" si="4"/>
        <v>9.8839142574412772E-3</v>
      </c>
      <c r="N20" s="109">
        <f>'10 Yr Pipe Capacity'!U14</f>
        <v>3.885386514578046</v>
      </c>
      <c r="O20" s="109">
        <f>'10 Yr Pipe Capacity'!V14</f>
        <v>4.5082979322627423</v>
      </c>
      <c r="P20" s="114">
        <f>'10 Yr Pipe Capacity'!S14</f>
        <v>23.411999999999999</v>
      </c>
      <c r="Q20" s="97">
        <f t="shared" si="5"/>
        <v>1</v>
      </c>
      <c r="R20" s="104">
        <f t="shared" si="6"/>
        <v>1.8061278677024468E-2</v>
      </c>
      <c r="S20" s="104">
        <f t="shared" si="6"/>
        <v>9.8839142574412772E-3</v>
      </c>
      <c r="T20" s="136">
        <v>0</v>
      </c>
      <c r="U20" s="126">
        <f>VLOOKUP(T20,'Kb Values MoCo'!$A$2:$D$92,2,FALSE)</f>
        <v>0.5</v>
      </c>
      <c r="V20" s="104">
        <f>(U20*N20*N20)/64.4</f>
        <v>0.1172067419849762</v>
      </c>
      <c r="W20" s="113">
        <f t="shared" si="13"/>
        <v>0.15780085594755061</v>
      </c>
      <c r="X20" s="98" t="e">
        <f>VLOOKUP(D20,'10 Yr Pipe Capacity'!B14:Q31,17,FALSE)</f>
        <v>#REF!</v>
      </c>
      <c r="Y20" s="134" t="e">
        <f t="shared" si="0"/>
        <v>#REF!</v>
      </c>
      <c r="Z20" s="98"/>
      <c r="AA20" s="99" t="e">
        <f t="shared" ref="AA20:AA44" si="19">IF(Z20&gt;Y20,Z20,Y20)</f>
        <v>#REF!</v>
      </c>
      <c r="AB20" s="98">
        <f>VLOOKUP(D20,'10 Yr Pipe Capacity'!B14:Q31,16,FALSE)</f>
        <v>69.77</v>
      </c>
      <c r="AC20" s="98">
        <f t="shared" si="16"/>
        <v>70.77</v>
      </c>
      <c r="AD20" s="98" t="e">
        <f t="shared" si="17"/>
        <v>#REF!</v>
      </c>
      <c r="AE20" s="99" t="e">
        <f t="shared" si="10"/>
        <v>#REF!</v>
      </c>
      <c r="AF20" s="98" t="e">
        <f t="shared" si="11"/>
        <v>#REF!</v>
      </c>
      <c r="AG20" s="98">
        <f>'10 Yr Pipe Capacity'!R14</f>
        <v>313.12</v>
      </c>
      <c r="AH20" s="115" t="e">
        <f t="shared" si="18"/>
        <v>#REF!</v>
      </c>
      <c r="AI20" s="104" t="e">
        <f t="shared" si="1"/>
        <v>#REF!</v>
      </c>
      <c r="AJ20" s="100"/>
      <c r="AK20" s="104"/>
      <c r="AL20" s="104"/>
      <c r="AM20" s="104"/>
      <c r="AN20" s="104"/>
      <c r="AO20" s="104"/>
      <c r="AP20" s="105"/>
    </row>
    <row r="21" spans="2:43" ht="13.15" hidden="1">
      <c r="B21" s="106"/>
      <c r="C21" s="249"/>
      <c r="D21" s="249"/>
      <c r="E21" s="93"/>
      <c r="F21" s="93"/>
      <c r="G21" s="94"/>
      <c r="H21" s="109"/>
      <c r="I21" s="110"/>
      <c r="J21" s="112"/>
      <c r="K21" s="95"/>
      <c r="L21" s="96"/>
      <c r="M21" s="96"/>
      <c r="N21" s="109"/>
      <c r="O21" s="109"/>
      <c r="P21" s="114"/>
      <c r="Q21" s="97"/>
      <c r="R21" s="104"/>
      <c r="S21" s="104"/>
      <c r="T21" s="136"/>
      <c r="U21" s="126"/>
      <c r="V21" s="104"/>
      <c r="W21" s="113"/>
      <c r="X21" s="98"/>
      <c r="Y21" s="134"/>
      <c r="Z21" s="98"/>
      <c r="AA21" s="99"/>
      <c r="AB21" s="98"/>
      <c r="AC21" s="98"/>
      <c r="AD21" s="98"/>
      <c r="AE21" s="99"/>
      <c r="AF21" s="98"/>
      <c r="AG21" s="98"/>
      <c r="AH21" s="115"/>
      <c r="AI21" s="104"/>
      <c r="AJ21" s="100"/>
      <c r="AK21" s="104"/>
      <c r="AL21" s="104"/>
      <c r="AM21" s="104"/>
      <c r="AN21" s="104"/>
      <c r="AO21" s="104"/>
      <c r="AP21" s="105"/>
    </row>
    <row r="22" spans="2:43" ht="13.15" hidden="1">
      <c r="B22" s="106"/>
      <c r="C22" s="249" t="str">
        <f>'10 Yr Pipe Capacity'!A17</f>
        <v>I-1</v>
      </c>
      <c r="D22" s="249" t="str">
        <f>'10 Yr Pipe Capacity'!B17</f>
        <v>I-2</v>
      </c>
      <c r="E22" s="93">
        <f>'10 Yr Pipe Capacity'!L17</f>
        <v>0.95306072196694225</v>
      </c>
      <c r="F22" s="93">
        <f>'10 Yr Pipe Capacity'!X17</f>
        <v>3.528134195375952</v>
      </c>
      <c r="G22" s="94">
        <f>'10 Yr Pipe Capacity'!M17</f>
        <v>12</v>
      </c>
      <c r="H22" s="109">
        <f t="shared" si="2"/>
        <v>0.78539816339744828</v>
      </c>
      <c r="I22" s="110">
        <v>1.2999999999999999E-2</v>
      </c>
      <c r="J22" s="112" t="e">
        <f>VLOOKUP(G22,'Pipe Properties'!$A$2:$D$12,4,0)</f>
        <v>#N/A</v>
      </c>
      <c r="K22" s="95">
        <f>'10 Yr Pipe Capacity'!T17</f>
        <v>9.7538318625177874E-3</v>
      </c>
      <c r="L22" s="96">
        <f t="shared" si="3"/>
        <v>7.1608712555821597E-4</v>
      </c>
      <c r="M22" s="96">
        <f t="shared" si="4"/>
        <v>9.8132963357491429E-3</v>
      </c>
      <c r="N22" s="109">
        <f>'10 Yr Pipe Capacity'!U17</f>
        <v>3.8900437631303766</v>
      </c>
      <c r="O22" s="109">
        <f>'10 Yr Pipe Capacity'!V17</f>
        <v>4.4921637710534501</v>
      </c>
      <c r="P22" s="114">
        <f>'10 Yr Pipe Capacity'!S17</f>
        <v>21.53</v>
      </c>
      <c r="Q22" s="97">
        <f t="shared" si="5"/>
        <v>1</v>
      </c>
      <c r="R22" s="104">
        <f t="shared" si="6"/>
        <v>1.5417355813268391E-2</v>
      </c>
      <c r="S22" s="104">
        <f t="shared" si="6"/>
        <v>9.8132963357491429E-3</v>
      </c>
      <c r="T22" s="136">
        <v>0</v>
      </c>
      <c r="U22" s="126">
        <f>VLOOKUP(T22,'Kb Values MoCo'!$A$2:$D$92,2,FALSE)</f>
        <v>0.5</v>
      </c>
      <c r="V22" s="104">
        <f>(U22*N22*N22)/64.4</f>
        <v>0.11748789191824177</v>
      </c>
      <c r="W22" s="113">
        <f t="shared" si="13"/>
        <v>0.15667341107115801</v>
      </c>
      <c r="X22" s="98" t="e">
        <f>VLOOKUP(D22,'10 Yr Pipe Capacity'!B17:Q33,17,FALSE)</f>
        <v>#REF!</v>
      </c>
      <c r="Y22" s="134" t="e">
        <f>X22+G22/12</f>
        <v>#REF!</v>
      </c>
      <c r="Z22" s="98"/>
      <c r="AA22" s="99" t="e">
        <f t="shared" si="19"/>
        <v>#REF!</v>
      </c>
      <c r="AB22" s="98">
        <f>VLOOKUP(D22,'10 Yr Pipe Capacity'!B17:Q33,16,FALSE)</f>
        <v>68.3</v>
      </c>
      <c r="AC22" s="98">
        <f t="shared" si="16"/>
        <v>69.3</v>
      </c>
      <c r="AD22" s="98" t="e">
        <f t="shared" si="17"/>
        <v>#REF!</v>
      </c>
      <c r="AE22" s="99" t="e">
        <f t="shared" si="10"/>
        <v>#REF!</v>
      </c>
      <c r="AF22" s="98" t="e">
        <f t="shared" si="11"/>
        <v>#REF!</v>
      </c>
      <c r="AG22" s="98">
        <f>'10 Yr Pipe Capacity'!R17</f>
        <v>314.19</v>
      </c>
      <c r="AH22" s="115" t="e">
        <f t="shared" si="18"/>
        <v>#REF!</v>
      </c>
      <c r="AI22" s="104" t="e">
        <f t="shared" si="1"/>
        <v>#REF!</v>
      </c>
      <c r="AJ22" s="100"/>
      <c r="AK22" s="104"/>
      <c r="AL22" s="104"/>
      <c r="AM22" s="104"/>
      <c r="AN22" s="104"/>
      <c r="AO22" s="104"/>
      <c r="AP22" s="105" t="s">
        <v>179</v>
      </c>
    </row>
    <row r="23" spans="2:43" ht="13.15" hidden="1">
      <c r="B23" s="106"/>
      <c r="C23" s="249" t="str">
        <f>'10 Yr Pipe Capacity'!A18</f>
        <v>I-2</v>
      </c>
      <c r="D23" s="249" t="str">
        <f>'10 Yr Pipe Capacity'!B18</f>
        <v>MH-1</v>
      </c>
      <c r="E23" s="93">
        <f>'10 Yr Pipe Capacity'!L18</f>
        <v>3.3957254073504135</v>
      </c>
      <c r="F23" s="93">
        <f>'10 Yr Pipe Capacity'!X18</f>
        <v>6.4763484523396624</v>
      </c>
      <c r="G23" s="94">
        <f>'10 Yr Pipe Capacity'!M18</f>
        <v>15</v>
      </c>
      <c r="H23" s="109">
        <f t="shared" si="2"/>
        <v>1.227184630308513</v>
      </c>
      <c r="I23" s="110">
        <v>1.2999999999999999E-2</v>
      </c>
      <c r="J23" s="112">
        <f>VLOOKUP(G23,'Pipe Properties'!$A$2:$D$12,4,0)</f>
        <v>0.31297709923664119</v>
      </c>
      <c r="K23" s="95">
        <f>'10 Yr Pipe Capacity'!T18</f>
        <v>9.9975006248437543E-3</v>
      </c>
      <c r="L23" s="96">
        <f t="shared" si="3"/>
        <v>2.7611524218585713E-3</v>
      </c>
      <c r="M23" s="96">
        <f t="shared" si="4"/>
        <v>1.0043513506553896E-2</v>
      </c>
      <c r="N23" s="109">
        <f>'10 Yr Pipe Capacity'!U18</f>
        <v>5.3967327059951939</v>
      </c>
      <c r="O23" s="109">
        <f>'10 Yr Pipe Capacity'!V18</f>
        <v>5.2774079488378609</v>
      </c>
      <c r="P23" s="114">
        <f>'10 Yr Pipe Capacity'!S18</f>
        <v>80.02</v>
      </c>
      <c r="Q23" s="97">
        <f t="shared" si="5"/>
        <v>1.25</v>
      </c>
      <c r="R23" s="104">
        <f t="shared" si="6"/>
        <v>0.22094741679712288</v>
      </c>
      <c r="S23" s="104">
        <f t="shared" si="6"/>
        <v>1.2554391883192371E-2</v>
      </c>
      <c r="T23" s="136">
        <v>9</v>
      </c>
      <c r="U23" s="126">
        <f>VLOOKUP(T23,'Kb Values MoCo'!$A$2:$D$92,2,FALSE)</f>
        <v>0.57999999999999996</v>
      </c>
      <c r="V23" s="104">
        <f>(U23*N23*N23)/64.4</f>
        <v>0.26230341400583473</v>
      </c>
      <c r="W23" s="113">
        <f t="shared" si="13"/>
        <v>0.25083229971902299</v>
      </c>
      <c r="X23" s="98" t="e">
        <f>VLOOKUP(D23,'10 Yr Pipe Capacity'!B18:Q34,17,FALSE)</f>
        <v>#REF!</v>
      </c>
      <c r="Y23" s="134" t="e">
        <f>X23+G23/12</f>
        <v>#REF!</v>
      </c>
      <c r="Z23" s="98"/>
      <c r="AA23" s="99" t="e">
        <f t="shared" si="19"/>
        <v>#REF!</v>
      </c>
      <c r="AB23" s="98">
        <f>VLOOKUP(D23,'10 Yr Pipe Capacity'!B18:Q34,16,FALSE)</f>
        <v>67.400000000000006</v>
      </c>
      <c r="AC23" s="98">
        <f t="shared" si="16"/>
        <v>68.650000000000006</v>
      </c>
      <c r="AD23" s="98" t="e">
        <f t="shared" si="17"/>
        <v>#REF!</v>
      </c>
      <c r="AE23" s="99" t="e">
        <f t="shared" si="10"/>
        <v>#REF!</v>
      </c>
      <c r="AF23" s="98" t="e">
        <f t="shared" si="11"/>
        <v>#REF!</v>
      </c>
      <c r="AG23" s="98">
        <f>'10 Yr Pipe Capacity'!R18</f>
        <v>313.18</v>
      </c>
      <c r="AH23" s="115" t="e">
        <f t="shared" si="18"/>
        <v>#REF!</v>
      </c>
      <c r="AI23" s="104" t="e">
        <f t="shared" si="1"/>
        <v>#REF!</v>
      </c>
      <c r="AJ23" s="100"/>
      <c r="AK23" s="104"/>
      <c r="AL23" s="104"/>
      <c r="AM23" s="104"/>
      <c r="AN23" s="104"/>
      <c r="AO23" s="104"/>
      <c r="AP23" s="105" t="s">
        <v>179</v>
      </c>
    </row>
    <row r="24" spans="2:43" ht="13.15" hidden="1">
      <c r="B24" s="106"/>
      <c r="C24" s="249"/>
      <c r="D24" s="249"/>
      <c r="E24" s="93"/>
      <c r="F24" s="93"/>
      <c r="G24" s="94"/>
      <c r="H24" s="109"/>
      <c r="I24" s="110"/>
      <c r="J24" s="112"/>
      <c r="K24" s="95"/>
      <c r="L24" s="96"/>
      <c r="M24" s="96"/>
      <c r="N24" s="109"/>
      <c r="O24" s="109"/>
      <c r="P24" s="114"/>
      <c r="Q24" s="97"/>
      <c r="R24" s="104"/>
      <c r="S24" s="104"/>
      <c r="T24" s="136"/>
      <c r="U24" s="126"/>
      <c r="V24" s="104"/>
      <c r="W24" s="113"/>
      <c r="X24" s="98"/>
      <c r="Y24" s="134"/>
      <c r="Z24" s="98"/>
      <c r="AA24" s="99"/>
      <c r="AB24" s="98"/>
      <c r="AC24" s="98"/>
      <c r="AD24" s="98"/>
      <c r="AE24" s="99"/>
      <c r="AF24" s="98"/>
      <c r="AG24" s="98"/>
      <c r="AH24" s="115"/>
      <c r="AI24" s="104"/>
      <c r="AJ24" s="100"/>
      <c r="AK24" s="104"/>
      <c r="AL24" s="104"/>
      <c r="AM24" s="104"/>
      <c r="AN24" s="104"/>
      <c r="AO24" s="104"/>
      <c r="AP24" s="105"/>
    </row>
    <row r="25" spans="2:43" ht="13.15" hidden="1">
      <c r="B25" s="106"/>
      <c r="C25" s="249" t="str">
        <f>'10 Yr Pipe Capacity'!A20</f>
        <v>MH-1</v>
      </c>
      <c r="D25" s="249" t="str">
        <f>'10 Yr Pipe Capacity'!B20</f>
        <v>EX-I-1</v>
      </c>
      <c r="E25" s="93">
        <f>'10 Yr Pipe Capacity'!L20</f>
        <v>8.9738370067438016</v>
      </c>
      <c r="F25" s="93">
        <f>'10 Yr Pipe Capacity'!X20</f>
        <v>22.907691330769211</v>
      </c>
      <c r="G25" s="94">
        <f>'10 Yr Pipe Capacity'!M20</f>
        <v>24</v>
      </c>
      <c r="H25" s="109">
        <f t="shared" si="2"/>
        <v>3.1415926535897931</v>
      </c>
      <c r="I25" s="110">
        <v>1.2999999999999999E-2</v>
      </c>
      <c r="J25" s="112">
        <f>VLOOKUP(G25,'Pipe Properties'!$A$2:$D$12,4,0)</f>
        <v>0.5</v>
      </c>
      <c r="K25" s="95">
        <f>'10 Yr Pipe Capacity'!T20</f>
        <v>1.0198878123406571E-2</v>
      </c>
      <c r="L25" s="96">
        <f t="shared" si="3"/>
        <v>1.5674038166538823E-3</v>
      </c>
      <c r="M25" s="96">
        <f t="shared" si="4"/>
        <v>1.0213796269520434E-2</v>
      </c>
      <c r="N25" s="109">
        <f>'10 Yr Pipe Capacity'!U20</f>
        <v>6.947845313366213</v>
      </c>
      <c r="O25" s="109">
        <f>'10 Yr Pipe Capacity'!V20</f>
        <v>7.291750779308952</v>
      </c>
      <c r="P25" s="114">
        <f>'10 Yr Pipe Capacity'!S20</f>
        <v>19.61</v>
      </c>
      <c r="Q25" s="97">
        <f t="shared" si="5"/>
        <v>2</v>
      </c>
      <c r="R25" s="104">
        <f t="shared" si="6"/>
        <v>3.0736788844582631E-2</v>
      </c>
      <c r="S25" s="104">
        <f t="shared" si="6"/>
        <v>2.0427592539040869E-2</v>
      </c>
      <c r="T25" s="136">
        <v>0</v>
      </c>
      <c r="U25" s="126">
        <f>VLOOKUP(T25,'Kb Values MoCo'!$A$2:$D$92,2,FALSE)</f>
        <v>0.5</v>
      </c>
      <c r="V25" s="104">
        <f>(U25*N25*N25)/64.4</f>
        <v>0.37478691380795687</v>
      </c>
      <c r="W25" s="113">
        <f t="shared" si="13"/>
        <v>0.41280768189093714</v>
      </c>
      <c r="X25" s="98" t="e">
        <f>VLOOKUP(D25,'10 Yr Pipe Capacity'!B20:Q36,17,FALSE)</f>
        <v>#REF!</v>
      </c>
      <c r="Y25" s="134" t="e">
        <f>X25+G25/12</f>
        <v>#REF!</v>
      </c>
      <c r="Z25" s="98"/>
      <c r="AA25" s="99" t="e">
        <f t="shared" ref="AA25" si="20">IF(Z25&gt;Y25,Z25,Y25)</f>
        <v>#REF!</v>
      </c>
      <c r="AB25" s="98">
        <f>VLOOKUP(D25,'10 Yr Pipe Capacity'!B20:Q36,16,FALSE)</f>
        <v>67.099999999999994</v>
      </c>
      <c r="AC25" s="98">
        <f t="shared" si="16"/>
        <v>69.099999999999994</v>
      </c>
      <c r="AD25" s="98" t="e">
        <f t="shared" si="17"/>
        <v>#REF!</v>
      </c>
      <c r="AE25" s="99" t="e">
        <f t="shared" si="10"/>
        <v>#REF!</v>
      </c>
      <c r="AF25" s="98" t="e">
        <f t="shared" si="11"/>
        <v>#REF!</v>
      </c>
      <c r="AG25" s="98">
        <f>'10 Yr Pipe Capacity'!R20</f>
        <v>315.20999999999998</v>
      </c>
      <c r="AH25" s="115" t="e">
        <f t="shared" si="18"/>
        <v>#REF!</v>
      </c>
      <c r="AI25" s="104" t="e">
        <f t="shared" si="1"/>
        <v>#REF!</v>
      </c>
      <c r="AJ25" s="100"/>
      <c r="AK25" s="104"/>
      <c r="AL25" s="104"/>
      <c r="AM25" s="104"/>
      <c r="AN25" s="104"/>
      <c r="AO25" s="104"/>
      <c r="AP25" s="105" t="s">
        <v>179</v>
      </c>
    </row>
    <row r="26" spans="2:43" ht="13.15" hidden="1">
      <c r="B26" s="106"/>
      <c r="C26" s="249" t="str">
        <f>'10 Yr Pipe Capacity'!A21</f>
        <v>EX-I-1</v>
      </c>
      <c r="D26" s="249" t="str">
        <f>'10 Yr Pipe Capacity'!B21</f>
        <v>CULVERT</v>
      </c>
      <c r="E26" s="93">
        <f>'10 Yr Pipe Capacity'!L21</f>
        <v>11.261104883041321</v>
      </c>
      <c r="F26" s="93">
        <f>'10 Yr Pipe Capacity'!X21</f>
        <v>22.683241761810159</v>
      </c>
      <c r="G26" s="94">
        <f>'10 Yr Pipe Capacity'!M21</f>
        <v>24</v>
      </c>
      <c r="H26" s="109">
        <f t="shared" si="2"/>
        <v>3.1415926535897931</v>
      </c>
      <c r="I26" s="110">
        <v>1.2999999999999999E-2</v>
      </c>
      <c r="J26" s="112">
        <f>VLOOKUP(G26,'Pipe Properties'!$A$2:$D$12,4,0)</f>
        <v>0.5</v>
      </c>
      <c r="K26" s="95">
        <f>'10 Yr Pipe Capacity'!T21</f>
        <v>0.01</v>
      </c>
      <c r="L26" s="96">
        <f t="shared" si="3"/>
        <v>2.4682352622134463E-3</v>
      </c>
      <c r="M26" s="96">
        <f t="shared" si="4"/>
        <v>1.0014627242264641E-2</v>
      </c>
      <c r="N26" s="109">
        <f>'10 Yr Pipe Capacity'!U21</f>
        <v>7.3563528109755172</v>
      </c>
      <c r="O26" s="109">
        <f>'10 Yr Pipe Capacity'!V21</f>
        <v>7.2203062022129432</v>
      </c>
      <c r="P26" s="114">
        <f>'10 Yr Pipe Capacity'!S21</f>
        <v>14.36</v>
      </c>
      <c r="Q26" s="97">
        <f t="shared" si="5"/>
        <v>2</v>
      </c>
      <c r="R26" s="104">
        <f t="shared" si="6"/>
        <v>3.5443858365385085E-2</v>
      </c>
      <c r="S26" s="104">
        <f t="shared" si="6"/>
        <v>2.0029254484529281E-2</v>
      </c>
      <c r="T26" s="136">
        <v>0</v>
      </c>
      <c r="U26" s="126">
        <f>VLOOKUP(T26,'Kb Values MoCo'!$A$2:$D$92,2,FALSE)</f>
        <v>0.5</v>
      </c>
      <c r="V26" s="104">
        <f>(U26*N26*N26)/64.4</f>
        <v>0.42015471024493312</v>
      </c>
      <c r="W26" s="113">
        <f t="shared" si="13"/>
        <v>0.40475793209405814</v>
      </c>
      <c r="X26" s="98" t="e">
        <f>VLOOKUP(D26,'10 Yr Pipe Capacity'!B21:Q37,17,FALSE)</f>
        <v>#REF!</v>
      </c>
      <c r="Y26" s="134" t="e">
        <f>X26+G26/12</f>
        <v>#REF!</v>
      </c>
      <c r="Z26" s="98"/>
      <c r="AA26" s="99" t="e">
        <f t="shared" si="19"/>
        <v>#REF!</v>
      </c>
      <c r="AB26" s="98">
        <f>VLOOKUP(D26,'10 Yr Pipe Capacity'!B21:Q37,16,FALSE)</f>
        <v>66.87</v>
      </c>
      <c r="AC26" s="98">
        <f t="shared" si="16"/>
        <v>68.87</v>
      </c>
      <c r="AD26" s="98" t="e">
        <f t="shared" si="17"/>
        <v>#REF!</v>
      </c>
      <c r="AE26" s="99" t="e">
        <f t="shared" si="10"/>
        <v>#REF!</v>
      </c>
      <c r="AF26" s="98" t="e">
        <f t="shared" si="11"/>
        <v>#REF!</v>
      </c>
      <c r="AG26" s="98">
        <f>'10 Yr Pipe Capacity'!R21</f>
        <v>312.48</v>
      </c>
      <c r="AH26" s="115" t="e">
        <f t="shared" si="18"/>
        <v>#REF!</v>
      </c>
      <c r="AI26" s="104" t="e">
        <f t="shared" si="1"/>
        <v>#REF!</v>
      </c>
      <c r="AJ26" s="100"/>
      <c r="AK26" s="104"/>
      <c r="AL26" s="104"/>
      <c r="AM26" s="104"/>
      <c r="AN26" s="104"/>
      <c r="AO26" s="104"/>
      <c r="AP26" s="105" t="s">
        <v>179</v>
      </c>
    </row>
    <row r="27" spans="2:43" ht="13.15" hidden="1">
      <c r="B27" s="106"/>
      <c r="C27" s="249" t="e">
        <f>'10 Yr Pipe Capacity'!#REF!</f>
        <v>#REF!</v>
      </c>
      <c r="D27" s="249" t="e">
        <f>'10 Yr Pipe Capacity'!#REF!</f>
        <v>#REF!</v>
      </c>
      <c r="E27" s="93" t="e">
        <f>'10 Yr Pipe Capacity'!#REF!</f>
        <v>#REF!</v>
      </c>
      <c r="F27" s="93" t="e">
        <f>'10 Yr Pipe Capacity'!#REF!</f>
        <v>#REF!</v>
      </c>
      <c r="G27" s="94" t="e">
        <f>'10 Yr Pipe Capacity'!#REF!</f>
        <v>#REF!</v>
      </c>
      <c r="H27" s="109" t="e">
        <f t="shared" si="2"/>
        <v>#REF!</v>
      </c>
      <c r="I27" s="110">
        <v>1.2999999999999999E-2</v>
      </c>
      <c r="J27" s="112" t="e">
        <f>VLOOKUP(G27,'Pipe Properties'!$A$2:$D$12,4,0)</f>
        <v>#REF!</v>
      </c>
      <c r="K27" s="95" t="e">
        <f>'10 Yr Pipe Capacity'!#REF!</f>
        <v>#REF!</v>
      </c>
      <c r="L27" s="96" t="e">
        <f t="shared" si="3"/>
        <v>#REF!</v>
      </c>
      <c r="M27" s="96" t="e">
        <f t="shared" si="4"/>
        <v>#REF!</v>
      </c>
      <c r="N27" s="109" t="e">
        <f>'10 Yr Pipe Capacity'!#REF!</f>
        <v>#REF!</v>
      </c>
      <c r="O27" s="109" t="e">
        <f>'10 Yr Pipe Capacity'!#REF!</f>
        <v>#REF!</v>
      </c>
      <c r="P27" s="114" t="e">
        <f>'10 Yr Pipe Capacity'!#REF!</f>
        <v>#REF!</v>
      </c>
      <c r="Q27" s="97" t="e">
        <f t="shared" si="5"/>
        <v>#REF!</v>
      </c>
      <c r="R27" s="104" t="e">
        <f t="shared" si="6"/>
        <v>#REF!</v>
      </c>
      <c r="S27" s="104" t="e">
        <f t="shared" si="6"/>
        <v>#REF!</v>
      </c>
      <c r="T27" s="136">
        <v>0</v>
      </c>
      <c r="U27" s="126">
        <f>VLOOKUP(T27,'Kb Values MoCo'!$A$2:$D$92,3,FALSE)</f>
        <v>0.15</v>
      </c>
      <c r="V27" s="104" t="e">
        <f>(U27*N27*N27)/64.4</f>
        <v>#REF!</v>
      </c>
      <c r="W27" s="113" t="e">
        <f t="shared" si="13"/>
        <v>#REF!</v>
      </c>
      <c r="X27" s="98" t="e">
        <f>VLOOKUP(D27,'10 Yr Pipe Capacity'!B22:Q38,17,FALSE)</f>
        <v>#REF!</v>
      </c>
      <c r="Y27" s="134" t="e">
        <f>X27+G27/12</f>
        <v>#REF!</v>
      </c>
      <c r="Z27" s="98"/>
      <c r="AA27" s="99" t="e">
        <f t="shared" si="19"/>
        <v>#REF!</v>
      </c>
      <c r="AB27" s="98" t="e">
        <f>VLOOKUP(D27,'10 Yr Pipe Capacity'!B22:Q38,16,FALSE)</f>
        <v>#REF!</v>
      </c>
      <c r="AC27" s="98" t="e">
        <f t="shared" si="16"/>
        <v>#REF!</v>
      </c>
      <c r="AD27" s="98" t="e">
        <f t="shared" si="17"/>
        <v>#REF!</v>
      </c>
      <c r="AE27" s="99" t="e">
        <f t="shared" si="10"/>
        <v>#REF!</v>
      </c>
      <c r="AF27" s="98" t="e">
        <f t="shared" si="11"/>
        <v>#REF!</v>
      </c>
      <c r="AG27" s="98" t="e">
        <f>'10 Yr Pipe Capacity'!#REF!</f>
        <v>#REF!</v>
      </c>
      <c r="AH27" s="115" t="e">
        <f t="shared" si="18"/>
        <v>#REF!</v>
      </c>
      <c r="AI27" s="104" t="e">
        <f t="shared" si="1"/>
        <v>#REF!</v>
      </c>
      <c r="AJ27" s="100"/>
      <c r="AK27" s="104"/>
      <c r="AL27" s="104"/>
      <c r="AM27" s="104"/>
      <c r="AN27" s="104"/>
      <c r="AO27" s="104"/>
      <c r="AP27" s="105" t="s">
        <v>179</v>
      </c>
    </row>
    <row r="28" spans="2:43" ht="13.15" hidden="1">
      <c r="B28" s="106"/>
      <c r="C28" s="249"/>
      <c r="D28" s="249"/>
      <c r="E28" s="93"/>
      <c r="F28" s="93"/>
      <c r="G28" s="94"/>
      <c r="H28" s="109"/>
      <c r="I28" s="110"/>
      <c r="J28" s="112"/>
      <c r="K28" s="95"/>
      <c r="L28" s="96"/>
      <c r="M28" s="96"/>
      <c r="N28" s="109"/>
      <c r="O28" s="109"/>
      <c r="P28" s="114"/>
      <c r="Q28" s="97"/>
      <c r="R28" s="104"/>
      <c r="S28" s="104"/>
      <c r="T28" s="136"/>
      <c r="U28" s="126"/>
      <c r="V28" s="104"/>
      <c r="W28" s="113"/>
      <c r="X28" s="98"/>
      <c r="Y28" s="134"/>
      <c r="Z28" s="98"/>
      <c r="AA28" s="99"/>
      <c r="AB28" s="98"/>
      <c r="AC28" s="98"/>
      <c r="AD28" s="98"/>
      <c r="AE28" s="99"/>
      <c r="AF28" s="98"/>
      <c r="AG28" s="98"/>
      <c r="AH28" s="115"/>
      <c r="AI28" s="104"/>
      <c r="AJ28" s="100"/>
      <c r="AK28" s="104"/>
      <c r="AL28" s="104"/>
      <c r="AM28" s="104"/>
      <c r="AN28" s="104"/>
      <c r="AO28" s="104"/>
      <c r="AP28" s="105"/>
    </row>
    <row r="29" spans="2:43" ht="13.15" hidden="1">
      <c r="B29" s="106"/>
      <c r="C29" s="249" t="str">
        <f>'10 Yr Pipe Capacity'!A23</f>
        <v>I-7</v>
      </c>
      <c r="D29" s="249" t="str">
        <f>'10 Yr Pipe Capacity'!B23</f>
        <v>CULVERT</v>
      </c>
      <c r="E29" s="93">
        <f>'10 Yr Pipe Capacity'!L23</f>
        <v>7.5924479677685941</v>
      </c>
      <c r="F29" s="93">
        <f>'10 Yr Pipe Capacity'!X23</f>
        <v>22.542641700252659</v>
      </c>
      <c r="G29" s="94">
        <f>'10 Yr Pipe Capacity'!M23</f>
        <v>24</v>
      </c>
      <c r="H29" s="109">
        <f>'Pipe Properties'!B14</f>
        <v>10.8</v>
      </c>
      <c r="I29" s="110">
        <v>1.2999999999999999E-2</v>
      </c>
      <c r="J29" s="112">
        <f>'Pipe Properties'!D14</f>
        <v>0.8688656476267097</v>
      </c>
      <c r="K29" s="95">
        <f>'10 Yr Pipe Capacity'!T23</f>
        <v>9.876415977464156E-3</v>
      </c>
      <c r="L29" s="96">
        <f>((E29*I29)/(0.463*((44.5/12)^2.67)))^2</f>
        <v>4.1502453003733094E-5</v>
      </c>
      <c r="M29" s="96">
        <f>((F29*I29)/(0.463*((44.5/12)^2.67)))^2</f>
        <v>3.658640473177904E-4</v>
      </c>
      <c r="N29" s="109">
        <f>'10 Yr Pipe Capacity'!U23</f>
        <v>6.6929195766648393</v>
      </c>
      <c r="O29" s="109">
        <f>'10 Yr Pipe Capacity'!V23</f>
        <v>7.1755517748186932</v>
      </c>
      <c r="P29" s="114">
        <f>'10 Yr Pipe Capacity'!S23</f>
        <v>23.287800000000001</v>
      </c>
      <c r="Q29" s="97">
        <f>33/12</f>
        <v>2.75</v>
      </c>
      <c r="R29" s="104">
        <f t="shared" ref="R29:S55" si="21">P29*L29</f>
        <v>9.6650082506033561E-4</v>
      </c>
      <c r="S29" s="104">
        <f t="shared" si="21"/>
        <v>1.0061261301239236E-3</v>
      </c>
      <c r="T29" s="136">
        <v>0</v>
      </c>
      <c r="U29" s="126">
        <f>VLOOKUP(T29,'Kb Values MoCo'!$A$2:$D$92,3,FALSE)</f>
        <v>0.15</v>
      </c>
      <c r="V29" s="104">
        <f>(U29*N29*N29)/64.4</f>
        <v>0.10433658181607945</v>
      </c>
      <c r="W29" s="113">
        <f t="shared" si="13"/>
        <v>0.1199267312261732</v>
      </c>
      <c r="X29" s="98" t="e">
        <f>VLOOKUP(D29,'10 Yr Pipe Capacity'!B23:Q40,17,FALSE)</f>
        <v>#REF!</v>
      </c>
      <c r="Y29" s="134" t="e">
        <f>X29+33/12</f>
        <v>#REF!</v>
      </c>
      <c r="Z29" s="98"/>
      <c r="AA29" s="99" t="e">
        <f t="shared" si="19"/>
        <v>#REF!</v>
      </c>
      <c r="AB29" s="98">
        <f>VLOOKUP(D29,'10 Yr Pipe Capacity'!B23:Q40,16,FALSE)</f>
        <v>66.87</v>
      </c>
      <c r="AC29" s="98">
        <f>AB29+33/12</f>
        <v>69.62</v>
      </c>
      <c r="AD29" s="98" t="e">
        <f t="shared" si="17"/>
        <v>#REF!</v>
      </c>
      <c r="AE29" s="99" t="e">
        <f t="shared" si="10"/>
        <v>#REF!</v>
      </c>
      <c r="AF29" s="98" t="e">
        <f t="shared" si="11"/>
        <v>#REF!</v>
      </c>
      <c r="AG29" s="98">
        <f>'10 Yr Pipe Capacity'!R23</f>
        <v>312.08</v>
      </c>
      <c r="AH29" s="115" t="e">
        <f t="shared" si="18"/>
        <v>#REF!</v>
      </c>
      <c r="AI29" s="104" t="e">
        <f t="shared" si="1"/>
        <v>#REF!</v>
      </c>
      <c r="AJ29" s="100"/>
      <c r="AK29" s="104"/>
      <c r="AL29" s="104"/>
      <c r="AM29" s="104"/>
      <c r="AN29" s="104"/>
      <c r="AO29" s="104"/>
      <c r="AP29" s="105" t="s">
        <v>179</v>
      </c>
      <c r="AQ29" s="252" t="s">
        <v>410</v>
      </c>
    </row>
    <row r="30" spans="2:43" ht="13.15" hidden="1">
      <c r="B30" s="106"/>
      <c r="C30" s="249" t="e">
        <f>'10 Yr Pipe Capacity'!#REF!</f>
        <v>#REF!</v>
      </c>
      <c r="D30" s="249" t="e">
        <f>'10 Yr Pipe Capacity'!#REF!</f>
        <v>#REF!</v>
      </c>
      <c r="E30" s="93" t="e">
        <f>'10 Yr Pipe Capacity'!#REF!</f>
        <v>#REF!</v>
      </c>
      <c r="F30" s="93" t="e">
        <f>'10 Yr Pipe Capacity'!#REF!</f>
        <v>#REF!</v>
      </c>
      <c r="G30" s="94" t="e">
        <f>'10 Yr Pipe Capacity'!#REF!</f>
        <v>#REF!</v>
      </c>
      <c r="H30" s="109" t="e">
        <f t="shared" si="2"/>
        <v>#REF!</v>
      </c>
      <c r="I30" s="110">
        <v>1.2999999999999999E-2</v>
      </c>
      <c r="J30" s="112" t="e">
        <f>VLOOKUP(G30,'Pipe Properties'!$A$2:$D$12,4,0)</f>
        <v>#REF!</v>
      </c>
      <c r="K30" s="95" t="e">
        <f>'10 Yr Pipe Capacity'!#REF!</f>
        <v>#REF!</v>
      </c>
      <c r="L30" s="96" t="e">
        <f t="shared" si="3"/>
        <v>#REF!</v>
      </c>
      <c r="M30" s="96" t="e">
        <f t="shared" si="4"/>
        <v>#REF!</v>
      </c>
      <c r="N30" s="109" t="e">
        <f>'10 Yr Pipe Capacity'!#REF!</f>
        <v>#REF!</v>
      </c>
      <c r="O30" s="109" t="e">
        <f>'10 Yr Pipe Capacity'!#REF!</f>
        <v>#REF!</v>
      </c>
      <c r="P30" s="114" t="e">
        <f>'10 Yr Pipe Capacity'!#REF!</f>
        <v>#REF!</v>
      </c>
      <c r="Q30" s="97" t="e">
        <f t="shared" ref="Q30:Q60" si="22">G30/12</f>
        <v>#REF!</v>
      </c>
      <c r="R30" s="104" t="e">
        <f t="shared" si="21"/>
        <v>#REF!</v>
      </c>
      <c r="S30" s="104" t="e">
        <f t="shared" si="21"/>
        <v>#REF!</v>
      </c>
      <c r="T30" s="136">
        <v>0</v>
      </c>
      <c r="U30" s="126">
        <f>VLOOKUP(T30,'Kb Values MoCo'!$A$2:$D$92,2,FALSE)</f>
        <v>0.5</v>
      </c>
      <c r="V30" s="104" t="e">
        <f>(U30*N30*N30)/64.4</f>
        <v>#REF!</v>
      </c>
      <c r="W30" s="113" t="e">
        <f t="shared" si="13"/>
        <v>#REF!</v>
      </c>
      <c r="X30" s="98" t="e">
        <f>VLOOKUP(D30,'10 Yr Pipe Capacity'!B24:Q41,17,FALSE)</f>
        <v>#REF!</v>
      </c>
      <c r="Y30" s="134" t="e">
        <f t="shared" ref="Y30:Y31" si="23">X30+G30/12</f>
        <v>#REF!</v>
      </c>
      <c r="Z30" s="98"/>
      <c r="AA30" s="99" t="e">
        <f t="shared" ref="AA30" si="24">Y30</f>
        <v>#REF!</v>
      </c>
      <c r="AB30" s="98" t="e">
        <f>VLOOKUP(D30,'10 Yr Pipe Capacity'!B24:Q41,16,FALSE)</f>
        <v>#REF!</v>
      </c>
      <c r="AC30" s="98" t="e">
        <f t="shared" si="16"/>
        <v>#REF!</v>
      </c>
      <c r="AD30" s="98" t="e">
        <f t="shared" si="17"/>
        <v>#REF!</v>
      </c>
      <c r="AE30" s="99" t="e">
        <f t="shared" si="10"/>
        <v>#REF!</v>
      </c>
      <c r="AF30" s="98" t="e">
        <f t="shared" si="11"/>
        <v>#REF!</v>
      </c>
      <c r="AG30" s="98" t="e">
        <f>'10 Yr Pipe Capacity'!#REF!</f>
        <v>#REF!</v>
      </c>
      <c r="AH30" s="115" t="e">
        <f t="shared" si="18"/>
        <v>#REF!</v>
      </c>
      <c r="AI30" s="104" t="e">
        <f t="shared" si="1"/>
        <v>#REF!</v>
      </c>
      <c r="AJ30" s="100"/>
      <c r="AK30" s="104"/>
      <c r="AL30" s="104"/>
      <c r="AM30" s="104"/>
      <c r="AN30" s="104"/>
      <c r="AO30" s="104"/>
      <c r="AP30" s="105"/>
    </row>
    <row r="31" spans="2:43" ht="13.15" hidden="1">
      <c r="B31" s="106"/>
      <c r="C31" s="249" t="e">
        <f>'10 Yr Pipe Capacity'!#REF!</f>
        <v>#REF!</v>
      </c>
      <c r="D31" s="249" t="e">
        <f>'10 Yr Pipe Capacity'!#REF!</f>
        <v>#REF!</v>
      </c>
      <c r="E31" s="93" t="e">
        <f>'10 Yr Pipe Capacity'!#REF!</f>
        <v>#REF!</v>
      </c>
      <c r="F31" s="93" t="e">
        <f>'10 Yr Pipe Capacity'!#REF!</f>
        <v>#REF!</v>
      </c>
      <c r="G31" s="94" t="e">
        <f>'10 Yr Pipe Capacity'!#REF!</f>
        <v>#REF!</v>
      </c>
      <c r="H31" s="109" t="e">
        <f t="shared" si="2"/>
        <v>#REF!</v>
      </c>
      <c r="I31" s="110">
        <v>1.2999999999999999E-2</v>
      </c>
      <c r="J31" s="112" t="e">
        <f>VLOOKUP(G31,'Pipe Properties'!$A$2:$D$12,4,0)</f>
        <v>#REF!</v>
      </c>
      <c r="K31" s="95" t="e">
        <f>'10 Yr Pipe Capacity'!#REF!</f>
        <v>#REF!</v>
      </c>
      <c r="L31" s="96" t="e">
        <f t="shared" si="3"/>
        <v>#REF!</v>
      </c>
      <c r="M31" s="96" t="e">
        <f t="shared" si="4"/>
        <v>#REF!</v>
      </c>
      <c r="N31" s="109" t="e">
        <f>'10 Yr Pipe Capacity'!#REF!</f>
        <v>#REF!</v>
      </c>
      <c r="O31" s="109" t="e">
        <f>'10 Yr Pipe Capacity'!#REF!</f>
        <v>#REF!</v>
      </c>
      <c r="P31" s="114" t="e">
        <f>'10 Yr Pipe Capacity'!#REF!</f>
        <v>#REF!</v>
      </c>
      <c r="Q31" s="97" t="e">
        <f t="shared" si="22"/>
        <v>#REF!</v>
      </c>
      <c r="R31" s="104" t="e">
        <f t="shared" si="21"/>
        <v>#REF!</v>
      </c>
      <c r="S31" s="104" t="e">
        <f t="shared" si="21"/>
        <v>#REF!</v>
      </c>
      <c r="T31" s="136">
        <v>0</v>
      </c>
      <c r="U31" s="126">
        <f>VLOOKUP(T31,'Kb Values MoCo'!$A$2:$D$92,2,FALSE)</f>
        <v>0.5</v>
      </c>
      <c r="V31" s="104" t="e">
        <f>(U31*N31*N31)/64.4</f>
        <v>#REF!</v>
      </c>
      <c r="W31" s="113" t="e">
        <f t="shared" si="13"/>
        <v>#REF!</v>
      </c>
      <c r="X31" s="98" t="e">
        <f>VLOOKUP(D31,'10 Yr Pipe Capacity'!B24:Q42,17,FALSE)</f>
        <v>#REF!</v>
      </c>
      <c r="Y31" s="134" t="e">
        <f t="shared" si="23"/>
        <v>#REF!</v>
      </c>
      <c r="Z31" s="98"/>
      <c r="AA31" s="99" t="e">
        <f t="shared" ref="AA31" si="25">IF(Z31&gt;Y31,Z31,Y31)</f>
        <v>#REF!</v>
      </c>
      <c r="AB31" s="98" t="e">
        <f>VLOOKUP(D31,'10 Yr Pipe Capacity'!B24:Q42,16,FALSE)</f>
        <v>#REF!</v>
      </c>
      <c r="AC31" s="98" t="e">
        <f t="shared" si="16"/>
        <v>#REF!</v>
      </c>
      <c r="AD31" s="98" t="e">
        <f t="shared" si="17"/>
        <v>#REF!</v>
      </c>
      <c r="AE31" s="99" t="e">
        <f t="shared" si="10"/>
        <v>#REF!</v>
      </c>
      <c r="AF31" s="98" t="e">
        <f t="shared" si="11"/>
        <v>#REF!</v>
      </c>
      <c r="AG31" s="98" t="e">
        <f>'10 Yr Pipe Capacity'!#REF!</f>
        <v>#REF!</v>
      </c>
      <c r="AH31" s="115" t="e">
        <f t="shared" si="18"/>
        <v>#REF!</v>
      </c>
      <c r="AI31" s="104" t="e">
        <f t="shared" si="1"/>
        <v>#REF!</v>
      </c>
      <c r="AJ31" s="100"/>
      <c r="AK31" s="104"/>
      <c r="AL31" s="104"/>
      <c r="AM31" s="104"/>
      <c r="AN31" s="104"/>
      <c r="AO31" s="104"/>
      <c r="AP31" s="105" t="s">
        <v>179</v>
      </c>
    </row>
    <row r="32" spans="2:43" ht="13.15" hidden="1">
      <c r="B32" s="106"/>
      <c r="C32" s="249" t="e">
        <f>'10 Yr Pipe Capacity'!#REF!</f>
        <v>#REF!</v>
      </c>
      <c r="D32" s="249" t="e">
        <f>'10 Yr Pipe Capacity'!#REF!</f>
        <v>#REF!</v>
      </c>
      <c r="E32" s="93" t="e">
        <f>'10 Yr Pipe Capacity'!#REF!</f>
        <v>#REF!</v>
      </c>
      <c r="F32" s="93" t="e">
        <f>'10 Yr Pipe Capacity'!#REF!</f>
        <v>#REF!</v>
      </c>
      <c r="G32" s="94" t="e">
        <f>'10 Yr Pipe Capacity'!#REF!</f>
        <v>#REF!</v>
      </c>
      <c r="H32" s="109">
        <f>'Pipe Properties'!B14</f>
        <v>10.8</v>
      </c>
      <c r="I32" s="110">
        <v>1.2999999999999999E-2</v>
      </c>
      <c r="J32" s="112">
        <f>'Pipe Properties'!D14</f>
        <v>0.8688656476267097</v>
      </c>
      <c r="K32" s="95" t="e">
        <f>'10 Yr Pipe Capacity'!#REF!</f>
        <v>#REF!</v>
      </c>
      <c r="L32" s="96" t="e">
        <f>((E32*I32)/(0.463*((44.5/12)^2.67)))^2</f>
        <v>#REF!</v>
      </c>
      <c r="M32" s="96" t="e">
        <f>((F32*I32)/(0.463*((44.5/12)^2.67)))^2</f>
        <v>#REF!</v>
      </c>
      <c r="N32" s="109" t="e">
        <f>'10 Yr Pipe Capacity'!#REF!</f>
        <v>#REF!</v>
      </c>
      <c r="O32" s="109" t="e">
        <f>'10 Yr Pipe Capacity'!#REF!</f>
        <v>#REF!</v>
      </c>
      <c r="P32" s="114" t="e">
        <f>'10 Yr Pipe Capacity'!#REF!</f>
        <v>#REF!</v>
      </c>
      <c r="Q32" s="97">
        <f>33/12</f>
        <v>2.75</v>
      </c>
      <c r="R32" s="104" t="e">
        <f t="shared" si="21"/>
        <v>#REF!</v>
      </c>
      <c r="S32" s="104" t="e">
        <f t="shared" si="21"/>
        <v>#REF!</v>
      </c>
      <c r="T32" s="134">
        <v>0</v>
      </c>
      <c r="U32" s="126">
        <f>VLOOKUP(T32,'Kb Values MoCo'!$A$2:$D$92,4,FALSE)</f>
        <v>0.01</v>
      </c>
      <c r="V32" s="104" t="e">
        <f>(U32*N32*N32)/64.4</f>
        <v>#REF!</v>
      </c>
      <c r="W32" s="113" t="e">
        <f t="shared" si="13"/>
        <v>#REF!</v>
      </c>
      <c r="X32" s="98" t="e">
        <f>VLOOKUP(D32,'10 Yr Pipe Capacity'!B24:Q43,17,FALSE)</f>
        <v>#REF!</v>
      </c>
      <c r="Y32" s="134" t="e">
        <f>X32+33/12</f>
        <v>#REF!</v>
      </c>
      <c r="Z32" s="98"/>
      <c r="AA32" s="99" t="e">
        <f t="shared" si="19"/>
        <v>#REF!</v>
      </c>
      <c r="AB32" s="98" t="e">
        <f>VLOOKUP(D32,'10 Yr Pipe Capacity'!B24:Q43,16,FALSE)</f>
        <v>#REF!</v>
      </c>
      <c r="AC32" s="98" t="e">
        <f>AB32+33/12</f>
        <v>#REF!</v>
      </c>
      <c r="AD32" s="98" t="e">
        <f t="shared" si="17"/>
        <v>#REF!</v>
      </c>
      <c r="AE32" s="99" t="e">
        <f t="shared" si="10"/>
        <v>#REF!</v>
      </c>
      <c r="AF32" s="98" t="e">
        <f t="shared" si="11"/>
        <v>#REF!</v>
      </c>
      <c r="AG32" s="98" t="e">
        <f>'10 Yr Pipe Capacity'!#REF!</f>
        <v>#REF!</v>
      </c>
      <c r="AH32" s="115" t="e">
        <f t="shared" si="18"/>
        <v>#REF!</v>
      </c>
      <c r="AI32" s="104" t="e">
        <f t="shared" si="1"/>
        <v>#REF!</v>
      </c>
      <c r="AJ32" s="100"/>
      <c r="AK32" s="104"/>
      <c r="AL32" s="104"/>
      <c r="AM32" s="104"/>
      <c r="AN32" s="104"/>
      <c r="AO32" s="104"/>
      <c r="AP32" s="105" t="s">
        <v>202</v>
      </c>
    </row>
    <row r="33" spans="2:42" ht="13.15" hidden="1">
      <c r="B33" s="106"/>
      <c r="C33" s="249"/>
      <c r="D33" s="249"/>
      <c r="E33" s="93"/>
      <c r="F33" s="93"/>
      <c r="G33" s="94"/>
      <c r="H33" s="109"/>
      <c r="I33" s="110"/>
      <c r="J33" s="112"/>
      <c r="K33" s="95"/>
      <c r="L33" s="96"/>
      <c r="M33" s="96"/>
      <c r="N33" s="109"/>
      <c r="O33" s="109"/>
      <c r="P33" s="114"/>
      <c r="Q33" s="97"/>
      <c r="R33" s="104"/>
      <c r="S33" s="104"/>
      <c r="T33" s="134"/>
      <c r="U33" s="126"/>
      <c r="V33" s="104"/>
      <c r="W33" s="113"/>
      <c r="X33" s="98"/>
      <c r="Y33" s="134"/>
      <c r="Z33" s="98"/>
      <c r="AA33" s="99"/>
      <c r="AB33" s="98"/>
      <c r="AC33" s="98"/>
      <c r="AD33" s="98"/>
      <c r="AE33" s="99"/>
      <c r="AF33" s="98"/>
      <c r="AG33" s="98"/>
      <c r="AH33" s="115"/>
      <c r="AI33" s="104"/>
      <c r="AJ33" s="100"/>
      <c r="AK33" s="104"/>
      <c r="AL33" s="104"/>
      <c r="AM33" s="104"/>
      <c r="AN33" s="104"/>
      <c r="AO33" s="104"/>
      <c r="AP33" s="105"/>
    </row>
    <row r="34" spans="2:42" ht="13.15" hidden="1">
      <c r="B34" s="106"/>
      <c r="C34" s="249" t="str">
        <f>'10 Yr Pipe Capacity'!A26</f>
        <v>I-5</v>
      </c>
      <c r="D34" s="249" t="str">
        <f>'10 Yr Pipe Capacity'!B26</f>
        <v>I-4</v>
      </c>
      <c r="E34" s="93">
        <f>'10 Yr Pipe Capacity'!L26</f>
        <v>3.8605377118457298</v>
      </c>
      <c r="F34" s="93">
        <f>'10 Yr Pipe Capacity'!X26</f>
        <v>14.7535496571866</v>
      </c>
      <c r="G34" s="94">
        <f>'10 Yr Pipe Capacity'!M26</f>
        <v>18</v>
      </c>
      <c r="H34" s="109">
        <f t="shared" si="2"/>
        <v>1.7671458676442586</v>
      </c>
      <c r="I34" s="110">
        <v>1.2999999999999999E-2</v>
      </c>
      <c r="J34" s="112">
        <f>VLOOKUP(G34,'Pipe Properties'!$A$2:$D$12,4,0)</f>
        <v>0.37579617834394907</v>
      </c>
      <c r="K34" s="95">
        <f>'10 Yr Pipe Capacity'!T26</f>
        <v>1.962110960757775E-2</v>
      </c>
      <c r="L34" s="96">
        <f t="shared" si="3"/>
        <v>1.3480096391359705E-3</v>
      </c>
      <c r="M34" s="96">
        <f t="shared" si="4"/>
        <v>1.9687494270240892E-2</v>
      </c>
      <c r="N34" s="109">
        <f>'10 Yr Pipe Capacity'!U26</f>
        <v>7.3481564822188528</v>
      </c>
      <c r="O34" s="109">
        <f>'10 Yr Pipe Capacity'!V26</f>
        <v>8.3488083180450943</v>
      </c>
      <c r="P34" s="114">
        <f>'10 Yr Pipe Capacity'!S26</f>
        <v>29.56</v>
      </c>
      <c r="Q34" s="97">
        <f t="shared" si="22"/>
        <v>1.5</v>
      </c>
      <c r="R34" s="104">
        <f t="shared" si="21"/>
        <v>3.9847164932859287E-2</v>
      </c>
      <c r="S34" s="104">
        <f t="shared" si="21"/>
        <v>2.9531241405361338E-2</v>
      </c>
      <c r="T34" s="134">
        <v>0</v>
      </c>
      <c r="U34" s="126">
        <f>VLOOKUP(T34,'Kb Values MoCo'!$A$2:$D$92,2,FALSE)</f>
        <v>0.5</v>
      </c>
      <c r="V34" s="104">
        <f t="shared" ref="V34:V54" si="26">(U34*N34*N34)/64.4</f>
        <v>0.41921897272651348</v>
      </c>
      <c r="W34" s="113">
        <f t="shared" si="13"/>
        <v>0.54116925723182407</v>
      </c>
      <c r="X34" s="98" t="e">
        <f>VLOOKUP(D34,'10 Yr Pipe Capacity'!B26:Q45,17,FALSE)</f>
        <v>#REF!</v>
      </c>
      <c r="Y34" s="134" t="e">
        <f t="shared" ref="Y34:Y58" si="27">X34+G34/12</f>
        <v>#REF!</v>
      </c>
      <c r="Z34" s="98"/>
      <c r="AA34" s="99" t="e">
        <f t="shared" si="19"/>
        <v>#REF!</v>
      </c>
      <c r="AB34" s="98">
        <f>VLOOKUP(D34,'10 Yr Pipe Capacity'!B26:Q45,16,FALSE)</f>
        <v>71.41</v>
      </c>
      <c r="AC34" s="98">
        <f t="shared" si="16"/>
        <v>72.91</v>
      </c>
      <c r="AD34" s="98" t="e">
        <f t="shared" si="17"/>
        <v>#REF!</v>
      </c>
      <c r="AE34" s="99" t="e">
        <f t="shared" si="10"/>
        <v>#REF!</v>
      </c>
      <c r="AF34" s="98" t="e">
        <f t="shared" si="11"/>
        <v>#REF!</v>
      </c>
      <c r="AG34" s="98">
        <f>'10 Yr Pipe Capacity'!R26</f>
        <v>313.37</v>
      </c>
      <c r="AH34" s="115" t="e">
        <f t="shared" si="18"/>
        <v>#REF!</v>
      </c>
      <c r="AI34" s="104" t="e">
        <f t="shared" si="1"/>
        <v>#REF!</v>
      </c>
      <c r="AJ34" s="100"/>
      <c r="AK34" s="104"/>
      <c r="AL34" s="104"/>
      <c r="AM34" s="104"/>
      <c r="AN34" s="104"/>
      <c r="AO34" s="104"/>
      <c r="AP34" s="105" t="s">
        <v>202</v>
      </c>
    </row>
    <row r="35" spans="2:42" ht="13.15" hidden="1">
      <c r="B35" s="106"/>
      <c r="C35" s="249" t="str">
        <f>'10 Yr Pipe Capacity'!A27</f>
        <v>I-4</v>
      </c>
      <c r="D35" s="249" t="str">
        <f>'10 Yr Pipe Capacity'!B27</f>
        <v>CULVERT</v>
      </c>
      <c r="E35" s="93">
        <f>'10 Yr Pipe Capacity'!L27</f>
        <v>4.3967569676308544</v>
      </c>
      <c r="F35" s="93">
        <f>'10 Yr Pipe Capacity'!X27</f>
        <v>10.607290977742158</v>
      </c>
      <c r="G35" s="94">
        <f>'10 Yr Pipe Capacity'!M27</f>
        <v>18</v>
      </c>
      <c r="H35" s="109">
        <f t="shared" si="2"/>
        <v>1.7671458676442586</v>
      </c>
      <c r="I35" s="110">
        <v>1.2999999999999999E-2</v>
      </c>
      <c r="J35" s="112">
        <f>VLOOKUP(G35,'Pipe Properties'!$A$2:$D$12,4,0)</f>
        <v>0.37579617834394907</v>
      </c>
      <c r="K35" s="95">
        <f>'10 Yr Pipe Capacity'!T27</f>
        <v>1.014237078303909E-2</v>
      </c>
      <c r="L35" s="96">
        <f t="shared" si="3"/>
        <v>1.7484866478510675E-3</v>
      </c>
      <c r="M35" s="96">
        <f t="shared" si="4"/>
        <v>1.0176685756886267E-2</v>
      </c>
      <c r="N35" s="109">
        <f>'10 Yr Pipe Capacity'!U27</f>
        <v>5.8717374033531717</v>
      </c>
      <c r="O35" s="109">
        <f>'10 Yr Pipe Capacity'!V27</f>
        <v>6.0025038858198316</v>
      </c>
      <c r="P35" s="114">
        <f>'10 Yr Pipe Capacity'!S27</f>
        <v>32.31</v>
      </c>
      <c r="Q35" s="97">
        <f t="shared" si="22"/>
        <v>1.5</v>
      </c>
      <c r="R35" s="104">
        <f t="shared" si="21"/>
        <v>5.6493603592067995E-2</v>
      </c>
      <c r="S35" s="104">
        <f t="shared" si="21"/>
        <v>1.52650286353294E-2</v>
      </c>
      <c r="T35" s="134">
        <v>4</v>
      </c>
      <c r="U35" s="126">
        <f>VLOOKUP(T35,'Kb Values MoCo'!$A$2:$D$92,2,FALSE)</f>
        <v>0.54</v>
      </c>
      <c r="V35" s="104">
        <f t="shared" si="26"/>
        <v>0.28909537379387867</v>
      </c>
      <c r="W35" s="113">
        <f t="shared" si="13"/>
        <v>0.3021153503977077</v>
      </c>
      <c r="X35" s="98" t="e">
        <f>VLOOKUP(D35,'10 Yr Pipe Capacity'!B27:Q46,17,FALSE)</f>
        <v>#REF!</v>
      </c>
      <c r="Y35" s="134" t="e">
        <f t="shared" si="27"/>
        <v>#REF!</v>
      </c>
      <c r="Z35" s="98"/>
      <c r="AA35" s="99" t="e">
        <f t="shared" si="19"/>
        <v>#REF!</v>
      </c>
      <c r="AB35" s="98">
        <f>VLOOKUP(D35,'10 Yr Pipe Capacity'!B27:Q46,16,FALSE)</f>
        <v>71.040000000000006</v>
      </c>
      <c r="AC35" s="98">
        <f t="shared" si="16"/>
        <v>72.540000000000006</v>
      </c>
      <c r="AD35" s="98" t="e">
        <f t="shared" si="17"/>
        <v>#REF!</v>
      </c>
      <c r="AE35" s="99" t="e">
        <f t="shared" si="10"/>
        <v>#REF!</v>
      </c>
      <c r="AF35" s="98" t="e">
        <f t="shared" si="11"/>
        <v>#REF!</v>
      </c>
      <c r="AG35" s="98">
        <f>'10 Yr Pipe Capacity'!R27</f>
        <v>308.27</v>
      </c>
      <c r="AH35" s="115" t="e">
        <f t="shared" si="18"/>
        <v>#REF!</v>
      </c>
      <c r="AI35" s="104" t="e">
        <f t="shared" si="1"/>
        <v>#REF!</v>
      </c>
      <c r="AJ35" s="100"/>
      <c r="AK35" s="104"/>
      <c r="AL35" s="104"/>
      <c r="AM35" s="104"/>
      <c r="AN35" s="104"/>
      <c r="AO35" s="104"/>
      <c r="AP35" s="105" t="s">
        <v>202</v>
      </c>
    </row>
    <row r="36" spans="2:42" ht="13.15" hidden="1">
      <c r="B36" s="106"/>
      <c r="C36" s="249"/>
      <c r="D36" s="249"/>
      <c r="E36" s="93"/>
      <c r="F36" s="93"/>
      <c r="G36" s="94"/>
      <c r="H36" s="109"/>
      <c r="I36" s="110"/>
      <c r="J36" s="112"/>
      <c r="K36" s="95"/>
      <c r="L36" s="96"/>
      <c r="M36" s="96"/>
      <c r="N36" s="109"/>
      <c r="O36" s="109"/>
      <c r="P36" s="114"/>
      <c r="Q36" s="97"/>
      <c r="R36" s="104"/>
      <c r="S36" s="104"/>
      <c r="T36" s="134"/>
      <c r="U36" s="126"/>
      <c r="V36" s="104"/>
      <c r="W36" s="113"/>
      <c r="X36" s="98"/>
      <c r="Y36" s="134"/>
      <c r="Z36" s="98"/>
      <c r="AA36" s="99"/>
      <c r="AB36" s="98"/>
      <c r="AC36" s="98"/>
      <c r="AD36" s="98"/>
      <c r="AE36" s="99"/>
      <c r="AF36" s="98"/>
      <c r="AG36" s="98"/>
      <c r="AH36" s="115"/>
      <c r="AI36" s="104"/>
      <c r="AJ36" s="100"/>
      <c r="AK36" s="104"/>
      <c r="AL36" s="104"/>
      <c r="AM36" s="104"/>
      <c r="AN36" s="104"/>
      <c r="AO36" s="104"/>
      <c r="AP36" s="105"/>
    </row>
    <row r="37" spans="2:42" ht="13.15" hidden="1">
      <c r="B37" s="106"/>
      <c r="C37" s="249" t="e">
        <f>'10 Yr Pipe Capacity'!#REF!</f>
        <v>#REF!</v>
      </c>
      <c r="D37" s="249" t="e">
        <f>'10 Yr Pipe Capacity'!#REF!</f>
        <v>#REF!</v>
      </c>
      <c r="E37" s="93" t="e">
        <f>'10 Yr Pipe Capacity'!#REF!</f>
        <v>#REF!</v>
      </c>
      <c r="F37" s="93" t="e">
        <f>'10 Yr Pipe Capacity'!#REF!</f>
        <v>#REF!</v>
      </c>
      <c r="G37" s="94" t="e">
        <f>'10 Yr Pipe Capacity'!#REF!</f>
        <v>#REF!</v>
      </c>
      <c r="H37" s="109" t="e">
        <f t="shared" si="2"/>
        <v>#REF!</v>
      </c>
      <c r="I37" s="110">
        <v>1.2999999999999999E-2</v>
      </c>
      <c r="J37" s="112" t="e">
        <f>VLOOKUP(G37,'Pipe Properties'!$A$2:$D$12,4,0)</f>
        <v>#REF!</v>
      </c>
      <c r="K37" s="95" t="e">
        <f>'10 Yr Pipe Capacity'!#REF!</f>
        <v>#REF!</v>
      </c>
      <c r="L37" s="96" t="e">
        <f t="shared" si="3"/>
        <v>#REF!</v>
      </c>
      <c r="M37" s="96" t="e">
        <f t="shared" si="4"/>
        <v>#REF!</v>
      </c>
      <c r="N37" s="109" t="e">
        <f>'10 Yr Pipe Capacity'!#REF!</f>
        <v>#REF!</v>
      </c>
      <c r="O37" s="109" t="e">
        <f>'10 Yr Pipe Capacity'!#REF!</f>
        <v>#REF!</v>
      </c>
      <c r="P37" s="114" t="e">
        <f>'10 Yr Pipe Capacity'!#REF!</f>
        <v>#REF!</v>
      </c>
      <c r="Q37" s="97" t="e">
        <f t="shared" si="22"/>
        <v>#REF!</v>
      </c>
      <c r="R37" s="104" t="e">
        <f t="shared" si="21"/>
        <v>#REF!</v>
      </c>
      <c r="S37" s="104" t="e">
        <f t="shared" si="21"/>
        <v>#REF!</v>
      </c>
      <c r="T37" s="134">
        <v>0</v>
      </c>
      <c r="U37" s="126">
        <f>VLOOKUP(T37,'Kb Values MoCo'!$A$2:$D$92,3,FALSE)</f>
        <v>0.15</v>
      </c>
      <c r="V37" s="104" t="e">
        <f t="shared" si="26"/>
        <v>#REF!</v>
      </c>
      <c r="W37" s="113" t="e">
        <f t="shared" si="13"/>
        <v>#REF!</v>
      </c>
      <c r="X37" s="98" t="e">
        <f>VLOOKUP(D37,'10 Yr Pipe Capacity'!B29:Q48,17,FALSE)</f>
        <v>#REF!</v>
      </c>
      <c r="Y37" s="134" t="e">
        <f t="shared" si="27"/>
        <v>#REF!</v>
      </c>
      <c r="Z37" s="98"/>
      <c r="AA37" s="99" t="e">
        <f t="shared" ref="AA37" si="28">IF(Z37&gt;Y37,Z37,Y37)</f>
        <v>#REF!</v>
      </c>
      <c r="AB37" s="98" t="e">
        <f>VLOOKUP(D37,'10 Yr Pipe Capacity'!B29:Q48,16,FALSE)</f>
        <v>#REF!</v>
      </c>
      <c r="AC37" s="98" t="e">
        <f t="shared" si="16"/>
        <v>#REF!</v>
      </c>
      <c r="AD37" s="98" t="e">
        <f t="shared" si="17"/>
        <v>#REF!</v>
      </c>
      <c r="AE37" s="99" t="e">
        <f t="shared" si="10"/>
        <v>#REF!</v>
      </c>
      <c r="AF37" s="98" t="e">
        <f t="shared" si="11"/>
        <v>#REF!</v>
      </c>
      <c r="AG37" s="98" t="e">
        <f>'10 Yr Pipe Capacity'!#REF!</f>
        <v>#REF!</v>
      </c>
      <c r="AH37" s="115" t="e">
        <f t="shared" si="18"/>
        <v>#REF!</v>
      </c>
      <c r="AI37" s="104" t="e">
        <f t="shared" si="1"/>
        <v>#REF!</v>
      </c>
      <c r="AJ37" s="100"/>
      <c r="AK37" s="104"/>
      <c r="AL37" s="104"/>
      <c r="AM37" s="104"/>
      <c r="AN37" s="104"/>
      <c r="AO37" s="104"/>
      <c r="AP37" s="105" t="s">
        <v>202</v>
      </c>
    </row>
    <row r="38" spans="2:42" ht="13.15" hidden="1">
      <c r="B38" s="106"/>
      <c r="C38" s="249" t="e">
        <f>'10 Yr Pipe Capacity'!#REF!</f>
        <v>#REF!</v>
      </c>
      <c r="D38" s="249" t="e">
        <f>'10 Yr Pipe Capacity'!#REF!</f>
        <v>#REF!</v>
      </c>
      <c r="E38" s="93" t="e">
        <f>'10 Yr Pipe Capacity'!#REF!</f>
        <v>#REF!</v>
      </c>
      <c r="F38" s="93" t="e">
        <f>'10 Yr Pipe Capacity'!#REF!</f>
        <v>#REF!</v>
      </c>
      <c r="G38" s="94" t="e">
        <f>'10 Yr Pipe Capacity'!#REF!</f>
        <v>#REF!</v>
      </c>
      <c r="H38" s="109" t="e">
        <f t="shared" si="2"/>
        <v>#REF!</v>
      </c>
      <c r="I38" s="110">
        <v>1.2999999999999999E-2</v>
      </c>
      <c r="J38" s="112" t="e">
        <f>VLOOKUP(G38,'Pipe Properties'!$A$2:$D$12,4,0)</f>
        <v>#REF!</v>
      </c>
      <c r="K38" s="95" t="e">
        <f>'10 Yr Pipe Capacity'!#REF!</f>
        <v>#REF!</v>
      </c>
      <c r="L38" s="96" t="e">
        <f t="shared" si="3"/>
        <v>#REF!</v>
      </c>
      <c r="M38" s="96" t="e">
        <f t="shared" si="4"/>
        <v>#REF!</v>
      </c>
      <c r="N38" s="109" t="e">
        <f>'10 Yr Pipe Capacity'!#REF!</f>
        <v>#REF!</v>
      </c>
      <c r="O38" s="109" t="e">
        <f>'10 Yr Pipe Capacity'!#REF!</f>
        <v>#REF!</v>
      </c>
      <c r="P38" s="114" t="e">
        <f>'10 Yr Pipe Capacity'!#REF!</f>
        <v>#REF!</v>
      </c>
      <c r="Q38" s="97" t="e">
        <f t="shared" si="22"/>
        <v>#REF!</v>
      </c>
      <c r="R38" s="104" t="e">
        <f t="shared" si="21"/>
        <v>#REF!</v>
      </c>
      <c r="S38" s="104" t="e">
        <f t="shared" si="21"/>
        <v>#REF!</v>
      </c>
      <c r="T38" s="134">
        <v>89</v>
      </c>
      <c r="U38" s="126">
        <f>VLOOKUP(T38,'Kb Values MoCo'!$A$2:$D$92,3,FALSE)</f>
        <v>0.99</v>
      </c>
      <c r="V38" s="104" t="e">
        <f t="shared" si="26"/>
        <v>#REF!</v>
      </c>
      <c r="W38" s="113" t="e">
        <f t="shared" si="13"/>
        <v>#REF!</v>
      </c>
      <c r="X38" s="98" t="e">
        <f>VLOOKUP(D38,'10 Yr Pipe Capacity'!B29:Q49,17,FALSE)</f>
        <v>#REF!</v>
      </c>
      <c r="Y38" s="134" t="e">
        <f t="shared" si="27"/>
        <v>#REF!</v>
      </c>
      <c r="Z38" s="98"/>
      <c r="AA38" s="99" t="e">
        <f t="shared" si="19"/>
        <v>#REF!</v>
      </c>
      <c r="AB38" s="98" t="e">
        <f>VLOOKUP(D38,'10 Yr Pipe Capacity'!B29:Q49,16,FALSE)</f>
        <v>#REF!</v>
      </c>
      <c r="AC38" s="98" t="e">
        <f t="shared" si="16"/>
        <v>#REF!</v>
      </c>
      <c r="AD38" s="98" t="e">
        <f t="shared" si="17"/>
        <v>#REF!</v>
      </c>
      <c r="AE38" s="99" t="e">
        <f t="shared" si="10"/>
        <v>#REF!</v>
      </c>
      <c r="AF38" s="98" t="e">
        <f t="shared" si="11"/>
        <v>#REF!</v>
      </c>
      <c r="AG38" s="98" t="e">
        <f>'10 Yr Pipe Capacity'!#REF!</f>
        <v>#REF!</v>
      </c>
      <c r="AH38" s="115" t="e">
        <f t="shared" si="18"/>
        <v>#REF!</v>
      </c>
      <c r="AI38" s="104" t="e">
        <f t="shared" si="1"/>
        <v>#REF!</v>
      </c>
      <c r="AJ38" s="100"/>
      <c r="AK38" s="104"/>
      <c r="AL38" s="104"/>
      <c r="AM38" s="104"/>
      <c r="AN38" s="104"/>
      <c r="AO38" s="104"/>
      <c r="AP38" s="105" t="s">
        <v>202</v>
      </c>
    </row>
    <row r="39" spans="2:42" ht="13.15" hidden="1">
      <c r="B39" s="106"/>
      <c r="C39" s="249" t="e">
        <f>'10 Yr Pipe Capacity'!#REF!</f>
        <v>#REF!</v>
      </c>
      <c r="D39" s="249" t="e">
        <f>'10 Yr Pipe Capacity'!#REF!</f>
        <v>#REF!</v>
      </c>
      <c r="E39" s="93" t="e">
        <f>'10 Yr Pipe Capacity'!#REF!</f>
        <v>#REF!</v>
      </c>
      <c r="F39" s="93" t="e">
        <f>'10 Yr Pipe Capacity'!#REF!</f>
        <v>#REF!</v>
      </c>
      <c r="G39" s="94" t="e">
        <f>'10 Yr Pipe Capacity'!#REF!</f>
        <v>#REF!</v>
      </c>
      <c r="H39" s="109" t="e">
        <f t="shared" si="2"/>
        <v>#REF!</v>
      </c>
      <c r="I39" s="110">
        <v>1.2999999999999999E-2</v>
      </c>
      <c r="J39" s="112" t="e">
        <f>VLOOKUP(G39,'Pipe Properties'!$A$2:$D$12,4,0)</f>
        <v>#REF!</v>
      </c>
      <c r="K39" s="95" t="e">
        <f>'10 Yr Pipe Capacity'!#REF!</f>
        <v>#REF!</v>
      </c>
      <c r="L39" s="96" t="e">
        <f t="shared" si="3"/>
        <v>#REF!</v>
      </c>
      <c r="M39" s="96" t="e">
        <f t="shared" si="4"/>
        <v>#REF!</v>
      </c>
      <c r="N39" s="109" t="e">
        <f>'10 Yr Pipe Capacity'!#REF!</f>
        <v>#REF!</v>
      </c>
      <c r="O39" s="109" t="e">
        <f>'10 Yr Pipe Capacity'!#REF!</f>
        <v>#REF!</v>
      </c>
      <c r="P39" s="114" t="e">
        <f>'10 Yr Pipe Capacity'!#REF!</f>
        <v>#REF!</v>
      </c>
      <c r="Q39" s="97" t="e">
        <f t="shared" si="22"/>
        <v>#REF!</v>
      </c>
      <c r="R39" s="104" t="e">
        <f t="shared" si="21"/>
        <v>#REF!</v>
      </c>
      <c r="S39" s="104" t="e">
        <f t="shared" si="21"/>
        <v>#REF!</v>
      </c>
      <c r="T39" s="134">
        <v>90</v>
      </c>
      <c r="U39" s="126">
        <f>VLOOKUP(T39,'Kb Values MoCo'!$A$2:$D$92,3,FALSE)</f>
        <v>1</v>
      </c>
      <c r="V39" s="104" t="e">
        <f t="shared" si="26"/>
        <v>#REF!</v>
      </c>
      <c r="W39" s="113" t="e">
        <f t="shared" si="13"/>
        <v>#REF!</v>
      </c>
      <c r="X39" s="98" t="e">
        <f>VLOOKUP(D39,'10 Yr Pipe Capacity'!B29:Q50,17,FALSE)</f>
        <v>#REF!</v>
      </c>
      <c r="Y39" s="134" t="e">
        <f t="shared" si="27"/>
        <v>#REF!</v>
      </c>
      <c r="Z39" s="98"/>
      <c r="AA39" s="99" t="e">
        <f t="shared" si="19"/>
        <v>#REF!</v>
      </c>
      <c r="AB39" s="98" t="e">
        <f>VLOOKUP(D39,'10 Yr Pipe Capacity'!B29:Q50,16,FALSE)</f>
        <v>#REF!</v>
      </c>
      <c r="AC39" s="98" t="e">
        <f t="shared" si="16"/>
        <v>#REF!</v>
      </c>
      <c r="AD39" s="98" t="e">
        <f t="shared" si="17"/>
        <v>#REF!</v>
      </c>
      <c r="AE39" s="99" t="e">
        <f t="shared" si="10"/>
        <v>#REF!</v>
      </c>
      <c r="AF39" s="98" t="e">
        <f t="shared" si="11"/>
        <v>#REF!</v>
      </c>
      <c r="AG39" s="98" t="e">
        <f>'10 Yr Pipe Capacity'!#REF!</f>
        <v>#REF!</v>
      </c>
      <c r="AH39" s="115" t="e">
        <f t="shared" si="18"/>
        <v>#REF!</v>
      </c>
      <c r="AI39" s="104" t="e">
        <f t="shared" si="1"/>
        <v>#REF!</v>
      </c>
      <c r="AJ39" s="100"/>
      <c r="AK39" s="104"/>
      <c r="AL39" s="104"/>
      <c r="AM39" s="104"/>
      <c r="AN39" s="104"/>
      <c r="AO39" s="104"/>
      <c r="AP39" s="105" t="s">
        <v>202</v>
      </c>
    </row>
    <row r="40" spans="2:42" ht="13.15" hidden="1">
      <c r="B40" s="106"/>
      <c r="C40" s="249" t="e">
        <f>'10 Yr Pipe Capacity'!#REF!</f>
        <v>#REF!</v>
      </c>
      <c r="D40" s="249" t="e">
        <f>'10 Yr Pipe Capacity'!#REF!</f>
        <v>#REF!</v>
      </c>
      <c r="E40" s="93" t="e">
        <f>'10 Yr Pipe Capacity'!#REF!</f>
        <v>#REF!</v>
      </c>
      <c r="F40" s="93" t="e">
        <f>'10 Yr Pipe Capacity'!#REF!</f>
        <v>#REF!</v>
      </c>
      <c r="G40" s="94" t="e">
        <f>'10 Yr Pipe Capacity'!#REF!</f>
        <v>#REF!</v>
      </c>
      <c r="H40" s="109" t="e">
        <f t="shared" si="2"/>
        <v>#REF!</v>
      </c>
      <c r="I40" s="110">
        <v>1.2999999999999999E-2</v>
      </c>
      <c r="J40" s="112" t="e">
        <f>VLOOKUP(G40,'Pipe Properties'!$A$2:$D$12,4,0)</f>
        <v>#REF!</v>
      </c>
      <c r="K40" s="95" t="e">
        <f>'10 Yr Pipe Capacity'!#REF!</f>
        <v>#REF!</v>
      </c>
      <c r="L40" s="96" t="e">
        <f t="shared" si="3"/>
        <v>#REF!</v>
      </c>
      <c r="M40" s="96" t="e">
        <f t="shared" si="4"/>
        <v>#REF!</v>
      </c>
      <c r="N40" s="109" t="e">
        <f>'10 Yr Pipe Capacity'!#REF!</f>
        <v>#REF!</v>
      </c>
      <c r="O40" s="109" t="e">
        <f>'10 Yr Pipe Capacity'!#REF!</f>
        <v>#REF!</v>
      </c>
      <c r="P40" s="114" t="e">
        <f>'10 Yr Pipe Capacity'!#REF!</f>
        <v>#REF!</v>
      </c>
      <c r="Q40" s="97" t="e">
        <f t="shared" si="22"/>
        <v>#REF!</v>
      </c>
      <c r="R40" s="104" t="e">
        <f t="shared" si="21"/>
        <v>#REF!</v>
      </c>
      <c r="S40" s="104" t="e">
        <f t="shared" si="21"/>
        <v>#REF!</v>
      </c>
      <c r="T40" s="134">
        <v>69</v>
      </c>
      <c r="U40" s="126">
        <f>VLOOKUP(T40,'Kb Values MoCo'!$A$2:$D$92,3,FALSE)</f>
        <v>0.89</v>
      </c>
      <c r="V40" s="104" t="e">
        <f t="shared" si="26"/>
        <v>#REF!</v>
      </c>
      <c r="W40" s="113" t="e">
        <f t="shared" si="13"/>
        <v>#REF!</v>
      </c>
      <c r="X40" s="98" t="e">
        <f>VLOOKUP(D40,'10 Yr Pipe Capacity'!B29:Q51,17,FALSE)</f>
        <v>#REF!</v>
      </c>
      <c r="Y40" s="134" t="e">
        <f t="shared" si="27"/>
        <v>#REF!</v>
      </c>
      <c r="Z40" s="98"/>
      <c r="AA40" s="99" t="e">
        <f t="shared" si="19"/>
        <v>#REF!</v>
      </c>
      <c r="AB40" s="98" t="e">
        <f>VLOOKUP(D40,'10 Yr Pipe Capacity'!B29:Q51,16,FALSE)</f>
        <v>#REF!</v>
      </c>
      <c r="AC40" s="98" t="e">
        <f t="shared" si="16"/>
        <v>#REF!</v>
      </c>
      <c r="AD40" s="98" t="e">
        <f t="shared" si="17"/>
        <v>#REF!</v>
      </c>
      <c r="AE40" s="99" t="e">
        <f t="shared" si="10"/>
        <v>#REF!</v>
      </c>
      <c r="AF40" s="98" t="e">
        <f t="shared" si="11"/>
        <v>#REF!</v>
      </c>
      <c r="AG40" s="98" t="e">
        <f>'10 Yr Pipe Capacity'!#REF!</f>
        <v>#REF!</v>
      </c>
      <c r="AH40" s="115" t="e">
        <f t="shared" si="18"/>
        <v>#REF!</v>
      </c>
      <c r="AI40" s="104" t="e">
        <f t="shared" si="1"/>
        <v>#REF!</v>
      </c>
      <c r="AJ40" s="100"/>
      <c r="AK40" s="104"/>
      <c r="AL40" s="104"/>
      <c r="AM40" s="104"/>
      <c r="AN40" s="104"/>
      <c r="AO40" s="104"/>
      <c r="AP40" s="105"/>
    </row>
    <row r="41" spans="2:42" ht="13.15" hidden="1">
      <c r="B41" s="106"/>
      <c r="C41" s="249" t="e">
        <f>'10 Yr Pipe Capacity'!#REF!</f>
        <v>#REF!</v>
      </c>
      <c r="D41" s="249" t="e">
        <f>'10 Yr Pipe Capacity'!#REF!</f>
        <v>#REF!</v>
      </c>
      <c r="E41" s="93" t="e">
        <f>'10 Yr Pipe Capacity'!#REF!</f>
        <v>#REF!</v>
      </c>
      <c r="F41" s="93" t="e">
        <f>'10 Yr Pipe Capacity'!#REF!</f>
        <v>#REF!</v>
      </c>
      <c r="G41" s="94" t="e">
        <f>'10 Yr Pipe Capacity'!#REF!</f>
        <v>#REF!</v>
      </c>
      <c r="H41" s="109" t="e">
        <f t="shared" si="2"/>
        <v>#REF!</v>
      </c>
      <c r="I41" s="110">
        <v>1.2999999999999999E-2</v>
      </c>
      <c r="J41" s="112" t="e">
        <f>VLOOKUP(G41,'Pipe Properties'!$A$2:$D$12,4,0)</f>
        <v>#REF!</v>
      </c>
      <c r="K41" s="95" t="e">
        <f>'10 Yr Pipe Capacity'!#REF!</f>
        <v>#REF!</v>
      </c>
      <c r="L41" s="96" t="e">
        <f t="shared" si="3"/>
        <v>#REF!</v>
      </c>
      <c r="M41" s="96" t="e">
        <f t="shared" si="4"/>
        <v>#REF!</v>
      </c>
      <c r="N41" s="109" t="e">
        <f>'10 Yr Pipe Capacity'!#REF!</f>
        <v>#REF!</v>
      </c>
      <c r="O41" s="109" t="e">
        <f>'10 Yr Pipe Capacity'!#REF!</f>
        <v>#REF!</v>
      </c>
      <c r="P41" s="114" t="e">
        <f>'10 Yr Pipe Capacity'!#REF!</f>
        <v>#REF!</v>
      </c>
      <c r="Q41" s="97" t="e">
        <f t="shared" si="22"/>
        <v>#REF!</v>
      </c>
      <c r="R41" s="104" t="e">
        <f t="shared" si="21"/>
        <v>#REF!</v>
      </c>
      <c r="S41" s="104" t="e">
        <f t="shared" si="21"/>
        <v>#REF!</v>
      </c>
      <c r="T41" s="134">
        <v>74</v>
      </c>
      <c r="U41" s="126">
        <f>VLOOKUP(T41,'Kb Values MoCo'!$A$2:$D$92,3,FALSE)</f>
        <v>0.92</v>
      </c>
      <c r="V41" s="104" t="e">
        <f t="shared" si="26"/>
        <v>#REF!</v>
      </c>
      <c r="W41" s="113" t="e">
        <f t="shared" si="13"/>
        <v>#REF!</v>
      </c>
      <c r="X41" s="98" t="e">
        <f>VLOOKUP(D41,'10 Yr Pipe Capacity'!B29:Q52,17,FALSE)</f>
        <v>#REF!</v>
      </c>
      <c r="Y41" s="134" t="e">
        <f t="shared" si="27"/>
        <v>#REF!</v>
      </c>
      <c r="Z41" s="98"/>
      <c r="AA41" s="99" t="e">
        <f t="shared" si="19"/>
        <v>#REF!</v>
      </c>
      <c r="AB41" s="98" t="e">
        <f>VLOOKUP(D41,'10 Yr Pipe Capacity'!B29:Q52,16,FALSE)</f>
        <v>#REF!</v>
      </c>
      <c r="AC41" s="98" t="e">
        <f t="shared" si="16"/>
        <v>#REF!</v>
      </c>
      <c r="AD41" s="98" t="e">
        <f t="shared" si="17"/>
        <v>#REF!</v>
      </c>
      <c r="AE41" s="99" t="e">
        <f t="shared" si="10"/>
        <v>#REF!</v>
      </c>
      <c r="AF41" s="98" t="e">
        <f t="shared" si="11"/>
        <v>#REF!</v>
      </c>
      <c r="AG41" s="98" t="e">
        <f>'10 Yr Pipe Capacity'!#REF!</f>
        <v>#REF!</v>
      </c>
      <c r="AH41" s="115" t="e">
        <f t="shared" si="18"/>
        <v>#REF!</v>
      </c>
      <c r="AI41" s="104" t="e">
        <f t="shared" si="1"/>
        <v>#REF!</v>
      </c>
      <c r="AJ41" s="100"/>
      <c r="AK41" s="104"/>
      <c r="AL41" s="104"/>
      <c r="AM41" s="104"/>
      <c r="AN41" s="104"/>
      <c r="AO41" s="104"/>
      <c r="AP41" s="105" t="s">
        <v>202</v>
      </c>
    </row>
    <row r="42" spans="2:42" ht="13.15" hidden="1">
      <c r="B42" s="106"/>
      <c r="C42" s="249" t="e">
        <f>'10 Yr Pipe Capacity'!#REF!</f>
        <v>#REF!</v>
      </c>
      <c r="D42" s="249" t="e">
        <f>'10 Yr Pipe Capacity'!#REF!</f>
        <v>#REF!</v>
      </c>
      <c r="E42" s="93" t="e">
        <f>'10 Yr Pipe Capacity'!#REF!</f>
        <v>#REF!</v>
      </c>
      <c r="F42" s="93" t="e">
        <f>'10 Yr Pipe Capacity'!#REF!</f>
        <v>#REF!</v>
      </c>
      <c r="G42" s="94" t="e">
        <f>'10 Yr Pipe Capacity'!#REF!</f>
        <v>#REF!</v>
      </c>
      <c r="H42" s="109" t="e">
        <f t="shared" si="2"/>
        <v>#REF!</v>
      </c>
      <c r="I42" s="110">
        <v>1.2999999999999999E-2</v>
      </c>
      <c r="J42" s="112" t="e">
        <f>VLOOKUP(G42,'Pipe Properties'!$A$2:$D$12,4,0)</f>
        <v>#REF!</v>
      </c>
      <c r="K42" s="95" t="e">
        <f>'10 Yr Pipe Capacity'!#REF!</f>
        <v>#REF!</v>
      </c>
      <c r="L42" s="96" t="e">
        <f t="shared" si="3"/>
        <v>#REF!</v>
      </c>
      <c r="M42" s="96" t="e">
        <f t="shared" si="4"/>
        <v>#REF!</v>
      </c>
      <c r="N42" s="109" t="e">
        <f>'10 Yr Pipe Capacity'!#REF!</f>
        <v>#REF!</v>
      </c>
      <c r="O42" s="109" t="e">
        <f>'10 Yr Pipe Capacity'!#REF!</f>
        <v>#REF!</v>
      </c>
      <c r="P42" s="114" t="e">
        <f>'10 Yr Pipe Capacity'!#REF!</f>
        <v>#REF!</v>
      </c>
      <c r="Q42" s="97" t="e">
        <f t="shared" si="22"/>
        <v>#REF!</v>
      </c>
      <c r="R42" s="104" t="e">
        <f t="shared" si="21"/>
        <v>#REF!</v>
      </c>
      <c r="S42" s="104" t="e">
        <f t="shared" si="21"/>
        <v>#REF!</v>
      </c>
      <c r="T42" s="134">
        <v>48</v>
      </c>
      <c r="U42" s="126">
        <f>VLOOKUP(T42,'Kb Values MoCo'!$A$2:$D$92,3,FALSE)</f>
        <v>0.77</v>
      </c>
      <c r="V42" s="104" t="e">
        <f t="shared" si="26"/>
        <v>#REF!</v>
      </c>
      <c r="W42" s="113" t="e">
        <f t="shared" si="13"/>
        <v>#REF!</v>
      </c>
      <c r="X42" s="98" t="e">
        <f>VLOOKUP(D42,'10 Yr Pipe Capacity'!B29:Q53,17,FALSE)</f>
        <v>#REF!</v>
      </c>
      <c r="Y42" s="134" t="e">
        <f t="shared" si="27"/>
        <v>#REF!</v>
      </c>
      <c r="Z42" s="98"/>
      <c r="AA42" s="99" t="e">
        <f t="shared" ref="AA42" si="29">Y42</f>
        <v>#REF!</v>
      </c>
      <c r="AB42" s="98" t="e">
        <f>VLOOKUP(D42,'10 Yr Pipe Capacity'!B29:Q53,16,FALSE)</f>
        <v>#REF!</v>
      </c>
      <c r="AC42" s="98" t="e">
        <f t="shared" si="16"/>
        <v>#REF!</v>
      </c>
      <c r="AD42" s="98" t="e">
        <f t="shared" si="17"/>
        <v>#REF!</v>
      </c>
      <c r="AE42" s="99" t="e">
        <f t="shared" si="10"/>
        <v>#REF!</v>
      </c>
      <c r="AF42" s="98" t="e">
        <f t="shared" si="11"/>
        <v>#REF!</v>
      </c>
      <c r="AG42" s="98" t="e">
        <f>'10 Yr Pipe Capacity'!#REF!</f>
        <v>#REF!</v>
      </c>
      <c r="AH42" s="115" t="e">
        <f t="shared" si="18"/>
        <v>#REF!</v>
      </c>
      <c r="AI42" s="104" t="e">
        <f t="shared" si="1"/>
        <v>#REF!</v>
      </c>
      <c r="AJ42" s="100"/>
      <c r="AK42" s="104"/>
      <c r="AL42" s="104"/>
      <c r="AM42" s="104"/>
      <c r="AN42" s="104"/>
      <c r="AO42" s="104"/>
      <c r="AP42" s="105" t="s">
        <v>179</v>
      </c>
    </row>
    <row r="43" spans="2:42" ht="13.15" hidden="1">
      <c r="B43" s="106"/>
      <c r="C43" s="249" t="e">
        <f>'10 Yr Pipe Capacity'!#REF!</f>
        <v>#REF!</v>
      </c>
      <c r="D43" s="249" t="e">
        <f>'10 Yr Pipe Capacity'!#REF!</f>
        <v>#REF!</v>
      </c>
      <c r="E43" s="93" t="e">
        <f>'10 Yr Pipe Capacity'!#REF!</f>
        <v>#REF!</v>
      </c>
      <c r="F43" s="93" t="e">
        <f>'10 Yr Pipe Capacity'!#REF!</f>
        <v>#REF!</v>
      </c>
      <c r="G43" s="94" t="e">
        <f>'10 Yr Pipe Capacity'!#REF!</f>
        <v>#REF!</v>
      </c>
      <c r="H43" s="109" t="e">
        <f t="shared" si="2"/>
        <v>#REF!</v>
      </c>
      <c r="I43" s="110">
        <v>1.2999999999999999E-2</v>
      </c>
      <c r="J43" s="112" t="e">
        <f>VLOOKUP(G43,'Pipe Properties'!$A$2:$D$12,4,0)</f>
        <v>#REF!</v>
      </c>
      <c r="K43" s="95" t="e">
        <f>'10 Yr Pipe Capacity'!#REF!</f>
        <v>#REF!</v>
      </c>
      <c r="L43" s="96" t="e">
        <f t="shared" si="3"/>
        <v>#REF!</v>
      </c>
      <c r="M43" s="96" t="e">
        <f t="shared" si="4"/>
        <v>#REF!</v>
      </c>
      <c r="N43" s="109" t="e">
        <f>'10 Yr Pipe Capacity'!#REF!</f>
        <v>#REF!</v>
      </c>
      <c r="O43" s="109" t="e">
        <f>'10 Yr Pipe Capacity'!#REF!</f>
        <v>#REF!</v>
      </c>
      <c r="P43" s="114" t="e">
        <f>'10 Yr Pipe Capacity'!#REF!</f>
        <v>#REF!</v>
      </c>
      <c r="Q43" s="97" t="e">
        <f t="shared" si="22"/>
        <v>#REF!</v>
      </c>
      <c r="R43" s="104" t="e">
        <f t="shared" si="21"/>
        <v>#REF!</v>
      </c>
      <c r="S43" s="104" t="e">
        <f t="shared" si="21"/>
        <v>#REF!</v>
      </c>
      <c r="T43" s="134">
        <v>1</v>
      </c>
      <c r="U43" s="126">
        <f>VLOOKUP(T43,'Kb Values MoCo'!$A$2:$D$92,3,FALSE)</f>
        <v>0.16</v>
      </c>
      <c r="V43" s="104" t="e">
        <f t="shared" si="26"/>
        <v>#REF!</v>
      </c>
      <c r="W43" s="113" t="e">
        <f t="shared" si="13"/>
        <v>#REF!</v>
      </c>
      <c r="X43" s="98" t="e">
        <f>VLOOKUP(D43,'10 Yr Pipe Capacity'!B29:Q54,17,FALSE)</f>
        <v>#REF!</v>
      </c>
      <c r="Y43" s="134" t="e">
        <f t="shared" si="27"/>
        <v>#REF!</v>
      </c>
      <c r="Z43" s="98"/>
      <c r="AA43" s="99" t="e">
        <f t="shared" ref="AA43" si="30">IF(Z43&gt;Y43,Z43,Y43)</f>
        <v>#REF!</v>
      </c>
      <c r="AB43" s="98" t="e">
        <f>VLOOKUP(D43,'10 Yr Pipe Capacity'!B29:Q54,16,FALSE)</f>
        <v>#REF!</v>
      </c>
      <c r="AC43" s="98" t="e">
        <f t="shared" si="16"/>
        <v>#REF!</v>
      </c>
      <c r="AD43" s="98" t="e">
        <f t="shared" si="17"/>
        <v>#REF!</v>
      </c>
      <c r="AE43" s="99" t="e">
        <f t="shared" si="10"/>
        <v>#REF!</v>
      </c>
      <c r="AF43" s="98" t="e">
        <f t="shared" si="11"/>
        <v>#REF!</v>
      </c>
      <c r="AG43" s="98" t="e">
        <f>'10 Yr Pipe Capacity'!#REF!</f>
        <v>#REF!</v>
      </c>
      <c r="AH43" s="115" t="e">
        <f t="shared" si="18"/>
        <v>#REF!</v>
      </c>
      <c r="AI43" s="104" t="e">
        <f t="shared" si="1"/>
        <v>#REF!</v>
      </c>
      <c r="AJ43" s="100"/>
      <c r="AK43" s="104"/>
      <c r="AL43" s="104"/>
      <c r="AM43" s="104"/>
      <c r="AN43" s="104"/>
      <c r="AO43" s="104"/>
      <c r="AP43" s="105"/>
    </row>
    <row r="44" spans="2:42" ht="13.15" hidden="1">
      <c r="B44" s="106"/>
      <c r="C44" s="249" t="e">
        <f>'10 Yr Pipe Capacity'!#REF!</f>
        <v>#REF!</v>
      </c>
      <c r="D44" s="249" t="e">
        <f>'10 Yr Pipe Capacity'!#REF!</f>
        <v>#REF!</v>
      </c>
      <c r="E44" s="93" t="e">
        <f>'10 Yr Pipe Capacity'!#REF!</f>
        <v>#REF!</v>
      </c>
      <c r="F44" s="93" t="e">
        <f>'10 Yr Pipe Capacity'!#REF!</f>
        <v>#REF!</v>
      </c>
      <c r="G44" s="94" t="e">
        <f>'10 Yr Pipe Capacity'!#REF!</f>
        <v>#REF!</v>
      </c>
      <c r="H44" s="109" t="e">
        <f t="shared" si="2"/>
        <v>#REF!</v>
      </c>
      <c r="I44" s="110">
        <v>1.2999999999999999E-2</v>
      </c>
      <c r="J44" s="112" t="e">
        <f>VLOOKUP(G44,'Pipe Properties'!$A$2:$D$12,4,0)</f>
        <v>#REF!</v>
      </c>
      <c r="K44" s="95" t="e">
        <f>'10 Yr Pipe Capacity'!#REF!</f>
        <v>#REF!</v>
      </c>
      <c r="L44" s="96" t="e">
        <f t="shared" si="3"/>
        <v>#REF!</v>
      </c>
      <c r="M44" s="96" t="e">
        <f t="shared" si="4"/>
        <v>#REF!</v>
      </c>
      <c r="N44" s="109" t="e">
        <f>'10 Yr Pipe Capacity'!#REF!</f>
        <v>#REF!</v>
      </c>
      <c r="O44" s="109" t="e">
        <f>'10 Yr Pipe Capacity'!#REF!</f>
        <v>#REF!</v>
      </c>
      <c r="P44" s="114" t="e">
        <f>'10 Yr Pipe Capacity'!#REF!</f>
        <v>#REF!</v>
      </c>
      <c r="Q44" s="97" t="e">
        <f t="shared" si="22"/>
        <v>#REF!</v>
      </c>
      <c r="R44" s="104" t="e">
        <f t="shared" si="21"/>
        <v>#REF!</v>
      </c>
      <c r="S44" s="104" t="e">
        <f t="shared" si="21"/>
        <v>#REF!</v>
      </c>
      <c r="T44" s="134">
        <v>45</v>
      </c>
      <c r="U44" s="126">
        <f>VLOOKUP(T44,'Kb Values MoCo'!$A$2:$D$92,3,FALSE)</f>
        <v>0.75</v>
      </c>
      <c r="V44" s="104" t="e">
        <f t="shared" si="26"/>
        <v>#REF!</v>
      </c>
      <c r="W44" s="113" t="e">
        <f t="shared" si="13"/>
        <v>#REF!</v>
      </c>
      <c r="X44" s="98" t="e">
        <f>VLOOKUP(D44,'10 Yr Pipe Capacity'!B29:Q55,17,FALSE)</f>
        <v>#REF!</v>
      </c>
      <c r="Y44" s="134" t="e">
        <f t="shared" si="27"/>
        <v>#REF!</v>
      </c>
      <c r="Z44" s="98" t="e">
        <f>Y44</f>
        <v>#REF!</v>
      </c>
      <c r="AA44" s="99" t="e">
        <f t="shared" si="19"/>
        <v>#REF!</v>
      </c>
      <c r="AB44" s="98" t="e">
        <f>VLOOKUP(D44,'10 Yr Pipe Capacity'!B29:Q55,16,FALSE)</f>
        <v>#REF!</v>
      </c>
      <c r="AC44" s="98" t="e">
        <f t="shared" si="16"/>
        <v>#REF!</v>
      </c>
      <c r="AD44" s="98" t="e">
        <f>AA44+R44</f>
        <v>#REF!</v>
      </c>
      <c r="AE44" s="99" t="e">
        <f t="shared" si="10"/>
        <v>#REF!</v>
      </c>
      <c r="AF44" s="98" t="e">
        <f t="shared" si="11"/>
        <v>#REF!</v>
      </c>
      <c r="AG44" s="98" t="e">
        <f>'10 Yr Pipe Capacity'!#REF!</f>
        <v>#REF!</v>
      </c>
      <c r="AH44" s="115" t="e">
        <f t="shared" si="18"/>
        <v>#REF!</v>
      </c>
      <c r="AI44" s="104" t="e">
        <f t="shared" si="1"/>
        <v>#REF!</v>
      </c>
      <c r="AJ44" s="100"/>
      <c r="AK44" s="104"/>
      <c r="AL44" s="104"/>
      <c r="AM44" s="104"/>
      <c r="AN44" s="104"/>
      <c r="AO44" s="104"/>
      <c r="AP44" s="105"/>
    </row>
    <row r="45" spans="2:42" ht="13.15" hidden="1">
      <c r="B45" s="106"/>
      <c r="C45" s="249"/>
      <c r="D45" s="249"/>
      <c r="E45" s="93"/>
      <c r="F45" s="93"/>
      <c r="G45" s="94"/>
      <c r="H45" s="109"/>
      <c r="I45" s="110"/>
      <c r="J45" s="112"/>
      <c r="K45" s="95"/>
      <c r="L45" s="96"/>
      <c r="M45" s="96"/>
      <c r="N45" s="109"/>
      <c r="O45" s="109"/>
      <c r="P45" s="114"/>
      <c r="Q45" s="97"/>
      <c r="R45" s="104"/>
      <c r="S45" s="104"/>
      <c r="T45" s="134"/>
      <c r="U45" s="126"/>
      <c r="V45" s="104"/>
      <c r="W45" s="113"/>
      <c r="X45" s="98"/>
      <c r="Y45" s="134"/>
      <c r="Z45" s="98"/>
      <c r="AA45" s="99"/>
      <c r="AB45" s="98"/>
      <c r="AC45" s="98"/>
      <c r="AD45" s="98"/>
      <c r="AE45" s="99"/>
      <c r="AF45" s="98"/>
      <c r="AG45" s="98"/>
      <c r="AH45" s="115"/>
      <c r="AI45" s="104"/>
      <c r="AJ45" s="100"/>
      <c r="AK45" s="104"/>
      <c r="AL45" s="104"/>
      <c r="AM45" s="104"/>
      <c r="AN45" s="104"/>
      <c r="AO45" s="104"/>
      <c r="AP45" s="105"/>
    </row>
    <row r="46" spans="2:42" ht="13.15" hidden="1">
      <c r="B46" s="106"/>
      <c r="C46" s="249" t="e">
        <f>'10 Yr Pipe Capacity'!#REF!</f>
        <v>#REF!</v>
      </c>
      <c r="D46" s="249" t="e">
        <f>'10 Yr Pipe Capacity'!#REF!</f>
        <v>#REF!</v>
      </c>
      <c r="E46" s="93" t="e">
        <f>'10 Yr Pipe Capacity'!#REF!</f>
        <v>#REF!</v>
      </c>
      <c r="F46" s="93" t="e">
        <f>'10 Yr Pipe Capacity'!#REF!</f>
        <v>#REF!</v>
      </c>
      <c r="G46" s="94" t="e">
        <f>'10 Yr Pipe Capacity'!#REF!</f>
        <v>#REF!</v>
      </c>
      <c r="H46" s="109" t="e">
        <f t="shared" si="2"/>
        <v>#REF!</v>
      </c>
      <c r="I46" s="110">
        <v>1.2999999999999999E-2</v>
      </c>
      <c r="J46" s="112" t="e">
        <f>VLOOKUP(G46,'Pipe Properties'!$A$2:$D$16,4,0)</f>
        <v>#REF!</v>
      </c>
      <c r="K46" s="95" t="e">
        <f>'10 Yr Pipe Capacity'!#REF!</f>
        <v>#REF!</v>
      </c>
      <c r="L46" s="96" t="e">
        <f t="shared" si="3"/>
        <v>#REF!</v>
      </c>
      <c r="M46" s="96" t="e">
        <f>((F46*I46)/(0.463*((G46/12)^2.67)))^2</f>
        <v>#REF!</v>
      </c>
      <c r="N46" s="109" t="e">
        <f>'10 Yr Pipe Capacity'!#REF!</f>
        <v>#REF!</v>
      </c>
      <c r="O46" s="109" t="e">
        <f>'10 Yr Pipe Capacity'!#REF!</f>
        <v>#REF!</v>
      </c>
      <c r="P46" s="114" t="e">
        <f>'10 Yr Pipe Capacity'!#REF!</f>
        <v>#REF!</v>
      </c>
      <c r="Q46" s="97" t="e">
        <f t="shared" si="22"/>
        <v>#REF!</v>
      </c>
      <c r="R46" s="104" t="e">
        <f t="shared" si="21"/>
        <v>#REF!</v>
      </c>
      <c r="S46" s="104" t="e">
        <f t="shared" si="21"/>
        <v>#REF!</v>
      </c>
      <c r="T46" s="134">
        <v>60</v>
      </c>
      <c r="U46" s="126">
        <f>VLOOKUP(T46,'Kb Values MoCo'!$A$2:$D$92,3,FALSE)</f>
        <v>0.85</v>
      </c>
      <c r="V46" s="104" t="e">
        <f t="shared" si="26"/>
        <v>#REF!</v>
      </c>
      <c r="W46" s="113" t="e">
        <f t="shared" si="13"/>
        <v>#REF!</v>
      </c>
      <c r="X46" s="98" t="e">
        <f>VLOOKUP(D46,'10 Yr Pipe Capacity'!B29:Q57,17,FALSE)</f>
        <v>#REF!</v>
      </c>
      <c r="Y46" s="134" t="e">
        <f t="shared" si="27"/>
        <v>#REF!</v>
      </c>
      <c r="Z46" s="98"/>
      <c r="AA46" s="99" t="e">
        <f>IF(Z46&gt;Y46,Z46,Y46)</f>
        <v>#REF!</v>
      </c>
      <c r="AB46" s="98" t="e">
        <f>VLOOKUP(D46,'10 Yr Pipe Capacity'!B29:Q57,16,FALSE)</f>
        <v>#REF!</v>
      </c>
      <c r="AC46" s="98" t="e">
        <f t="shared" si="16"/>
        <v>#REF!</v>
      </c>
      <c r="AD46" s="98" t="e">
        <f t="shared" si="17"/>
        <v>#REF!</v>
      </c>
      <c r="AE46" s="99" t="e">
        <f t="shared" si="10"/>
        <v>#REF!</v>
      </c>
      <c r="AF46" s="98" t="e">
        <f t="shared" si="11"/>
        <v>#REF!</v>
      </c>
      <c r="AG46" s="98" t="e">
        <f>'10 Yr Pipe Capacity'!#REF!</f>
        <v>#REF!</v>
      </c>
      <c r="AH46" s="115" t="e">
        <f t="shared" si="18"/>
        <v>#REF!</v>
      </c>
      <c r="AI46" s="104" t="e">
        <f t="shared" si="1"/>
        <v>#REF!</v>
      </c>
      <c r="AJ46" s="100"/>
      <c r="AK46" s="104"/>
      <c r="AL46" s="104"/>
      <c r="AM46" s="104"/>
      <c r="AN46" s="104"/>
      <c r="AO46" s="104"/>
      <c r="AP46" s="105"/>
    </row>
    <row r="47" spans="2:42" ht="13.15" hidden="1">
      <c r="B47" s="106"/>
      <c r="C47" s="249"/>
      <c r="D47" s="249"/>
      <c r="E47" s="93"/>
      <c r="F47" s="93"/>
      <c r="G47" s="94"/>
      <c r="H47" s="109"/>
      <c r="I47" s="110"/>
      <c r="J47" s="112"/>
      <c r="K47" s="95"/>
      <c r="L47" s="96"/>
      <c r="M47" s="96"/>
      <c r="N47" s="109"/>
      <c r="O47" s="109"/>
      <c r="P47" s="114"/>
      <c r="Q47" s="97"/>
      <c r="R47" s="104"/>
      <c r="S47" s="104"/>
      <c r="T47" s="134"/>
      <c r="U47" s="126"/>
      <c r="V47" s="104"/>
      <c r="W47" s="113"/>
      <c r="X47" s="98"/>
      <c r="Y47" s="134"/>
      <c r="Z47" s="98"/>
      <c r="AA47" s="99"/>
      <c r="AB47" s="98"/>
      <c r="AC47" s="98"/>
      <c r="AD47" s="98"/>
      <c r="AE47" s="99"/>
      <c r="AF47" s="98"/>
      <c r="AG47" s="98"/>
      <c r="AH47" s="115"/>
      <c r="AI47" s="104"/>
      <c r="AJ47" s="100"/>
      <c r="AK47" s="104"/>
      <c r="AL47" s="104"/>
      <c r="AM47" s="104"/>
      <c r="AN47" s="104"/>
      <c r="AO47" s="104"/>
      <c r="AP47" s="105"/>
    </row>
    <row r="48" spans="2:42" ht="13.15" hidden="1">
      <c r="B48" s="106"/>
      <c r="C48" s="249" t="e">
        <f>'10 Yr Pipe Capacity'!#REF!</f>
        <v>#REF!</v>
      </c>
      <c r="D48" s="249" t="e">
        <f>'10 Yr Pipe Capacity'!#REF!</f>
        <v>#REF!</v>
      </c>
      <c r="E48" s="93" t="e">
        <f>'10 Yr Pipe Capacity'!#REF!</f>
        <v>#REF!</v>
      </c>
      <c r="F48" s="93" t="e">
        <f>'10 Yr Pipe Capacity'!#REF!</f>
        <v>#REF!</v>
      </c>
      <c r="G48" s="94" t="e">
        <f>'10 Yr Pipe Capacity'!#REF!</f>
        <v>#REF!</v>
      </c>
      <c r="H48" s="109">
        <f>'Pipe Properties'!B15</f>
        <v>1.96</v>
      </c>
      <c r="I48" s="110">
        <v>1.2999999999999999E-2</v>
      </c>
      <c r="J48" s="112" t="e">
        <f>VLOOKUP(G48,'Pipe Properties'!$A$2:$D$16,4,0)</f>
        <v>#REF!</v>
      </c>
      <c r="K48" s="95" t="e">
        <f>'10 Yr Pipe Capacity'!#REF!</f>
        <v>#REF!</v>
      </c>
      <c r="L48" s="96" t="e">
        <f>((E48*I48)/(0.463*((19/12)^2.67)))^2</f>
        <v>#REF!</v>
      </c>
      <c r="M48" s="96" t="e">
        <f>((F48*I48)/(0.463*((19/12)^2.67)))^2</f>
        <v>#REF!</v>
      </c>
      <c r="N48" s="109" t="e">
        <f>'10 Yr Pipe Capacity'!#REF!</f>
        <v>#REF!</v>
      </c>
      <c r="O48" s="109" t="e">
        <f>'10 Yr Pipe Capacity'!#REF!</f>
        <v>#REF!</v>
      </c>
      <c r="P48" s="114" t="e">
        <f>'10 Yr Pipe Capacity'!#REF!</f>
        <v>#REF!</v>
      </c>
      <c r="Q48" s="97">
        <f>15/12</f>
        <v>1.25</v>
      </c>
      <c r="R48" s="104" t="e">
        <f>P48*L48</f>
        <v>#REF!</v>
      </c>
      <c r="S48" s="104" t="e">
        <f t="shared" si="21"/>
        <v>#REF!</v>
      </c>
      <c r="T48" s="134">
        <v>0</v>
      </c>
      <c r="U48" s="126">
        <f>VLOOKUP(T48,'Kb Values MoCo'!$A$2:$D$92,2,FALSE)</f>
        <v>0.5</v>
      </c>
      <c r="V48" s="104" t="e">
        <f t="shared" si="26"/>
        <v>#REF!</v>
      </c>
      <c r="W48" s="113" t="e">
        <f t="shared" si="13"/>
        <v>#REF!</v>
      </c>
      <c r="X48" s="98" t="e">
        <f>VLOOKUP(D48,'10 Yr Pipe Capacity'!B29:Q59,17,FALSE)</f>
        <v>#REF!</v>
      </c>
      <c r="Y48" s="134" t="e">
        <f>X48+15/12</f>
        <v>#REF!</v>
      </c>
      <c r="Z48" s="98"/>
      <c r="AA48" s="99" t="e">
        <f t="shared" ref="AA48:AA50" si="31">IF(Z48&gt;Y48,Z48,Y48)</f>
        <v>#REF!</v>
      </c>
      <c r="AB48" s="98" t="e">
        <f>VLOOKUP(D48,'10 Yr Pipe Capacity'!B29:Q59,16,FALSE)</f>
        <v>#REF!</v>
      </c>
      <c r="AC48" s="98" t="e">
        <f>AB48+15/12</f>
        <v>#REF!</v>
      </c>
      <c r="AD48" s="98" t="e">
        <f t="shared" si="17"/>
        <v>#REF!</v>
      </c>
      <c r="AE48" s="99" t="e">
        <f t="shared" si="10"/>
        <v>#REF!</v>
      </c>
      <c r="AF48" s="98" t="e">
        <f t="shared" si="11"/>
        <v>#REF!</v>
      </c>
      <c r="AG48" s="98" t="e">
        <f>'10 Yr Pipe Capacity'!#REF!</f>
        <v>#REF!</v>
      </c>
      <c r="AH48" s="115" t="e">
        <f t="shared" si="18"/>
        <v>#REF!</v>
      </c>
      <c r="AI48" s="104" t="e">
        <f t="shared" si="1"/>
        <v>#REF!</v>
      </c>
      <c r="AJ48" s="100"/>
      <c r="AK48" s="104"/>
      <c r="AL48" s="104"/>
      <c r="AM48" s="104"/>
      <c r="AN48" s="104"/>
      <c r="AO48" s="104"/>
      <c r="AP48" s="105"/>
    </row>
    <row r="49" spans="2:42" ht="13.15" hidden="1">
      <c r="B49" s="106"/>
      <c r="C49" s="249"/>
      <c r="D49" s="249"/>
      <c r="E49" s="93"/>
      <c r="F49" s="93"/>
      <c r="G49" s="94"/>
      <c r="H49" s="109"/>
      <c r="I49" s="110"/>
      <c r="J49" s="112"/>
      <c r="K49" s="95"/>
      <c r="L49" s="96"/>
      <c r="M49" s="96"/>
      <c r="N49" s="109"/>
      <c r="O49" s="109"/>
      <c r="P49" s="114"/>
      <c r="Q49" s="97"/>
      <c r="R49" s="104"/>
      <c r="S49" s="104"/>
      <c r="T49" s="134"/>
      <c r="U49" s="126"/>
      <c r="V49" s="104"/>
      <c r="W49" s="113"/>
      <c r="X49" s="98"/>
      <c r="Y49" s="134"/>
      <c r="Z49" s="98"/>
      <c r="AA49" s="99"/>
      <c r="AB49" s="98"/>
      <c r="AC49" s="98"/>
      <c r="AD49" s="98"/>
      <c r="AE49" s="99"/>
      <c r="AF49" s="98"/>
      <c r="AG49" s="98"/>
      <c r="AH49" s="115"/>
      <c r="AI49" s="104"/>
      <c r="AJ49" s="100"/>
      <c r="AK49" s="104"/>
      <c r="AL49" s="104"/>
      <c r="AM49" s="104"/>
      <c r="AN49" s="104"/>
      <c r="AO49" s="104"/>
      <c r="AP49" s="105"/>
    </row>
    <row r="50" spans="2:42" ht="13.15">
      <c r="B50" s="106"/>
      <c r="C50" s="249" t="e">
        <f>'10 Yr Pipe Capacity'!#REF!</f>
        <v>#REF!</v>
      </c>
      <c r="D50" s="249" t="e">
        <f>'10 Yr Pipe Capacity'!#REF!</f>
        <v>#REF!</v>
      </c>
      <c r="E50" s="93" t="e">
        <f>'25 Yr SHA Pipe Capacity'!L55</f>
        <v>#VALUE!</v>
      </c>
      <c r="F50" s="93" t="e">
        <f>'10 Yr Pipe Capacity'!#REF!</f>
        <v>#REF!</v>
      </c>
      <c r="G50" s="94" t="e">
        <f>'10 Yr Pipe Capacity'!#REF!</f>
        <v>#REF!</v>
      </c>
      <c r="H50" s="109" t="e">
        <f t="shared" si="2"/>
        <v>#REF!</v>
      </c>
      <c r="I50" s="110">
        <v>1.2999999999999999E-2</v>
      </c>
      <c r="J50" s="112" t="e">
        <f>VLOOKUP(G50,'Pipe Properties'!$A$2:$D$12,4,0)</f>
        <v>#REF!</v>
      </c>
      <c r="K50" s="95" t="e">
        <f>'10 Yr Pipe Capacity'!#REF!</f>
        <v>#REF!</v>
      </c>
      <c r="L50" s="96" t="e">
        <f t="shared" si="3"/>
        <v>#VALUE!</v>
      </c>
      <c r="M50" s="96" t="e">
        <f>((F50*I50)/(0.463*((19/12)^2.67)))^2</f>
        <v>#REF!</v>
      </c>
      <c r="N50" s="109" t="e">
        <f>'10 Yr Pipe Capacity'!#REF!</f>
        <v>#REF!</v>
      </c>
      <c r="O50" s="109" t="e">
        <f>'10 Yr Pipe Capacity'!#REF!</f>
        <v>#REF!</v>
      </c>
      <c r="P50" s="114" t="e">
        <f>'10 Yr Pipe Capacity'!#REF!</f>
        <v>#REF!</v>
      </c>
      <c r="Q50" s="97" t="e">
        <f t="shared" si="22"/>
        <v>#REF!</v>
      </c>
      <c r="R50" s="104" t="e">
        <f t="shared" si="21"/>
        <v>#REF!</v>
      </c>
      <c r="S50" s="104" t="e">
        <f t="shared" si="21"/>
        <v>#REF!</v>
      </c>
      <c r="T50" s="134">
        <v>0</v>
      </c>
      <c r="U50" s="126">
        <f>VLOOKUP(T50,'Kb Values MoCo'!$A$2:$D$92,2,FALSE)</f>
        <v>0.5</v>
      </c>
      <c r="V50" s="104" t="e">
        <f t="shared" si="26"/>
        <v>#REF!</v>
      </c>
      <c r="W50" s="113" t="e">
        <f t="shared" si="13"/>
        <v>#REF!</v>
      </c>
      <c r="X50" s="98" t="e">
        <f>VLOOKUP(D50,'10 Yr Pipe Capacity'!B29:Q61,17,FALSE)</f>
        <v>#REF!</v>
      </c>
      <c r="Y50" s="134" t="e">
        <f t="shared" si="27"/>
        <v>#REF!</v>
      </c>
      <c r="Z50" s="98"/>
      <c r="AA50" s="99" t="e">
        <f t="shared" si="31"/>
        <v>#REF!</v>
      </c>
      <c r="AB50" s="98" t="e">
        <f>VLOOKUP(D50,'10 Yr Pipe Capacity'!B29:Q61,16,FALSE)</f>
        <v>#REF!</v>
      </c>
      <c r="AC50" s="98" t="e">
        <f t="shared" si="16"/>
        <v>#REF!</v>
      </c>
      <c r="AD50" s="98" t="e">
        <f t="shared" si="17"/>
        <v>#REF!</v>
      </c>
      <c r="AE50" s="99" t="e">
        <f t="shared" si="10"/>
        <v>#REF!</v>
      </c>
      <c r="AF50" s="98" t="e">
        <f t="shared" si="11"/>
        <v>#REF!</v>
      </c>
      <c r="AG50" s="98" t="e">
        <f>'10 Yr Pipe Capacity'!#REF!</f>
        <v>#REF!</v>
      </c>
      <c r="AH50" s="115" t="e">
        <f t="shared" si="18"/>
        <v>#REF!</v>
      </c>
      <c r="AI50" s="104" t="e">
        <f t="shared" si="1"/>
        <v>#REF!</v>
      </c>
      <c r="AJ50" s="100"/>
      <c r="AK50" s="104"/>
      <c r="AL50" s="104"/>
      <c r="AM50" s="104"/>
      <c r="AN50" s="104"/>
      <c r="AO50" s="104"/>
      <c r="AP50" s="105"/>
    </row>
    <row r="51" spans="2:42" ht="13.15" hidden="1">
      <c r="B51" s="106"/>
      <c r="C51" s="249"/>
      <c r="D51" s="249"/>
      <c r="E51" s="93"/>
      <c r="F51" s="93"/>
      <c r="G51" s="94"/>
      <c r="H51" s="109"/>
      <c r="I51" s="110"/>
      <c r="J51" s="112"/>
      <c r="K51" s="95"/>
      <c r="L51" s="96"/>
      <c r="M51" s="96"/>
      <c r="N51" s="109"/>
      <c r="O51" s="109"/>
      <c r="P51" s="114"/>
      <c r="Q51" s="97"/>
      <c r="R51" s="104"/>
      <c r="S51" s="104"/>
      <c r="T51" s="134"/>
      <c r="U51" s="126"/>
      <c r="V51" s="104"/>
      <c r="W51" s="113"/>
      <c r="X51" s="98"/>
      <c r="Y51" s="134"/>
      <c r="Z51" s="98"/>
      <c r="AA51" s="99"/>
      <c r="AB51" s="98"/>
      <c r="AC51" s="98"/>
      <c r="AD51" s="98"/>
      <c r="AE51" s="99"/>
      <c r="AF51" s="98"/>
      <c r="AG51" s="98"/>
      <c r="AH51" s="115"/>
      <c r="AI51" s="104"/>
      <c r="AJ51" s="100"/>
      <c r="AK51" s="104"/>
      <c r="AL51" s="104"/>
      <c r="AM51" s="104"/>
      <c r="AN51" s="104"/>
      <c r="AO51" s="104"/>
      <c r="AP51" s="105"/>
    </row>
    <row r="52" spans="2:42" ht="13.15" hidden="1">
      <c r="B52" s="106"/>
      <c r="C52" s="249" t="e">
        <f>'10 Yr Pipe Capacity'!#REF!</f>
        <v>#REF!</v>
      </c>
      <c r="D52" s="249" t="e">
        <f>'10 Yr Pipe Capacity'!#REF!</f>
        <v>#REF!</v>
      </c>
      <c r="E52" s="93" t="e">
        <f>'10 Yr Pipe Capacity'!#REF!</f>
        <v>#REF!</v>
      </c>
      <c r="F52" s="93" t="e">
        <f>'10 Yr Pipe Capacity'!#REF!</f>
        <v>#REF!</v>
      </c>
      <c r="G52" s="94" t="e">
        <f>'10 Yr Pipe Capacity'!#REF!</f>
        <v>#REF!</v>
      </c>
      <c r="H52" s="109" t="e">
        <f t="shared" si="2"/>
        <v>#REF!</v>
      </c>
      <c r="I52" s="110">
        <v>1.2999999999999999E-2</v>
      </c>
      <c r="J52" s="112" t="e">
        <f>VLOOKUP(G52,'Pipe Properties'!$A$2:$D$12,4,0)</f>
        <v>#REF!</v>
      </c>
      <c r="K52" s="95" t="e">
        <f>'10 Yr Pipe Capacity'!#REF!</f>
        <v>#REF!</v>
      </c>
      <c r="L52" s="96" t="e">
        <f t="shared" si="3"/>
        <v>#REF!</v>
      </c>
      <c r="M52" s="96" t="e">
        <f t="shared" si="4"/>
        <v>#REF!</v>
      </c>
      <c r="N52" s="109" t="e">
        <f>'10 Yr Pipe Capacity'!#REF!</f>
        <v>#REF!</v>
      </c>
      <c r="O52" s="109" t="e">
        <f>'10 Yr Pipe Capacity'!#REF!</f>
        <v>#REF!</v>
      </c>
      <c r="P52" s="114" t="e">
        <f>'10 Yr Pipe Capacity'!#REF!</f>
        <v>#REF!</v>
      </c>
      <c r="Q52" s="97" t="e">
        <f t="shared" si="22"/>
        <v>#REF!</v>
      </c>
      <c r="R52" s="104" t="e">
        <f t="shared" si="21"/>
        <v>#REF!</v>
      </c>
      <c r="S52" s="104" t="e">
        <f t="shared" si="21"/>
        <v>#REF!</v>
      </c>
      <c r="T52" s="134">
        <v>15</v>
      </c>
      <c r="U52" s="126">
        <f>VLOOKUP(T52,'Kb Values MoCo'!$A$2:$D$92,3,FALSE)</f>
        <v>0.35</v>
      </c>
      <c r="V52" s="104" t="e">
        <f t="shared" si="26"/>
        <v>#REF!</v>
      </c>
      <c r="W52" s="113" t="e">
        <f t="shared" si="13"/>
        <v>#REF!</v>
      </c>
      <c r="X52" s="98" t="e">
        <f>VLOOKUP(D52,'10 Yr Pipe Capacity'!B29:Q63,17,FALSE)</f>
        <v>#REF!</v>
      </c>
      <c r="Y52" s="134" t="e">
        <f t="shared" si="27"/>
        <v>#REF!</v>
      </c>
      <c r="Z52" s="98"/>
      <c r="AA52" s="99" t="e">
        <f t="shared" ref="AA52:AA58" si="32">IF(Z52&gt;Y52,Z52,Y52)</f>
        <v>#REF!</v>
      </c>
      <c r="AB52" s="98" t="e">
        <f>VLOOKUP(D52,'10 Yr Pipe Capacity'!B29:Q63,16,FALSE)</f>
        <v>#REF!</v>
      </c>
      <c r="AC52" s="98" t="e">
        <f t="shared" si="16"/>
        <v>#REF!</v>
      </c>
      <c r="AD52" s="98" t="e">
        <f t="shared" si="17"/>
        <v>#REF!</v>
      </c>
      <c r="AE52" s="99" t="e">
        <f t="shared" si="10"/>
        <v>#REF!</v>
      </c>
      <c r="AF52" s="98" t="e">
        <f t="shared" si="11"/>
        <v>#REF!</v>
      </c>
      <c r="AG52" s="98" t="e">
        <f>'10 Yr Pipe Capacity'!#REF!</f>
        <v>#REF!</v>
      </c>
      <c r="AH52" s="115" t="e">
        <f t="shared" si="18"/>
        <v>#REF!</v>
      </c>
      <c r="AI52" s="104" t="e">
        <f t="shared" si="1"/>
        <v>#REF!</v>
      </c>
      <c r="AJ52" s="100"/>
      <c r="AK52" s="104"/>
      <c r="AL52" s="104"/>
      <c r="AM52" s="104"/>
      <c r="AN52" s="104"/>
      <c r="AO52" s="104"/>
      <c r="AP52" s="105"/>
    </row>
    <row r="53" spans="2:42" ht="13.15" hidden="1">
      <c r="B53" s="106"/>
      <c r="C53" s="249" t="e">
        <f>'10 Yr Pipe Capacity'!#REF!</f>
        <v>#REF!</v>
      </c>
      <c r="D53" s="249" t="e">
        <f>'10 Yr Pipe Capacity'!#REF!</f>
        <v>#REF!</v>
      </c>
      <c r="E53" s="93" t="e">
        <f>'10 Yr Pipe Capacity'!#REF!</f>
        <v>#REF!</v>
      </c>
      <c r="F53" s="93" t="e">
        <f>'10 Yr Pipe Capacity'!#REF!</f>
        <v>#REF!</v>
      </c>
      <c r="G53" s="94" t="e">
        <f>'10 Yr Pipe Capacity'!#REF!</f>
        <v>#REF!</v>
      </c>
      <c r="H53" s="109" t="e">
        <f t="shared" si="2"/>
        <v>#REF!</v>
      </c>
      <c r="I53" s="110">
        <v>1.2999999999999999E-2</v>
      </c>
      <c r="J53" s="112" t="e">
        <f>VLOOKUP(G53,'Pipe Properties'!$A$2:$D$12,4,0)</f>
        <v>#REF!</v>
      </c>
      <c r="K53" s="95" t="e">
        <f>'10 Yr Pipe Capacity'!#REF!</f>
        <v>#REF!</v>
      </c>
      <c r="L53" s="96" t="e">
        <f t="shared" si="3"/>
        <v>#REF!</v>
      </c>
      <c r="M53" s="96" t="e">
        <f t="shared" si="4"/>
        <v>#REF!</v>
      </c>
      <c r="N53" s="109" t="e">
        <f>'10 Yr Pipe Capacity'!#REF!</f>
        <v>#REF!</v>
      </c>
      <c r="O53" s="109" t="e">
        <f>'10 Yr Pipe Capacity'!#REF!</f>
        <v>#REF!</v>
      </c>
      <c r="P53" s="114" t="e">
        <f>'10 Yr Pipe Capacity'!#REF!</f>
        <v>#REF!</v>
      </c>
      <c r="Q53" s="97" t="e">
        <f t="shared" si="22"/>
        <v>#REF!</v>
      </c>
      <c r="R53" s="104" t="e">
        <f t="shared" si="21"/>
        <v>#REF!</v>
      </c>
      <c r="S53" s="104" t="e">
        <f t="shared" si="21"/>
        <v>#REF!</v>
      </c>
      <c r="T53" s="134">
        <v>0</v>
      </c>
      <c r="U53" s="126">
        <f>VLOOKUP(T53,'Kb Values MoCo'!$A$2:$D$92,2,FALSE)</f>
        <v>0.5</v>
      </c>
      <c r="V53" s="104" t="e">
        <f t="shared" si="26"/>
        <v>#REF!</v>
      </c>
      <c r="W53" s="113" t="e">
        <f t="shared" si="13"/>
        <v>#REF!</v>
      </c>
      <c r="X53" s="98" t="e">
        <f>VLOOKUP(D53,'10 Yr Pipe Capacity'!B29:Q64,17,FALSE)</f>
        <v>#REF!</v>
      </c>
      <c r="Y53" s="134" t="e">
        <f t="shared" si="27"/>
        <v>#REF!</v>
      </c>
      <c r="Z53" s="98"/>
      <c r="AA53" s="99" t="e">
        <f t="shared" si="32"/>
        <v>#REF!</v>
      </c>
      <c r="AB53" s="98" t="e">
        <f>VLOOKUP(D53,'10 Yr Pipe Capacity'!B29:Q64,16,FALSE)</f>
        <v>#REF!</v>
      </c>
      <c r="AC53" s="98" t="e">
        <f t="shared" si="16"/>
        <v>#REF!</v>
      </c>
      <c r="AD53" s="98" t="e">
        <f t="shared" si="17"/>
        <v>#REF!</v>
      </c>
      <c r="AE53" s="99" t="e">
        <f t="shared" si="10"/>
        <v>#REF!</v>
      </c>
      <c r="AF53" s="98" t="e">
        <f t="shared" si="11"/>
        <v>#REF!</v>
      </c>
      <c r="AG53" s="98" t="e">
        <f>'10 Yr Pipe Capacity'!#REF!</f>
        <v>#REF!</v>
      </c>
      <c r="AH53" s="115" t="e">
        <f t="shared" si="18"/>
        <v>#REF!</v>
      </c>
      <c r="AI53" s="104" t="e">
        <f t="shared" si="1"/>
        <v>#REF!</v>
      </c>
      <c r="AJ53" s="100"/>
      <c r="AK53" s="104"/>
      <c r="AL53" s="104"/>
      <c r="AM53" s="104"/>
      <c r="AN53" s="104"/>
      <c r="AO53" s="104"/>
      <c r="AP53" s="105"/>
    </row>
    <row r="54" spans="2:42" ht="13.15" hidden="1">
      <c r="B54" s="106"/>
      <c r="C54" s="249" t="e">
        <f>'10 Yr Pipe Capacity'!#REF!</f>
        <v>#REF!</v>
      </c>
      <c r="D54" s="249" t="e">
        <f>'10 Yr Pipe Capacity'!#REF!</f>
        <v>#REF!</v>
      </c>
      <c r="E54" s="93" t="e">
        <f>'10 Yr Pipe Capacity'!#REF!</f>
        <v>#REF!</v>
      </c>
      <c r="F54" s="93" t="e">
        <f>'10 Yr Pipe Capacity'!#REF!</f>
        <v>#REF!</v>
      </c>
      <c r="G54" s="94" t="e">
        <f>'10 Yr Pipe Capacity'!#REF!</f>
        <v>#REF!</v>
      </c>
      <c r="H54" s="109" t="e">
        <f t="shared" si="2"/>
        <v>#REF!</v>
      </c>
      <c r="I54" s="110">
        <v>1.2999999999999999E-2</v>
      </c>
      <c r="J54" s="112" t="e">
        <f>VLOOKUP(G54,'Pipe Properties'!$A$2:$D$12,4,0)</f>
        <v>#REF!</v>
      </c>
      <c r="K54" s="95" t="e">
        <f>'10 Yr Pipe Capacity'!#REF!</f>
        <v>#REF!</v>
      </c>
      <c r="L54" s="96" t="e">
        <f t="shared" si="3"/>
        <v>#REF!</v>
      </c>
      <c r="M54" s="96" t="e">
        <f t="shared" si="4"/>
        <v>#REF!</v>
      </c>
      <c r="N54" s="109" t="e">
        <f>'10 Yr Pipe Capacity'!#REF!</f>
        <v>#REF!</v>
      </c>
      <c r="O54" s="109" t="e">
        <f>'10 Yr Pipe Capacity'!#REF!</f>
        <v>#REF!</v>
      </c>
      <c r="P54" s="114" t="e">
        <f>'10 Yr Pipe Capacity'!#REF!</f>
        <v>#REF!</v>
      </c>
      <c r="Q54" s="97" t="e">
        <f t="shared" si="22"/>
        <v>#REF!</v>
      </c>
      <c r="R54" s="104" t="e">
        <f t="shared" si="21"/>
        <v>#REF!</v>
      </c>
      <c r="S54" s="104" t="e">
        <f t="shared" si="21"/>
        <v>#REF!</v>
      </c>
      <c r="T54" s="134">
        <v>0</v>
      </c>
      <c r="U54" s="126">
        <f>VLOOKUP(T54,'Kb Values MoCo'!$A$2:$D$92,2,FALSE)</f>
        <v>0.5</v>
      </c>
      <c r="V54" s="104" t="e">
        <f t="shared" si="26"/>
        <v>#REF!</v>
      </c>
      <c r="W54" s="113" t="e">
        <f t="shared" si="13"/>
        <v>#REF!</v>
      </c>
      <c r="X54" s="98" t="e">
        <f>VLOOKUP(D54,'10 Yr Pipe Capacity'!B29:Q65,17,FALSE)</f>
        <v>#REF!</v>
      </c>
      <c r="Y54" s="134" t="e">
        <f t="shared" si="27"/>
        <v>#REF!</v>
      </c>
      <c r="Z54" s="98"/>
      <c r="AA54" s="99" t="e">
        <f t="shared" si="32"/>
        <v>#REF!</v>
      </c>
      <c r="AB54" s="98" t="e">
        <f>VLOOKUP(D54,'10 Yr Pipe Capacity'!B29:Q65,16,FALSE)</f>
        <v>#REF!</v>
      </c>
      <c r="AC54" s="98" t="e">
        <f t="shared" si="16"/>
        <v>#REF!</v>
      </c>
      <c r="AD54" s="98" t="e">
        <f t="shared" si="17"/>
        <v>#REF!</v>
      </c>
      <c r="AE54" s="99" t="e">
        <f t="shared" si="10"/>
        <v>#REF!</v>
      </c>
      <c r="AF54" s="98" t="e">
        <f t="shared" si="11"/>
        <v>#REF!</v>
      </c>
      <c r="AG54" s="98" t="e">
        <f>'10 Yr Pipe Capacity'!#REF!</f>
        <v>#REF!</v>
      </c>
      <c r="AH54" s="115" t="e">
        <f t="shared" si="18"/>
        <v>#REF!</v>
      </c>
      <c r="AI54" s="104" t="e">
        <f t="shared" si="1"/>
        <v>#REF!</v>
      </c>
      <c r="AJ54" s="100"/>
      <c r="AK54" s="104"/>
      <c r="AL54" s="104"/>
      <c r="AM54" s="104"/>
      <c r="AN54" s="104"/>
      <c r="AO54" s="104"/>
      <c r="AP54" s="105"/>
    </row>
    <row r="55" spans="2:42" ht="13.15" hidden="1">
      <c r="B55" s="106"/>
      <c r="C55" s="249" t="e">
        <f>'10 Yr Pipe Capacity'!#REF!</f>
        <v>#REF!</v>
      </c>
      <c r="D55" s="249" t="e">
        <f>'10 Yr Pipe Capacity'!#REF!</f>
        <v>#REF!</v>
      </c>
      <c r="E55" s="93" t="e">
        <f>'10 Yr Pipe Capacity'!#REF!</f>
        <v>#REF!</v>
      </c>
      <c r="F55" s="93" t="e">
        <f>'10 Yr Pipe Capacity'!#REF!</f>
        <v>#REF!</v>
      </c>
      <c r="G55" s="94" t="e">
        <f>'10 Yr Pipe Capacity'!#REF!</f>
        <v>#REF!</v>
      </c>
      <c r="H55" s="109" t="e">
        <f t="shared" si="2"/>
        <v>#REF!</v>
      </c>
      <c r="I55" s="110">
        <v>1.2999999999999999E-2</v>
      </c>
      <c r="J55" s="112" t="e">
        <f>VLOOKUP(G55,'Pipe Properties'!$A$2:$D$12,4,0)</f>
        <v>#REF!</v>
      </c>
      <c r="K55" s="95" t="e">
        <f>'10 Yr Pipe Capacity'!#REF!</f>
        <v>#REF!</v>
      </c>
      <c r="L55" s="96" t="e">
        <f t="shared" si="3"/>
        <v>#REF!</v>
      </c>
      <c r="M55" s="96" t="e">
        <f t="shared" si="4"/>
        <v>#REF!</v>
      </c>
      <c r="N55" s="109" t="e">
        <f>'10 Yr Pipe Capacity'!#REF!</f>
        <v>#REF!</v>
      </c>
      <c r="O55" s="109" t="e">
        <f>'10 Yr Pipe Capacity'!#REF!</f>
        <v>#REF!</v>
      </c>
      <c r="P55" s="114" t="e">
        <f>'10 Yr Pipe Capacity'!#REF!</f>
        <v>#REF!</v>
      </c>
      <c r="Q55" s="97" t="e">
        <f t="shared" si="22"/>
        <v>#REF!</v>
      </c>
      <c r="R55" s="104" t="e">
        <f t="shared" si="21"/>
        <v>#REF!</v>
      </c>
      <c r="S55" s="104" t="e">
        <f t="shared" si="21"/>
        <v>#REF!</v>
      </c>
      <c r="T55" s="134">
        <v>90</v>
      </c>
      <c r="U55" s="126">
        <f>VLOOKUP(T55,'Kb Values MoCo'!$A$2:$D$92,3,FALSE)</f>
        <v>1</v>
      </c>
      <c r="V55" s="104" t="e">
        <f>(U55*N55*N55)/64.4</f>
        <v>#REF!</v>
      </c>
      <c r="W55" s="113" t="e">
        <f t="shared" si="13"/>
        <v>#REF!</v>
      </c>
      <c r="X55" s="98" t="e">
        <f>VLOOKUP(D55,'10 Yr Pipe Capacity'!B29:Q66,17,FALSE)</f>
        <v>#REF!</v>
      </c>
      <c r="Y55" s="134" t="e">
        <f t="shared" si="27"/>
        <v>#REF!</v>
      </c>
      <c r="Z55" s="98"/>
      <c r="AA55" s="99" t="e">
        <f t="shared" si="32"/>
        <v>#REF!</v>
      </c>
      <c r="AB55" s="98" t="e">
        <f>VLOOKUP(D55,'10 Yr Pipe Capacity'!B29:Q66,16,FALSE)</f>
        <v>#REF!</v>
      </c>
      <c r="AC55" s="98" t="e">
        <f t="shared" si="16"/>
        <v>#REF!</v>
      </c>
      <c r="AD55" s="98" t="e">
        <f t="shared" si="17"/>
        <v>#REF!</v>
      </c>
      <c r="AE55" s="99" t="e">
        <f t="shared" si="10"/>
        <v>#REF!</v>
      </c>
      <c r="AF55" s="98" t="e">
        <f>MAX(_xlfn.MAXIFS($AA$12:$AA$45,$C$12:$C$45,D55),AE55)</f>
        <v>#REF!</v>
      </c>
      <c r="AG55" s="98" t="e">
        <f>'10 Yr Pipe Capacity'!#REF!</f>
        <v>#REF!</v>
      </c>
      <c r="AH55" s="115" t="e">
        <f t="shared" si="18"/>
        <v>#REF!</v>
      </c>
      <c r="AI55" s="104" t="e">
        <f t="shared" si="1"/>
        <v>#REF!</v>
      </c>
      <c r="AJ55" s="100"/>
      <c r="AK55" s="104"/>
      <c r="AL55" s="104"/>
      <c r="AM55" s="104"/>
      <c r="AN55" s="104"/>
      <c r="AO55" s="104"/>
      <c r="AP55" s="105"/>
    </row>
    <row r="56" spans="2:42" ht="13.15" hidden="1">
      <c r="B56" s="106"/>
      <c r="C56" s="249" t="e">
        <f>'10 Yr Pipe Capacity'!#REF!</f>
        <v>#REF!</v>
      </c>
      <c r="D56" s="249" t="e">
        <f>'10 Yr Pipe Capacity'!#REF!</f>
        <v>#REF!</v>
      </c>
      <c r="E56" s="93" t="e">
        <f>'10 Yr Pipe Capacity'!#REF!</f>
        <v>#REF!</v>
      </c>
      <c r="F56" s="93" t="e">
        <f>'10 Yr Pipe Capacity'!#REF!</f>
        <v>#REF!</v>
      </c>
      <c r="G56" s="94" t="e">
        <f>'10 Yr Pipe Capacity'!#REF!</f>
        <v>#REF!</v>
      </c>
      <c r="H56" s="109" t="e">
        <f t="shared" si="2"/>
        <v>#REF!</v>
      </c>
      <c r="I56" s="110">
        <v>1.2999999999999999E-2</v>
      </c>
      <c r="J56" s="112" t="e">
        <f>VLOOKUP(G56,'Pipe Properties'!$A$2:$D$12,4,0)</f>
        <v>#REF!</v>
      </c>
      <c r="K56" s="95" t="e">
        <f>'10 Yr Pipe Capacity'!#REF!</f>
        <v>#REF!</v>
      </c>
      <c r="L56" s="96" t="e">
        <f t="shared" si="3"/>
        <v>#REF!</v>
      </c>
      <c r="M56" s="96" t="e">
        <f t="shared" si="4"/>
        <v>#REF!</v>
      </c>
      <c r="N56" s="109" t="e">
        <f>'10 Yr Pipe Capacity'!#REF!</f>
        <v>#REF!</v>
      </c>
      <c r="O56" s="109" t="e">
        <f>'10 Yr Pipe Capacity'!#REF!</f>
        <v>#REF!</v>
      </c>
      <c r="P56" s="114" t="e">
        <f>'10 Yr Pipe Capacity'!#REF!</f>
        <v>#REF!</v>
      </c>
      <c r="Q56" s="97" t="e">
        <f t="shared" si="22"/>
        <v>#REF!</v>
      </c>
      <c r="R56" s="104" t="e">
        <f t="shared" ref="R56:S60" si="33">P56*L56</f>
        <v>#REF!</v>
      </c>
      <c r="S56" s="104" t="e">
        <f t="shared" si="33"/>
        <v>#REF!</v>
      </c>
      <c r="T56" s="134">
        <v>0</v>
      </c>
      <c r="U56" s="126">
        <f>VLOOKUP(T56,'Kb Values MoCo'!$A$2:$D$92,2,FALSE)</f>
        <v>0.5</v>
      </c>
      <c r="V56" s="104" t="e">
        <f t="shared" ref="V56:V58" si="34">(U56*N56*N56)/64.4</f>
        <v>#REF!</v>
      </c>
      <c r="W56" s="113" t="e">
        <f t="shared" si="13"/>
        <v>#REF!</v>
      </c>
      <c r="X56" s="98" t="e">
        <f>VLOOKUP(D56,'10 Yr Pipe Capacity'!B29:Q67,17,FALSE)</f>
        <v>#REF!</v>
      </c>
      <c r="Y56" s="134" t="e">
        <f t="shared" si="27"/>
        <v>#REF!</v>
      </c>
      <c r="Z56" s="98"/>
      <c r="AA56" s="99" t="e">
        <f t="shared" si="32"/>
        <v>#REF!</v>
      </c>
      <c r="AB56" s="98" t="e">
        <f>VLOOKUP(D56,'10 Yr Pipe Capacity'!B29:Q67,16,FALSE)</f>
        <v>#REF!</v>
      </c>
      <c r="AC56" s="98" t="e">
        <f t="shared" si="16"/>
        <v>#REF!</v>
      </c>
      <c r="AD56" s="98" t="e">
        <f t="shared" si="17"/>
        <v>#REF!</v>
      </c>
      <c r="AE56" s="99" t="e">
        <f t="shared" si="10"/>
        <v>#REF!</v>
      </c>
      <c r="AF56" s="98" t="e">
        <f t="shared" ref="AF56:AF58" si="35">MAX(_xlfn.MAXIFS($AA$12:$AA$45,$C$12:$C$45,D56),AE56)</f>
        <v>#REF!</v>
      </c>
      <c r="AG56" s="98" t="e">
        <f>'10 Yr Pipe Capacity'!#REF!</f>
        <v>#REF!</v>
      </c>
      <c r="AH56" s="115" t="e">
        <f t="shared" si="18"/>
        <v>#REF!</v>
      </c>
      <c r="AI56" s="104" t="e">
        <f t="shared" si="1"/>
        <v>#REF!</v>
      </c>
      <c r="AJ56" s="100"/>
      <c r="AK56" s="104"/>
      <c r="AL56" s="104"/>
      <c r="AM56" s="104"/>
      <c r="AN56" s="104"/>
      <c r="AO56" s="104"/>
      <c r="AP56" s="105"/>
    </row>
    <row r="57" spans="2:42" ht="13.15" hidden="1">
      <c r="B57" s="106"/>
      <c r="C57" s="249" t="e">
        <f>'10 Yr Pipe Capacity'!#REF!</f>
        <v>#REF!</v>
      </c>
      <c r="D57" s="249" t="e">
        <f>'10 Yr Pipe Capacity'!#REF!</f>
        <v>#REF!</v>
      </c>
      <c r="E57" s="93" t="e">
        <f>'10 Yr Pipe Capacity'!#REF!</f>
        <v>#REF!</v>
      </c>
      <c r="F57" s="93" t="e">
        <f>'10 Yr Pipe Capacity'!#REF!</f>
        <v>#REF!</v>
      </c>
      <c r="G57" s="94" t="e">
        <f>'10 Yr Pipe Capacity'!#REF!</f>
        <v>#REF!</v>
      </c>
      <c r="H57" s="109" t="e">
        <f t="shared" si="2"/>
        <v>#REF!</v>
      </c>
      <c r="I57" s="110">
        <v>1.2999999999999999E-2</v>
      </c>
      <c r="J57" s="112" t="e">
        <f>VLOOKUP(G57,'Pipe Properties'!$A$2:$D$12,4,0)</f>
        <v>#REF!</v>
      </c>
      <c r="K57" s="95" t="e">
        <f>'10 Yr Pipe Capacity'!#REF!</f>
        <v>#REF!</v>
      </c>
      <c r="L57" s="96" t="e">
        <f t="shared" si="3"/>
        <v>#REF!</v>
      </c>
      <c r="M57" s="96" t="e">
        <f t="shared" si="4"/>
        <v>#REF!</v>
      </c>
      <c r="N57" s="109" t="e">
        <f>'10 Yr Pipe Capacity'!#REF!</f>
        <v>#REF!</v>
      </c>
      <c r="O57" s="109" t="e">
        <f>'10 Yr Pipe Capacity'!#REF!</f>
        <v>#REF!</v>
      </c>
      <c r="P57" s="114" t="e">
        <f>'10 Yr Pipe Capacity'!#REF!</f>
        <v>#REF!</v>
      </c>
      <c r="Q57" s="97" t="e">
        <f t="shared" si="22"/>
        <v>#REF!</v>
      </c>
      <c r="R57" s="104" t="e">
        <f t="shared" si="33"/>
        <v>#REF!</v>
      </c>
      <c r="S57" s="104" t="e">
        <f t="shared" si="33"/>
        <v>#REF!</v>
      </c>
      <c r="T57" s="134">
        <v>0</v>
      </c>
      <c r="U57" s="126">
        <f>VLOOKUP(T57,'Kb Values MoCo'!$A$2:$D$92,2,FALSE)</f>
        <v>0.5</v>
      </c>
      <c r="V57" s="104" t="e">
        <f t="shared" si="34"/>
        <v>#REF!</v>
      </c>
      <c r="W57" s="113" t="e">
        <f t="shared" si="13"/>
        <v>#REF!</v>
      </c>
      <c r="X57" s="98" t="e">
        <f>VLOOKUP(D57,'10 Yr Pipe Capacity'!B29:Q68,17,FALSE)</f>
        <v>#REF!</v>
      </c>
      <c r="Y57" s="134" t="e">
        <f t="shared" si="27"/>
        <v>#REF!</v>
      </c>
      <c r="Z57" s="98"/>
      <c r="AA57" s="99" t="e">
        <f t="shared" si="32"/>
        <v>#REF!</v>
      </c>
      <c r="AB57" s="98" t="e">
        <f>VLOOKUP(D57,'10 Yr Pipe Capacity'!B29:Q68,16,FALSE)</f>
        <v>#REF!</v>
      </c>
      <c r="AC57" s="98" t="e">
        <f t="shared" si="16"/>
        <v>#REF!</v>
      </c>
      <c r="AD57" s="98" t="e">
        <f t="shared" si="17"/>
        <v>#REF!</v>
      </c>
      <c r="AE57" s="99" t="e">
        <f t="shared" si="10"/>
        <v>#REF!</v>
      </c>
      <c r="AF57" s="98" t="e">
        <f t="shared" si="35"/>
        <v>#REF!</v>
      </c>
      <c r="AG57" s="98" t="e">
        <f>'10 Yr Pipe Capacity'!#REF!</f>
        <v>#REF!</v>
      </c>
      <c r="AH57" s="115" t="e">
        <f t="shared" si="18"/>
        <v>#REF!</v>
      </c>
      <c r="AI57" s="104" t="e">
        <f t="shared" si="1"/>
        <v>#REF!</v>
      </c>
      <c r="AJ57" s="100"/>
      <c r="AK57" s="104"/>
      <c r="AL57" s="104"/>
      <c r="AM57" s="104"/>
      <c r="AN57" s="104"/>
      <c r="AO57" s="104"/>
      <c r="AP57" s="105"/>
    </row>
    <row r="58" spans="2:42" ht="13.15" hidden="1">
      <c r="B58" s="106"/>
      <c r="C58" s="249" t="e">
        <f>'10 Yr Pipe Capacity'!#REF!</f>
        <v>#REF!</v>
      </c>
      <c r="D58" s="249" t="e">
        <f>'10 Yr Pipe Capacity'!#REF!</f>
        <v>#REF!</v>
      </c>
      <c r="E58" s="93" t="e">
        <f>'10 Yr Pipe Capacity'!#REF!</f>
        <v>#REF!</v>
      </c>
      <c r="F58" s="93" t="e">
        <f>'10 Yr Pipe Capacity'!#REF!</f>
        <v>#REF!</v>
      </c>
      <c r="G58" s="94" t="e">
        <f>'10 Yr Pipe Capacity'!#REF!</f>
        <v>#REF!</v>
      </c>
      <c r="H58" s="109" t="e">
        <f t="shared" si="2"/>
        <v>#REF!</v>
      </c>
      <c r="I58" s="110">
        <v>1.2999999999999999E-2</v>
      </c>
      <c r="J58" s="112" t="e">
        <f>VLOOKUP(G58,'Pipe Properties'!$A$2:$D$12,4,0)</f>
        <v>#REF!</v>
      </c>
      <c r="K58" s="95" t="e">
        <f>'10 Yr Pipe Capacity'!#REF!</f>
        <v>#REF!</v>
      </c>
      <c r="L58" s="96" t="e">
        <f t="shared" si="3"/>
        <v>#REF!</v>
      </c>
      <c r="M58" s="96" t="e">
        <f t="shared" si="4"/>
        <v>#REF!</v>
      </c>
      <c r="N58" s="109" t="e">
        <f>'10 Yr Pipe Capacity'!#REF!</f>
        <v>#REF!</v>
      </c>
      <c r="O58" s="109" t="e">
        <f>'10 Yr Pipe Capacity'!#REF!</f>
        <v>#REF!</v>
      </c>
      <c r="P58" s="114" t="e">
        <f>'10 Yr Pipe Capacity'!#REF!</f>
        <v>#REF!</v>
      </c>
      <c r="Q58" s="97" t="e">
        <f t="shared" si="22"/>
        <v>#REF!</v>
      </c>
      <c r="R58" s="104" t="e">
        <f t="shared" si="33"/>
        <v>#REF!</v>
      </c>
      <c r="S58" s="104" t="e">
        <f t="shared" si="33"/>
        <v>#REF!</v>
      </c>
      <c r="T58" s="134">
        <v>0</v>
      </c>
      <c r="U58" s="126">
        <f>VLOOKUP(T58,'Kb Values MoCo'!$A$2:$D$92,3,FALSE)</f>
        <v>0.15</v>
      </c>
      <c r="V58" s="104" t="e">
        <f t="shared" si="34"/>
        <v>#REF!</v>
      </c>
      <c r="W58" s="113" t="e">
        <f t="shared" si="13"/>
        <v>#REF!</v>
      </c>
      <c r="X58" s="98" t="e">
        <f>VLOOKUP(D58,'10 Yr Pipe Capacity'!B29:Q69,17,FALSE)</f>
        <v>#REF!</v>
      </c>
      <c r="Y58" s="134" t="e">
        <f t="shared" si="27"/>
        <v>#REF!</v>
      </c>
      <c r="Z58" s="98"/>
      <c r="AA58" s="99" t="e">
        <f t="shared" si="32"/>
        <v>#REF!</v>
      </c>
      <c r="AB58" s="98" t="e">
        <f>VLOOKUP(D58,'10 Yr Pipe Capacity'!B29:Q69,16,FALSE)</f>
        <v>#REF!</v>
      </c>
      <c r="AC58" s="98" t="e">
        <f t="shared" si="16"/>
        <v>#REF!</v>
      </c>
      <c r="AD58" s="98" t="e">
        <f>AA58+R58</f>
        <v>#REF!</v>
      </c>
      <c r="AE58" s="99" t="e">
        <f t="shared" si="10"/>
        <v>#REF!</v>
      </c>
      <c r="AF58" s="98" t="e">
        <f t="shared" si="35"/>
        <v>#REF!</v>
      </c>
      <c r="AG58" s="98" t="e">
        <f>'10 Yr Pipe Capacity'!#REF!</f>
        <v>#REF!</v>
      </c>
      <c r="AH58" s="115" t="e">
        <f t="shared" si="18"/>
        <v>#REF!</v>
      </c>
      <c r="AI58" s="104" t="e">
        <f t="shared" si="1"/>
        <v>#REF!</v>
      </c>
      <c r="AJ58" s="100"/>
      <c r="AK58" s="104"/>
      <c r="AL58" s="104"/>
      <c r="AM58" s="104"/>
      <c r="AN58" s="104"/>
      <c r="AO58" s="104"/>
      <c r="AP58" s="105"/>
    </row>
    <row r="59" spans="2:42" ht="13.15" hidden="1">
      <c r="B59" s="106"/>
      <c r="C59" s="249"/>
      <c r="D59" s="249"/>
      <c r="E59" s="93"/>
      <c r="F59" s="93"/>
      <c r="G59" s="94"/>
      <c r="H59" s="109"/>
      <c r="I59" s="110"/>
      <c r="J59" s="112"/>
      <c r="K59" s="95"/>
      <c r="L59" s="96"/>
      <c r="M59" s="96"/>
      <c r="N59" s="109"/>
      <c r="O59" s="109"/>
      <c r="P59" s="114"/>
      <c r="Q59" s="97"/>
      <c r="R59" s="104"/>
      <c r="S59" s="104"/>
      <c r="T59" s="134"/>
      <c r="U59" s="127"/>
      <c r="V59" s="113"/>
      <c r="W59" s="113"/>
      <c r="X59" s="98"/>
      <c r="Y59" s="98"/>
      <c r="Z59" s="98"/>
      <c r="AA59" s="99"/>
      <c r="AB59" s="98"/>
      <c r="AC59" s="98"/>
      <c r="AD59" s="98"/>
      <c r="AE59" s="99"/>
      <c r="AF59" s="98"/>
      <c r="AG59" s="98"/>
      <c r="AH59" s="115"/>
      <c r="AI59" s="104"/>
      <c r="AJ59" s="100"/>
      <c r="AK59" s="104"/>
      <c r="AL59" s="104"/>
      <c r="AM59" s="104"/>
      <c r="AN59" s="104"/>
      <c r="AO59" s="104"/>
      <c r="AP59" s="105"/>
    </row>
    <row r="60" spans="2:42" ht="13.15">
      <c r="B60" s="106"/>
      <c r="C60" s="249" t="e">
        <f>'10 Yr Pipe Capacity'!#REF!</f>
        <v>#REF!</v>
      </c>
      <c r="D60" s="249" t="e">
        <f>'10 Yr Pipe Capacity'!#REF!</f>
        <v>#REF!</v>
      </c>
      <c r="E60" s="93" t="e">
        <f>'25 Yr SHA Pipe Capacity'!L65</f>
        <v>#N/A</v>
      </c>
      <c r="F60" s="93" t="e">
        <f>'10 Yr Pipe Capacity'!#REF!</f>
        <v>#REF!</v>
      </c>
      <c r="G60" s="94" t="e">
        <f>'10 Yr Pipe Capacity'!#REF!</f>
        <v>#REF!</v>
      </c>
      <c r="H60" s="109" t="e">
        <f t="shared" si="2"/>
        <v>#REF!</v>
      </c>
      <c r="I60" s="110">
        <v>1.2999999999999999E-2</v>
      </c>
      <c r="J60" s="112" t="e">
        <f>VLOOKUP(G60,'Pipe Properties'!$A$2:$D$12,4,0)</f>
        <v>#REF!</v>
      </c>
      <c r="K60" s="95" t="e">
        <f>'10 Yr Pipe Capacity'!#REF!</f>
        <v>#REF!</v>
      </c>
      <c r="L60" s="96" t="e">
        <f t="shared" si="3"/>
        <v>#N/A</v>
      </c>
      <c r="M60" s="96" t="e">
        <f t="shared" si="4"/>
        <v>#REF!</v>
      </c>
      <c r="N60" s="109" t="e">
        <f>'10 Yr Pipe Capacity'!#REF!</f>
        <v>#REF!</v>
      </c>
      <c r="O60" s="109" t="e">
        <f>'10 Yr Pipe Capacity'!#REF!</f>
        <v>#REF!</v>
      </c>
      <c r="P60" s="114" t="e">
        <f>'10 Yr Pipe Capacity'!#REF!</f>
        <v>#REF!</v>
      </c>
      <c r="Q60" s="97" t="e">
        <f t="shared" si="22"/>
        <v>#REF!</v>
      </c>
      <c r="R60" s="104" t="e">
        <f t="shared" si="33"/>
        <v>#REF!</v>
      </c>
      <c r="S60" s="104" t="e">
        <f t="shared" si="33"/>
        <v>#REF!</v>
      </c>
      <c r="T60" s="134">
        <v>0</v>
      </c>
      <c r="U60" s="126">
        <f>VLOOKUP(T60,'Kb Values MoCo'!$A$2:$D$92,3,FALSE)</f>
        <v>0.15</v>
      </c>
      <c r="V60" s="104" t="e">
        <f t="shared" ref="V60" si="36">(U60*N60*N60)/64.4</f>
        <v>#REF!</v>
      </c>
      <c r="W60" s="113" t="e">
        <f t="shared" ref="W60" si="37">(U60*O60*O60)/64.4</f>
        <v>#REF!</v>
      </c>
      <c r="X60" s="98" t="e">
        <f>VLOOKUP(D60,'10 Yr Pipe Capacity'!B29:Q71,17,FALSE)</f>
        <v>#REF!</v>
      </c>
      <c r="Y60" s="134" t="e">
        <f t="shared" ref="Y60" si="38">X60+G60/12</f>
        <v>#REF!</v>
      </c>
      <c r="Z60" s="98"/>
      <c r="AA60" s="99" t="e">
        <f t="shared" ref="AA60" si="39">IF(Z60&gt;Y60,Z60,Y60)</f>
        <v>#REF!</v>
      </c>
      <c r="AB60" s="98" t="e">
        <f>VLOOKUP(D60,'10 Yr Pipe Capacity'!B29:Q71,16,FALSE)</f>
        <v>#REF!</v>
      </c>
      <c r="AC60" s="98" t="e">
        <f t="shared" ref="AC60" si="40">AB60+G60/12</f>
        <v>#REF!</v>
      </c>
      <c r="AD60" s="98" t="e">
        <f>AA60+R60</f>
        <v>#REF!</v>
      </c>
      <c r="AE60" s="99" t="e">
        <f t="shared" ref="AE60" si="41">IF(AD60&gt;AC60,AD60,AC60)</f>
        <v>#REF!</v>
      </c>
      <c r="AF60" s="98" t="e">
        <f t="shared" ref="AF60" si="42">MAX(_xlfn.MAXIFS($AA$12:$AA$45,$C$12:$C$45,D60),AE60)</f>
        <v>#REF!</v>
      </c>
      <c r="AG60" s="98" t="e">
        <f>'10 Yr Pipe Capacity'!#REF!</f>
        <v>#REF!</v>
      </c>
      <c r="AH60" s="115" t="e">
        <f t="shared" ref="AH60" si="43">AG60-AF60</f>
        <v>#REF!</v>
      </c>
      <c r="AI60" s="104" t="e">
        <f t="shared" ref="AI60" si="44">IF(AH60&gt;0, "Ok!", "Check!")</f>
        <v>#REF!</v>
      </c>
      <c r="AJ60" s="100"/>
      <c r="AK60" s="104"/>
      <c r="AL60" s="104"/>
      <c r="AM60" s="104"/>
      <c r="AN60" s="104"/>
      <c r="AO60" s="104"/>
      <c r="AP60" s="105"/>
    </row>
    <row r="62" spans="2:42">
      <c r="C62" s="46" t="s">
        <v>203</v>
      </c>
    </row>
    <row r="63" spans="2:42">
      <c r="C63" s="46" t="s">
        <v>204</v>
      </c>
    </row>
    <row r="64" spans="2:42">
      <c r="C64" s="46" t="s">
        <v>205</v>
      </c>
    </row>
    <row r="65" spans="3:18">
      <c r="C65" s="46" t="s">
        <v>206</v>
      </c>
    </row>
    <row r="66" spans="3:18">
      <c r="C66" s="46" t="s">
        <v>207</v>
      </c>
    </row>
    <row r="67" spans="3:18">
      <c r="C67" s="46" t="s">
        <v>208</v>
      </c>
    </row>
    <row r="68" spans="3:18">
      <c r="C68" s="46" t="s">
        <v>209</v>
      </c>
    </row>
    <row r="69" spans="3:18">
      <c r="C69" s="46" t="s">
        <v>210</v>
      </c>
    </row>
    <row r="70" spans="3:18">
      <c r="C70" s="46" t="s">
        <v>273</v>
      </c>
    </row>
    <row r="71" spans="3:18">
      <c r="C71" s="46" t="s">
        <v>274</v>
      </c>
    </row>
    <row r="76" spans="3:18">
      <c r="Q76" s="46"/>
      <c r="R76" s="46"/>
    </row>
    <row r="77" spans="3:18">
      <c r="Q77" s="46"/>
      <c r="R77" s="46"/>
    </row>
    <row r="78" spans="3:18">
      <c r="Q78" s="46"/>
      <c r="R78" s="46"/>
    </row>
    <row r="79" spans="3:18">
      <c r="Q79" s="46"/>
      <c r="R79" s="46"/>
    </row>
    <row r="83" spans="17:18">
      <c r="Q83" s="46"/>
      <c r="R83" s="46"/>
    </row>
    <row r="84" spans="17:18">
      <c r="Q84" s="46"/>
      <c r="R84" s="46"/>
    </row>
    <row r="85" spans="17:18">
      <c r="Q85" s="46"/>
      <c r="R85" s="46"/>
    </row>
    <row r="86" spans="17:18">
      <c r="Q86" s="46"/>
      <c r="R86" s="46"/>
    </row>
    <row r="87" spans="17:18">
      <c r="Q87" s="46"/>
      <c r="R87" s="46"/>
    </row>
    <row r="88" spans="17:18">
      <c r="Q88" s="46"/>
      <c r="R88" s="46"/>
    </row>
    <row r="89" spans="17:18">
      <c r="Q89" s="46"/>
      <c r="R89" s="46"/>
    </row>
    <row r="90" spans="17:18">
      <c r="Q90" s="46"/>
      <c r="R90" s="46"/>
    </row>
    <row r="91" spans="17:18">
      <c r="Q91" s="46"/>
      <c r="R91" s="46"/>
    </row>
    <row r="92" spans="17:18">
      <c r="Q92" s="46"/>
      <c r="R92" s="46"/>
    </row>
  </sheetData>
  <mergeCells count="16">
    <mergeCell ref="O4:Q4"/>
    <mergeCell ref="B5:C5"/>
    <mergeCell ref="D5:E5"/>
    <mergeCell ref="B6:C6"/>
    <mergeCell ref="B2:C2"/>
    <mergeCell ref="D2:E2"/>
    <mergeCell ref="H2:I2"/>
    <mergeCell ref="K2:L2"/>
    <mergeCell ref="B4:C4"/>
    <mergeCell ref="K4:L4"/>
    <mergeCell ref="O2:Q2"/>
    <mergeCell ref="B3:C3"/>
    <mergeCell ref="D3:E3"/>
    <mergeCell ref="H3:I3"/>
    <mergeCell ref="K3:L3"/>
    <mergeCell ref="O3:Q3"/>
  </mergeCells>
  <conditionalFormatting sqref="AI10:AI60 AO10:AO60">
    <cfRule type="cellIs" dxfId="0" priority="1" stopIfTrue="1" operator="equal">
      <formula>"Check!"</formula>
    </cfRule>
  </conditionalFormatting>
  <pageMargins left="0.75" right="0.75" top="1" bottom="1" header="0.5" footer="0.5"/>
  <pageSetup paperSize="3" scale="64" fitToHeight="0" orientation="landscape" r:id="rId1"/>
  <headerFooter alignWithMargins="0"/>
  <rowBreaks count="1" manualBreakCount="1">
    <brk id="60" min="1" max="3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B3B2-9CA2-4549-AB16-BFF9AFB57212}">
  <dimension ref="B2:K223"/>
  <sheetViews>
    <sheetView topLeftCell="A16" workbookViewId="0">
      <selection activeCell="F23" sqref="F23"/>
    </sheetView>
  </sheetViews>
  <sheetFormatPr defaultColWidth="9.1328125" defaultRowHeight="12.75"/>
  <cols>
    <col min="1" max="1" width="9.1328125" style="43"/>
    <col min="2" max="3" width="9.06640625"/>
    <col min="4" max="4" width="9.1328125" style="122"/>
    <col min="5" max="5" width="9.1328125" style="43"/>
    <col min="6" max="6" width="9.1328125" style="122"/>
    <col min="7" max="16384" width="9.1328125" style="43"/>
  </cols>
  <sheetData>
    <row r="2" spans="2:11">
      <c r="B2" s="220" t="s">
        <v>355</v>
      </c>
      <c r="C2" s="220" t="s">
        <v>356</v>
      </c>
      <c r="D2" s="378" t="s">
        <v>544</v>
      </c>
      <c r="F2" s="391" t="s">
        <v>550</v>
      </c>
    </row>
    <row r="3" spans="2:11" ht="13.15">
      <c r="B3" s="379">
        <v>5</v>
      </c>
      <c r="C3" s="379">
        <f>0.557/(5/60)</f>
        <v>6.6840000000000011</v>
      </c>
      <c r="D3" s="379">
        <f>0.631/(5/60)</f>
        <v>7.5720000000000001</v>
      </c>
      <c r="F3" s="380">
        <f>0.418/(5/60)</f>
        <v>5.016</v>
      </c>
    </row>
    <row r="4" spans="2:11">
      <c r="B4" s="222">
        <v>5.0999999999999996</v>
      </c>
      <c r="C4" s="222">
        <f>(($C$3-$C$53)*((B4-$B$3)/($B$53-$B$3))-$C$3)/-1</f>
        <v>6.6571200000000008</v>
      </c>
      <c r="D4" s="222">
        <f>(($D$3-$D$53)*((B4-$B$3)/($B$53-$B$3))-$D$3)/-1</f>
        <v>7.5405600000000002</v>
      </c>
      <c r="F4" s="222">
        <f>(($F$3-$F$53)*((B4-$B$3)/($B$53-$B$3))-$F$3)/-1</f>
        <v>5.0114400000000003</v>
      </c>
    </row>
    <row r="5" spans="2:11">
      <c r="B5" s="222">
        <v>5.2</v>
      </c>
      <c r="C5" s="222">
        <f t="shared" ref="C5:C52" si="0">(($C$3-$C$53)*((B5-$B$3)/($B$53-$B$3))-$C$3)/-1</f>
        <v>6.6302400000000006</v>
      </c>
      <c r="D5" s="222">
        <f t="shared" ref="D5:D52" si="1">(($D$3-$D$53)*((B5-$B$3)/($B$53-$B$3))-$D$3)/-1</f>
        <v>7.5091199999999994</v>
      </c>
      <c r="F5" s="222">
        <f t="shared" ref="F5:F52" si="2">(($F$3-$F$53)*((B5-$B$3)/($B$53-$B$3))-$F$3)/-1</f>
        <v>5.0068799999999998</v>
      </c>
    </row>
    <row r="6" spans="2:11">
      <c r="B6" s="222">
        <v>5.3</v>
      </c>
      <c r="C6" s="222">
        <f t="shared" si="0"/>
        <v>6.6033600000000003</v>
      </c>
      <c r="D6" s="222">
        <f t="shared" si="1"/>
        <v>7.4776799999999994</v>
      </c>
      <c r="F6" s="222">
        <f t="shared" si="2"/>
        <v>5.0023200000000001</v>
      </c>
    </row>
    <row r="7" spans="2:11">
      <c r="B7" s="222">
        <v>5.4</v>
      </c>
      <c r="C7" s="222">
        <f t="shared" si="0"/>
        <v>6.5764800000000001</v>
      </c>
      <c r="D7" s="222">
        <f t="shared" si="1"/>
        <v>7.4462399999999995</v>
      </c>
      <c r="F7" s="222">
        <f t="shared" si="2"/>
        <v>4.9977599999999995</v>
      </c>
    </row>
    <row r="8" spans="2:11">
      <c r="B8" s="222">
        <v>5.5</v>
      </c>
      <c r="C8" s="222">
        <f t="shared" si="0"/>
        <v>6.5496000000000008</v>
      </c>
      <c r="D8" s="222">
        <f t="shared" si="1"/>
        <v>7.4147999999999996</v>
      </c>
      <c r="F8" s="222">
        <f t="shared" si="2"/>
        <v>4.9931999999999999</v>
      </c>
    </row>
    <row r="9" spans="2:11" ht="13.15">
      <c r="B9" s="222">
        <v>5.6</v>
      </c>
      <c r="C9" s="222">
        <f t="shared" si="0"/>
        <v>6.5227200000000005</v>
      </c>
      <c r="D9" s="222">
        <f t="shared" si="1"/>
        <v>7.3833599999999997</v>
      </c>
      <c r="F9" s="222">
        <f t="shared" si="2"/>
        <v>4.9886400000000002</v>
      </c>
      <c r="K9" s="123"/>
    </row>
    <row r="10" spans="2:11" ht="13.15">
      <c r="B10" s="222">
        <v>5.7</v>
      </c>
      <c r="C10" s="222">
        <f t="shared" si="0"/>
        <v>6.4958400000000003</v>
      </c>
      <c r="D10" s="222">
        <f t="shared" si="1"/>
        <v>7.3519199999999989</v>
      </c>
      <c r="F10" s="222">
        <f t="shared" si="2"/>
        <v>4.9840799999999996</v>
      </c>
      <c r="K10" s="123"/>
    </row>
    <row r="11" spans="2:11">
      <c r="B11" s="222">
        <v>5.8</v>
      </c>
      <c r="C11" s="222">
        <f t="shared" si="0"/>
        <v>6.46896</v>
      </c>
      <c r="D11" s="222">
        <f t="shared" si="1"/>
        <v>7.320479999999999</v>
      </c>
      <c r="F11" s="222">
        <f t="shared" si="2"/>
        <v>4.9795199999999999</v>
      </c>
    </row>
    <row r="12" spans="2:11">
      <c r="B12" s="222">
        <v>5.9</v>
      </c>
      <c r="C12" s="222">
        <f t="shared" si="0"/>
        <v>6.4420799999999998</v>
      </c>
      <c r="D12" s="222">
        <f t="shared" si="1"/>
        <v>7.2890399999999991</v>
      </c>
      <c r="F12" s="222">
        <f t="shared" si="2"/>
        <v>4.9749600000000003</v>
      </c>
    </row>
    <row r="13" spans="2:11" ht="13.15">
      <c r="B13" s="125">
        <v>6</v>
      </c>
      <c r="C13" s="222">
        <f t="shared" si="0"/>
        <v>6.4151999999999996</v>
      </c>
      <c r="D13" s="222">
        <f t="shared" si="1"/>
        <v>7.2575999999999992</v>
      </c>
      <c r="F13" s="222">
        <f t="shared" si="2"/>
        <v>4.9703999999999997</v>
      </c>
      <c r="G13" s="124"/>
    </row>
    <row r="14" spans="2:11">
      <c r="B14" s="125">
        <v>6.1</v>
      </c>
      <c r="C14" s="222">
        <f t="shared" si="0"/>
        <v>6.3883200000000002</v>
      </c>
      <c r="D14" s="222">
        <f t="shared" si="1"/>
        <v>7.2261599999999984</v>
      </c>
      <c r="F14" s="222">
        <f t="shared" si="2"/>
        <v>4.96584</v>
      </c>
    </row>
    <row r="15" spans="2:11">
      <c r="B15" s="125">
        <v>6.2</v>
      </c>
      <c r="C15" s="222">
        <f t="shared" si="0"/>
        <v>6.36144</v>
      </c>
      <c r="D15" s="222">
        <f t="shared" si="1"/>
        <v>7.1947199999999984</v>
      </c>
      <c r="F15" s="222">
        <f t="shared" si="2"/>
        <v>4.9612799999999995</v>
      </c>
    </row>
    <row r="16" spans="2:11">
      <c r="B16" s="125">
        <v>6.3</v>
      </c>
      <c r="C16" s="222">
        <f t="shared" si="0"/>
        <v>6.3345599999999997</v>
      </c>
      <c r="D16" s="222">
        <f t="shared" si="1"/>
        <v>7.1632799999999985</v>
      </c>
      <c r="F16" s="222">
        <f t="shared" si="2"/>
        <v>4.9567199999999998</v>
      </c>
    </row>
    <row r="17" spans="2:6">
      <c r="B17" s="125">
        <v>6.4</v>
      </c>
      <c r="C17" s="222">
        <f t="shared" si="0"/>
        <v>6.3076799999999995</v>
      </c>
      <c r="D17" s="222">
        <f t="shared" si="1"/>
        <v>7.1318399999999986</v>
      </c>
      <c r="F17" s="222">
        <f t="shared" si="2"/>
        <v>4.9521600000000001</v>
      </c>
    </row>
    <row r="18" spans="2:6">
      <c r="B18" s="125">
        <v>6.4999999999999902</v>
      </c>
      <c r="C18" s="222">
        <f t="shared" si="0"/>
        <v>6.2808000000000019</v>
      </c>
      <c r="D18" s="222">
        <f t="shared" si="1"/>
        <v>7.1004000000000014</v>
      </c>
      <c r="F18" s="222">
        <f t="shared" si="2"/>
        <v>4.9476000000000004</v>
      </c>
    </row>
    <row r="19" spans="2:6">
      <c r="B19" s="125">
        <v>6.5999999999999899</v>
      </c>
      <c r="C19" s="222">
        <f t="shared" si="0"/>
        <v>6.2539200000000017</v>
      </c>
      <c r="D19" s="222">
        <f t="shared" si="1"/>
        <v>7.0689600000000015</v>
      </c>
      <c r="F19" s="222">
        <f t="shared" si="2"/>
        <v>4.9430399999999999</v>
      </c>
    </row>
    <row r="20" spans="2:6">
      <c r="B20" s="125">
        <v>6.6999999999999904</v>
      </c>
      <c r="C20" s="222">
        <f t="shared" si="0"/>
        <v>6.2270400000000015</v>
      </c>
      <c r="D20" s="222">
        <f t="shared" si="1"/>
        <v>7.0375200000000007</v>
      </c>
      <c r="F20" s="222">
        <f t="shared" si="2"/>
        <v>4.9384800000000002</v>
      </c>
    </row>
    <row r="21" spans="2:6">
      <c r="B21" s="125">
        <v>6.7999999999999901</v>
      </c>
      <c r="C21" s="222">
        <f t="shared" si="0"/>
        <v>6.2001600000000021</v>
      </c>
      <c r="D21" s="222">
        <f t="shared" si="1"/>
        <v>7.0060800000000008</v>
      </c>
      <c r="F21" s="222">
        <f t="shared" si="2"/>
        <v>4.9339200000000005</v>
      </c>
    </row>
    <row r="22" spans="2:6">
      <c r="B22" s="125">
        <v>6.8999999999999897</v>
      </c>
      <c r="C22" s="222">
        <f t="shared" si="0"/>
        <v>6.1732800000000019</v>
      </c>
      <c r="D22" s="222">
        <f t="shared" si="1"/>
        <v>6.9746400000000008</v>
      </c>
      <c r="F22" s="222">
        <f t="shared" si="2"/>
        <v>4.92936</v>
      </c>
    </row>
    <row r="23" spans="2:6">
      <c r="B23" s="125">
        <v>6.9999999999999902</v>
      </c>
      <c r="C23" s="222">
        <f t="shared" si="0"/>
        <v>6.1464000000000016</v>
      </c>
      <c r="D23" s="222">
        <f t="shared" si="1"/>
        <v>6.9432000000000009</v>
      </c>
      <c r="F23" s="222">
        <f t="shared" si="2"/>
        <v>4.9248000000000003</v>
      </c>
    </row>
    <row r="24" spans="2:6">
      <c r="B24" s="125">
        <v>7.0999999999999899</v>
      </c>
      <c r="C24" s="222">
        <f t="shared" si="0"/>
        <v>6.1195200000000014</v>
      </c>
      <c r="D24" s="222">
        <f t="shared" si="1"/>
        <v>6.911760000000001</v>
      </c>
      <c r="F24" s="222">
        <f t="shared" si="2"/>
        <v>4.9202400000000006</v>
      </c>
    </row>
    <row r="25" spans="2:6">
      <c r="B25" s="125">
        <v>7.1999999999999904</v>
      </c>
      <c r="C25" s="222">
        <f t="shared" si="0"/>
        <v>6.0926400000000012</v>
      </c>
      <c r="D25" s="222">
        <f t="shared" si="1"/>
        <v>6.8803200000000002</v>
      </c>
      <c r="F25" s="222">
        <f t="shared" si="2"/>
        <v>4.91568</v>
      </c>
    </row>
    <row r="26" spans="2:6">
      <c r="B26" s="125">
        <v>7.2999999999999901</v>
      </c>
      <c r="C26" s="222">
        <f t="shared" si="0"/>
        <v>6.0657600000000009</v>
      </c>
      <c r="D26" s="222">
        <f t="shared" si="1"/>
        <v>6.8488800000000003</v>
      </c>
      <c r="F26" s="222">
        <f t="shared" si="2"/>
        <v>4.9111200000000004</v>
      </c>
    </row>
    <row r="27" spans="2:6">
      <c r="B27" s="125">
        <v>7.3999999999999897</v>
      </c>
      <c r="C27" s="222">
        <f t="shared" si="0"/>
        <v>6.0388800000000007</v>
      </c>
      <c r="D27" s="222">
        <f t="shared" si="1"/>
        <v>6.8174400000000004</v>
      </c>
      <c r="F27" s="222">
        <f t="shared" si="2"/>
        <v>4.9065599999999998</v>
      </c>
    </row>
    <row r="28" spans="2:6">
      <c r="B28" s="125">
        <v>7.4999999999999902</v>
      </c>
      <c r="C28" s="222">
        <f t="shared" si="0"/>
        <v>6.0120000000000005</v>
      </c>
      <c r="D28" s="222">
        <f t="shared" si="1"/>
        <v>6.7859999999999996</v>
      </c>
      <c r="F28" s="222">
        <f t="shared" si="2"/>
        <v>4.9020000000000001</v>
      </c>
    </row>
    <row r="29" spans="2:6">
      <c r="B29" s="125">
        <v>7.5999999999999899</v>
      </c>
      <c r="C29" s="222">
        <f t="shared" si="0"/>
        <v>5.9851200000000011</v>
      </c>
      <c r="D29" s="222">
        <f t="shared" si="1"/>
        <v>6.7545599999999997</v>
      </c>
      <c r="F29" s="222">
        <f t="shared" si="2"/>
        <v>4.8974400000000005</v>
      </c>
    </row>
    <row r="30" spans="2:6">
      <c r="B30" s="125">
        <v>7.6999999999999904</v>
      </c>
      <c r="C30" s="222">
        <f t="shared" si="0"/>
        <v>5.9582400000000009</v>
      </c>
      <c r="D30" s="222">
        <f t="shared" si="1"/>
        <v>6.7231199999999998</v>
      </c>
      <c r="F30" s="222">
        <f t="shared" si="2"/>
        <v>4.8928799999999999</v>
      </c>
    </row>
    <row r="31" spans="2:6">
      <c r="B31" s="125">
        <v>7.7999999999999901</v>
      </c>
      <c r="C31" s="222">
        <f t="shared" si="0"/>
        <v>5.9313600000000006</v>
      </c>
      <c r="D31" s="222">
        <f t="shared" si="1"/>
        <v>6.6916799999999999</v>
      </c>
      <c r="F31" s="222">
        <f t="shared" si="2"/>
        <v>4.8883200000000002</v>
      </c>
    </row>
    <row r="32" spans="2:6">
      <c r="B32" s="125">
        <v>7.8999999999999897</v>
      </c>
      <c r="C32" s="222">
        <f t="shared" si="0"/>
        <v>5.9044800000000004</v>
      </c>
      <c r="D32" s="222">
        <f t="shared" si="1"/>
        <v>6.6602399999999999</v>
      </c>
      <c r="F32" s="222">
        <f t="shared" si="2"/>
        <v>4.8837600000000005</v>
      </c>
    </row>
    <row r="33" spans="2:6">
      <c r="B33" s="125">
        <v>7.9999999999999902</v>
      </c>
      <c r="C33" s="222">
        <f t="shared" si="0"/>
        <v>5.8776000000000002</v>
      </c>
      <c r="D33" s="222">
        <f t="shared" si="1"/>
        <v>6.6287999999999991</v>
      </c>
      <c r="F33" s="222">
        <f t="shared" si="2"/>
        <v>4.8792</v>
      </c>
    </row>
    <row r="34" spans="2:6">
      <c r="B34" s="125">
        <v>8.0999999999999908</v>
      </c>
      <c r="C34" s="222">
        <f t="shared" si="0"/>
        <v>5.8507199999999999</v>
      </c>
      <c r="D34" s="222">
        <f t="shared" si="1"/>
        <v>6.5973599999999992</v>
      </c>
      <c r="F34" s="222">
        <f t="shared" si="2"/>
        <v>4.8746400000000003</v>
      </c>
    </row>
    <row r="35" spans="2:6">
      <c r="B35" s="125">
        <v>8.1999999999999904</v>
      </c>
      <c r="C35" s="222">
        <f t="shared" si="0"/>
        <v>5.8238400000000006</v>
      </c>
      <c r="D35" s="222">
        <f t="shared" si="1"/>
        <v>6.5659199999999993</v>
      </c>
      <c r="F35" s="222">
        <f t="shared" si="2"/>
        <v>4.8700799999999997</v>
      </c>
    </row>
    <row r="36" spans="2:6">
      <c r="B36" s="125">
        <v>8.2999999999999901</v>
      </c>
      <c r="C36" s="222">
        <f t="shared" si="0"/>
        <v>5.7969600000000003</v>
      </c>
      <c r="D36" s="222">
        <f t="shared" si="1"/>
        <v>6.5344799999999994</v>
      </c>
      <c r="F36" s="222">
        <f t="shared" si="2"/>
        <v>4.8655200000000001</v>
      </c>
    </row>
    <row r="37" spans="2:6">
      <c r="B37" s="125">
        <v>8.3999999999999897</v>
      </c>
      <c r="C37" s="222">
        <f t="shared" si="0"/>
        <v>5.7700800000000001</v>
      </c>
      <c r="D37" s="222">
        <f t="shared" si="1"/>
        <v>6.5030399999999986</v>
      </c>
      <c r="F37" s="222">
        <f t="shared" si="2"/>
        <v>4.8609600000000004</v>
      </c>
    </row>
    <row r="38" spans="2:6">
      <c r="B38" s="125">
        <v>8.4999999999999893</v>
      </c>
      <c r="C38" s="222">
        <f t="shared" si="0"/>
        <v>5.7431999999999999</v>
      </c>
      <c r="D38" s="222">
        <f t="shared" si="1"/>
        <v>6.4715999999999987</v>
      </c>
      <c r="F38" s="222">
        <f t="shared" si="2"/>
        <v>4.8563999999999998</v>
      </c>
    </row>
    <row r="39" spans="2:6">
      <c r="B39" s="125">
        <v>8.5999999999999908</v>
      </c>
      <c r="C39" s="222">
        <f t="shared" si="0"/>
        <v>5.7163199999999996</v>
      </c>
      <c r="D39" s="222">
        <f t="shared" si="1"/>
        <v>6.4401599999999988</v>
      </c>
      <c r="F39" s="222">
        <f t="shared" si="2"/>
        <v>4.8518400000000002</v>
      </c>
    </row>
    <row r="40" spans="2:6">
      <c r="B40" s="125">
        <v>8.6999999999999904</v>
      </c>
      <c r="C40" s="222">
        <f t="shared" si="0"/>
        <v>5.6894399999999994</v>
      </c>
      <c r="D40" s="222">
        <f t="shared" si="1"/>
        <v>6.4087199999999989</v>
      </c>
      <c r="F40" s="222">
        <f t="shared" si="2"/>
        <v>4.8472799999999996</v>
      </c>
    </row>
    <row r="41" spans="2:6">
      <c r="B41" s="125">
        <v>8.7999999999999901</v>
      </c>
      <c r="C41" s="222">
        <f t="shared" si="0"/>
        <v>5.6625599999999991</v>
      </c>
      <c r="D41" s="222">
        <f t="shared" si="1"/>
        <v>6.3772799999999989</v>
      </c>
      <c r="F41" s="222">
        <f t="shared" si="2"/>
        <v>4.8427199999999999</v>
      </c>
    </row>
    <row r="42" spans="2:6">
      <c r="B42" s="125">
        <v>8.8999999999999897</v>
      </c>
      <c r="C42" s="222">
        <f t="shared" si="0"/>
        <v>5.6356799999999989</v>
      </c>
      <c r="D42" s="222">
        <f t="shared" si="1"/>
        <v>6.3458399999999981</v>
      </c>
      <c r="F42" s="222">
        <f t="shared" si="2"/>
        <v>4.8381600000000002</v>
      </c>
    </row>
    <row r="43" spans="2:6">
      <c r="B43" s="125">
        <v>8.9999999999999893</v>
      </c>
      <c r="C43" s="222">
        <f t="shared" si="0"/>
        <v>5.6087999999999996</v>
      </c>
      <c r="D43" s="222">
        <f t="shared" si="1"/>
        <v>6.3143999999999982</v>
      </c>
      <c r="F43" s="222">
        <f t="shared" si="2"/>
        <v>4.8335999999999997</v>
      </c>
    </row>
    <row r="44" spans="2:6">
      <c r="B44" s="125">
        <v>9.0999999999999908</v>
      </c>
      <c r="C44" s="222">
        <f t="shared" si="0"/>
        <v>5.5819199999999984</v>
      </c>
      <c r="D44" s="222">
        <f t="shared" si="1"/>
        <v>6.2829599999999974</v>
      </c>
      <c r="F44" s="222">
        <f t="shared" si="2"/>
        <v>4.82904</v>
      </c>
    </row>
    <row r="45" spans="2:6">
      <c r="B45" s="222">
        <v>9.1999999999999904</v>
      </c>
      <c r="C45" s="222">
        <f t="shared" si="0"/>
        <v>5.5550399999999991</v>
      </c>
      <c r="D45" s="222">
        <f t="shared" si="1"/>
        <v>6.2515199999999975</v>
      </c>
      <c r="F45" s="222">
        <f t="shared" si="2"/>
        <v>4.8244800000000003</v>
      </c>
    </row>
    <row r="46" spans="2:6">
      <c r="B46" s="222">
        <v>9.2999999999999794</v>
      </c>
      <c r="C46" s="222">
        <f t="shared" si="0"/>
        <v>5.5281600000000015</v>
      </c>
      <c r="D46" s="222">
        <f t="shared" si="1"/>
        <v>6.2200800000000012</v>
      </c>
      <c r="F46" s="222">
        <f t="shared" si="2"/>
        <v>4.8199200000000006</v>
      </c>
    </row>
    <row r="47" spans="2:6">
      <c r="B47" s="222">
        <v>9.3999999999999808</v>
      </c>
      <c r="C47" s="222">
        <f t="shared" si="0"/>
        <v>5.5012800000000013</v>
      </c>
      <c r="D47" s="222">
        <f t="shared" si="1"/>
        <v>6.1886400000000013</v>
      </c>
      <c r="F47" s="222">
        <f t="shared" si="2"/>
        <v>4.8153600000000001</v>
      </c>
    </row>
    <row r="48" spans="2:6">
      <c r="B48" s="222">
        <v>9.4999999999999805</v>
      </c>
      <c r="C48" s="222">
        <f t="shared" si="0"/>
        <v>5.474400000000001</v>
      </c>
      <c r="D48" s="222">
        <f t="shared" si="1"/>
        <v>6.1572000000000005</v>
      </c>
      <c r="F48" s="222">
        <f t="shared" si="2"/>
        <v>4.8108000000000004</v>
      </c>
    </row>
    <row r="49" spans="2:6">
      <c r="B49" s="222">
        <v>9.5999999999999801</v>
      </c>
      <c r="C49" s="222">
        <f t="shared" si="0"/>
        <v>5.4475200000000008</v>
      </c>
      <c r="D49" s="222">
        <f t="shared" si="1"/>
        <v>6.1257600000000005</v>
      </c>
      <c r="F49" s="222">
        <f t="shared" si="2"/>
        <v>4.8062400000000007</v>
      </c>
    </row>
    <row r="50" spans="2:6">
      <c r="B50" s="222">
        <v>9.6999999999999797</v>
      </c>
      <c r="C50" s="222">
        <f t="shared" si="0"/>
        <v>5.4206400000000015</v>
      </c>
      <c r="D50" s="222">
        <f t="shared" si="1"/>
        <v>6.0943200000000006</v>
      </c>
      <c r="F50" s="222">
        <f t="shared" si="2"/>
        <v>4.8016800000000002</v>
      </c>
    </row>
    <row r="51" spans="2:6">
      <c r="B51" s="222">
        <v>9.7999999999999794</v>
      </c>
      <c r="C51" s="222">
        <f t="shared" si="0"/>
        <v>5.3937600000000012</v>
      </c>
      <c r="D51" s="222">
        <f t="shared" si="1"/>
        <v>6.0628800000000007</v>
      </c>
      <c r="F51" s="222">
        <f t="shared" si="2"/>
        <v>4.7971200000000005</v>
      </c>
    </row>
    <row r="52" spans="2:6">
      <c r="B52" s="222">
        <v>9.8999999999999808</v>
      </c>
      <c r="C52" s="222">
        <f t="shared" si="0"/>
        <v>5.366880000000001</v>
      </c>
      <c r="D52" s="222">
        <f t="shared" si="1"/>
        <v>6.0314399999999999</v>
      </c>
      <c r="F52" s="222">
        <f t="shared" si="2"/>
        <v>4.7925599999999999</v>
      </c>
    </row>
    <row r="53" spans="2:6" ht="13.15">
      <c r="B53" s="379">
        <v>9.9999999999999805</v>
      </c>
      <c r="C53" s="379">
        <f>0.89/(10/60)</f>
        <v>5.3400000000000007</v>
      </c>
      <c r="D53" s="380">
        <f>1/(10/60)</f>
        <v>6</v>
      </c>
      <c r="F53" s="380">
        <f>0.798/(10/60)</f>
        <v>4.7880000000000003</v>
      </c>
    </row>
    <row r="54" spans="2:6">
      <c r="B54" s="222">
        <v>10.1</v>
      </c>
      <c r="C54" s="222">
        <f>(($C$53-$C$103)*((B54-$B$53)/($B$103-$B$53))-$C$53)/-1</f>
        <v>5.3235999999999972</v>
      </c>
      <c r="D54" s="222">
        <f>(($D$53-$D$103)*((B54-$B$53)/($B$103-$B$53))-$D$53)/-1</f>
        <v>5.9815999999999967</v>
      </c>
      <c r="E54" s="222"/>
      <c r="F54" s="222">
        <f>(($F$53-$F$103)*((B54-$B$53)/($B$103-$B$53))-$F$53)/-1</f>
        <v>4.7595199999999949</v>
      </c>
    </row>
    <row r="55" spans="2:6">
      <c r="B55" s="222">
        <v>10.199999999999999</v>
      </c>
      <c r="C55" s="222">
        <f t="shared" ref="C55:C102" si="3">(($C$53-$C$103)*((B55-$B$53)/($B$103-$B$53))-$C$53)/-1</f>
        <v>5.3071999999999981</v>
      </c>
      <c r="D55" s="222">
        <f>(($D$53-$D$103)*((B55-$B$53)/($B$103-$B$53))-$D$53)/-1</f>
        <v>5.9631999999999969</v>
      </c>
      <c r="E55" s="222"/>
      <c r="F55" s="222">
        <f t="shared" ref="F55:F102" si="4">(($F$53-$F$103)*((B55-$B$53)/($B$103-$B$53))-$F$53)/-1</f>
        <v>4.7310399999999948</v>
      </c>
    </row>
    <row r="56" spans="2:6">
      <c r="B56" s="222">
        <v>10.3</v>
      </c>
      <c r="C56" s="222">
        <f t="shared" si="3"/>
        <v>5.2907999999999973</v>
      </c>
      <c r="D56" s="222">
        <f t="shared" ref="D56:D102" si="5">(($D$53-$D$103)*((B56-$B$53)/($B$103-$B$53))-$D$53)/-1</f>
        <v>5.9447999999999963</v>
      </c>
      <c r="E56" s="222"/>
      <c r="F56" s="222">
        <f t="shared" si="4"/>
        <v>4.7025599999999947</v>
      </c>
    </row>
    <row r="57" spans="2:6">
      <c r="B57" s="222">
        <v>10.4</v>
      </c>
      <c r="C57" s="222">
        <f t="shared" si="3"/>
        <v>5.2743999999999973</v>
      </c>
      <c r="D57" s="222">
        <f t="shared" si="5"/>
        <v>5.9263999999999966</v>
      </c>
      <c r="E57" s="222"/>
      <c r="F57" s="222">
        <f t="shared" si="4"/>
        <v>4.6740799999999947</v>
      </c>
    </row>
    <row r="58" spans="2:6">
      <c r="B58" s="222">
        <v>10.5</v>
      </c>
      <c r="C58" s="222">
        <f t="shared" si="3"/>
        <v>5.2579999999999973</v>
      </c>
      <c r="D58" s="222">
        <f t="shared" si="5"/>
        <v>5.9079999999999968</v>
      </c>
      <c r="E58" s="222"/>
      <c r="F58" s="222">
        <f t="shared" si="4"/>
        <v>4.6455999999999955</v>
      </c>
    </row>
    <row r="59" spans="2:6">
      <c r="B59" s="222">
        <v>10.6</v>
      </c>
      <c r="C59" s="222">
        <f t="shared" si="3"/>
        <v>5.2415999999999983</v>
      </c>
      <c r="D59" s="222">
        <f t="shared" si="5"/>
        <v>5.8895999999999971</v>
      </c>
      <c r="E59" s="222"/>
      <c r="F59" s="222">
        <f t="shared" si="4"/>
        <v>4.6171199999999954</v>
      </c>
    </row>
    <row r="60" spans="2:6">
      <c r="B60" s="222">
        <v>10.7</v>
      </c>
      <c r="C60" s="222">
        <f t="shared" si="3"/>
        <v>5.2251999999999983</v>
      </c>
      <c r="D60" s="222">
        <f t="shared" si="5"/>
        <v>5.8711999999999973</v>
      </c>
      <c r="E60" s="222"/>
      <c r="F60" s="222">
        <f t="shared" si="4"/>
        <v>4.5886399999999954</v>
      </c>
    </row>
    <row r="61" spans="2:6">
      <c r="B61" s="222">
        <v>10.8</v>
      </c>
      <c r="C61" s="222">
        <f t="shared" si="3"/>
        <v>5.2087999999999974</v>
      </c>
      <c r="D61" s="222">
        <f t="shared" si="5"/>
        <v>5.8527999999999967</v>
      </c>
      <c r="E61" s="222"/>
      <c r="F61" s="222">
        <f t="shared" si="4"/>
        <v>4.5601599999999953</v>
      </c>
    </row>
    <row r="62" spans="2:6">
      <c r="B62" s="222">
        <v>10.9</v>
      </c>
      <c r="C62" s="222">
        <f t="shared" si="3"/>
        <v>5.1923999999999975</v>
      </c>
      <c r="D62" s="222">
        <f t="shared" si="5"/>
        <v>5.8343999999999969</v>
      </c>
      <c r="E62" s="222"/>
      <c r="F62" s="222">
        <f t="shared" si="4"/>
        <v>4.5316799999999953</v>
      </c>
    </row>
    <row r="63" spans="2:6">
      <c r="B63" s="125">
        <v>11</v>
      </c>
      <c r="C63" s="222">
        <f t="shared" si="3"/>
        <v>5.1759999999999984</v>
      </c>
      <c r="D63" s="222">
        <f t="shared" si="5"/>
        <v>5.8159999999999972</v>
      </c>
      <c r="E63" s="222"/>
      <c r="F63" s="222">
        <f t="shared" si="4"/>
        <v>4.5031999999999961</v>
      </c>
    </row>
    <row r="64" spans="2:6">
      <c r="B64" s="125">
        <v>11.1</v>
      </c>
      <c r="C64" s="222">
        <f t="shared" si="3"/>
        <v>5.1595999999999984</v>
      </c>
      <c r="D64" s="222">
        <f t="shared" si="5"/>
        <v>5.7975999999999974</v>
      </c>
      <c r="E64" s="222"/>
      <c r="F64" s="222">
        <f t="shared" si="4"/>
        <v>4.474719999999996</v>
      </c>
    </row>
    <row r="65" spans="2:6">
      <c r="B65" s="125">
        <v>11.2</v>
      </c>
      <c r="C65" s="222">
        <f t="shared" si="3"/>
        <v>5.1431999999999984</v>
      </c>
      <c r="D65" s="222">
        <f t="shared" si="5"/>
        <v>5.7791999999999977</v>
      </c>
      <c r="E65" s="222"/>
      <c r="F65" s="222">
        <f t="shared" si="4"/>
        <v>4.446239999999996</v>
      </c>
    </row>
    <row r="66" spans="2:6">
      <c r="B66" s="125">
        <v>11.3</v>
      </c>
      <c r="C66" s="222">
        <f t="shared" si="3"/>
        <v>5.1267999999999976</v>
      </c>
      <c r="D66" s="222">
        <f t="shared" si="5"/>
        <v>5.760799999999997</v>
      </c>
      <c r="E66" s="222"/>
      <c r="F66" s="222">
        <f t="shared" si="4"/>
        <v>4.4177599999999959</v>
      </c>
    </row>
    <row r="67" spans="2:6">
      <c r="B67" s="125">
        <v>11.4</v>
      </c>
      <c r="C67" s="222">
        <f t="shared" si="3"/>
        <v>5.1103999999999985</v>
      </c>
      <c r="D67" s="222">
        <f t="shared" si="5"/>
        <v>5.7423999999999973</v>
      </c>
      <c r="E67" s="222"/>
      <c r="F67" s="222">
        <f t="shared" si="4"/>
        <v>4.3892799999999959</v>
      </c>
    </row>
    <row r="68" spans="2:6">
      <c r="B68" s="125">
        <v>11.5</v>
      </c>
      <c r="C68" s="222">
        <f t="shared" si="3"/>
        <v>5.0939999999999985</v>
      </c>
      <c r="D68" s="222">
        <f t="shared" si="5"/>
        <v>5.7239999999999975</v>
      </c>
      <c r="E68" s="222"/>
      <c r="F68" s="222">
        <f t="shared" si="4"/>
        <v>4.3607999999999967</v>
      </c>
    </row>
    <row r="69" spans="2:6">
      <c r="B69" s="125">
        <v>11.6</v>
      </c>
      <c r="C69" s="222">
        <f t="shared" si="3"/>
        <v>5.0775999999999986</v>
      </c>
      <c r="D69" s="222">
        <f t="shared" si="5"/>
        <v>5.7055999999999978</v>
      </c>
      <c r="E69" s="222"/>
      <c r="F69" s="222">
        <f t="shared" si="4"/>
        <v>4.3323199999999966</v>
      </c>
    </row>
    <row r="70" spans="2:6">
      <c r="B70" s="125">
        <v>11.7</v>
      </c>
      <c r="C70" s="222">
        <f t="shared" si="3"/>
        <v>5.0611999999999986</v>
      </c>
      <c r="D70" s="222">
        <f t="shared" si="5"/>
        <v>5.687199999999998</v>
      </c>
      <c r="E70" s="222"/>
      <c r="F70" s="222">
        <f t="shared" si="4"/>
        <v>4.3038399999999966</v>
      </c>
    </row>
    <row r="71" spans="2:6">
      <c r="B71" s="125">
        <v>11.8</v>
      </c>
      <c r="C71" s="222">
        <f t="shared" si="3"/>
        <v>5.0447999999999986</v>
      </c>
      <c r="D71" s="222">
        <f t="shared" si="5"/>
        <v>5.6687999999999974</v>
      </c>
      <c r="E71" s="222"/>
      <c r="F71" s="222">
        <f t="shared" si="4"/>
        <v>4.2753599999999965</v>
      </c>
    </row>
    <row r="72" spans="2:6">
      <c r="B72" s="125">
        <v>11.9</v>
      </c>
      <c r="C72" s="222">
        <f t="shared" si="3"/>
        <v>5.0283999999999986</v>
      </c>
      <c r="D72" s="222">
        <f t="shared" si="5"/>
        <v>5.6503999999999976</v>
      </c>
      <c r="E72" s="222"/>
      <c r="F72" s="222">
        <f t="shared" si="4"/>
        <v>4.2468799999999964</v>
      </c>
    </row>
    <row r="73" spans="2:6">
      <c r="B73" s="125">
        <v>12</v>
      </c>
      <c r="C73" s="222">
        <f t="shared" si="3"/>
        <v>5.0119999999999987</v>
      </c>
      <c r="D73" s="222">
        <f t="shared" si="5"/>
        <v>5.6319999999999979</v>
      </c>
      <c r="E73" s="222"/>
      <c r="F73" s="222">
        <f t="shared" si="4"/>
        <v>4.2183999999999964</v>
      </c>
    </row>
    <row r="74" spans="2:6">
      <c r="B74" s="125">
        <v>12.1</v>
      </c>
      <c r="C74" s="222">
        <f t="shared" si="3"/>
        <v>4.9955999999999987</v>
      </c>
      <c r="D74" s="222">
        <f t="shared" si="5"/>
        <v>5.6135999999999981</v>
      </c>
      <c r="E74" s="222"/>
      <c r="F74" s="222">
        <f t="shared" si="4"/>
        <v>4.1899199999999972</v>
      </c>
    </row>
    <row r="75" spans="2:6">
      <c r="B75" s="125">
        <v>12.2</v>
      </c>
      <c r="C75" s="222">
        <f t="shared" si="3"/>
        <v>4.9791999999999987</v>
      </c>
      <c r="D75" s="222">
        <f t="shared" si="5"/>
        <v>5.5951999999999984</v>
      </c>
      <c r="E75" s="222"/>
      <c r="F75" s="222">
        <f t="shared" si="4"/>
        <v>4.1614399999999971</v>
      </c>
    </row>
    <row r="76" spans="2:6">
      <c r="B76" s="125">
        <v>12.3</v>
      </c>
      <c r="C76" s="222">
        <f t="shared" si="3"/>
        <v>4.9627999999999988</v>
      </c>
      <c r="D76" s="222">
        <f t="shared" si="5"/>
        <v>5.5767999999999978</v>
      </c>
      <c r="E76" s="222"/>
      <c r="F76" s="222">
        <f t="shared" si="4"/>
        <v>4.1329599999999971</v>
      </c>
    </row>
    <row r="77" spans="2:6">
      <c r="B77" s="125">
        <v>12.4</v>
      </c>
      <c r="C77" s="222">
        <f t="shared" si="3"/>
        <v>4.9463999999999988</v>
      </c>
      <c r="D77" s="222">
        <f t="shared" si="5"/>
        <v>5.558399999999998</v>
      </c>
      <c r="E77" s="222"/>
      <c r="F77" s="222">
        <f t="shared" si="4"/>
        <v>4.104479999999997</v>
      </c>
    </row>
    <row r="78" spans="2:6">
      <c r="B78" s="125">
        <v>12.5</v>
      </c>
      <c r="C78" s="222">
        <f t="shared" si="3"/>
        <v>4.9299999999999988</v>
      </c>
      <c r="D78" s="222">
        <f t="shared" si="5"/>
        <v>5.5399999999999983</v>
      </c>
      <c r="E78" s="222"/>
      <c r="F78" s="222">
        <f t="shared" si="4"/>
        <v>4.075999999999997</v>
      </c>
    </row>
    <row r="79" spans="2:6">
      <c r="B79" s="125">
        <v>12.6</v>
      </c>
      <c r="C79" s="222">
        <f t="shared" si="3"/>
        <v>4.9135999999999989</v>
      </c>
      <c r="D79" s="222">
        <f t="shared" si="5"/>
        <v>5.5215999999999985</v>
      </c>
      <c r="E79" s="222"/>
      <c r="F79" s="222">
        <f t="shared" si="4"/>
        <v>4.0475199999999978</v>
      </c>
    </row>
    <row r="80" spans="2:6">
      <c r="B80" s="125">
        <v>12.7</v>
      </c>
      <c r="C80" s="222">
        <f t="shared" si="3"/>
        <v>4.8971999999999989</v>
      </c>
      <c r="D80" s="222">
        <f t="shared" si="5"/>
        <v>5.5031999999999988</v>
      </c>
      <c r="E80" s="222"/>
      <c r="F80" s="222">
        <f t="shared" si="4"/>
        <v>4.0190399999999977</v>
      </c>
    </row>
    <row r="81" spans="2:6">
      <c r="B81" s="125">
        <v>12.8</v>
      </c>
      <c r="C81" s="222">
        <f t="shared" si="3"/>
        <v>4.8807999999999989</v>
      </c>
      <c r="D81" s="222">
        <f t="shared" si="5"/>
        <v>5.4847999999999981</v>
      </c>
      <c r="E81" s="222"/>
      <c r="F81" s="222">
        <f t="shared" si="4"/>
        <v>3.9905599999999977</v>
      </c>
    </row>
    <row r="82" spans="2:6">
      <c r="B82" s="125">
        <v>12.9</v>
      </c>
      <c r="C82" s="222">
        <f t="shared" si="3"/>
        <v>4.8643999999999989</v>
      </c>
      <c r="D82" s="222">
        <f t="shared" si="5"/>
        <v>5.4663999999999984</v>
      </c>
      <c r="E82" s="222"/>
      <c r="F82" s="222">
        <f t="shared" si="4"/>
        <v>3.9620799999999976</v>
      </c>
    </row>
    <row r="83" spans="2:6">
      <c r="B83" s="125">
        <v>13</v>
      </c>
      <c r="C83" s="222">
        <f t="shared" si="3"/>
        <v>4.847999999999999</v>
      </c>
      <c r="D83" s="222">
        <f t="shared" si="5"/>
        <v>5.4479999999999986</v>
      </c>
      <c r="E83" s="222"/>
      <c r="F83" s="222">
        <f t="shared" si="4"/>
        <v>3.933599999999998</v>
      </c>
    </row>
    <row r="84" spans="2:6">
      <c r="B84" s="125">
        <v>13.1</v>
      </c>
      <c r="C84" s="222">
        <f t="shared" si="3"/>
        <v>4.831599999999999</v>
      </c>
      <c r="D84" s="222">
        <f t="shared" si="5"/>
        <v>5.4295999999999989</v>
      </c>
      <c r="E84" s="222"/>
      <c r="F84" s="222">
        <f t="shared" si="4"/>
        <v>3.9051199999999979</v>
      </c>
    </row>
    <row r="85" spans="2:6">
      <c r="B85" s="125">
        <v>13.2</v>
      </c>
      <c r="C85" s="222">
        <f t="shared" si="3"/>
        <v>4.815199999999999</v>
      </c>
      <c r="D85" s="222">
        <f t="shared" si="5"/>
        <v>5.4111999999999991</v>
      </c>
      <c r="E85" s="222"/>
      <c r="F85" s="222">
        <f t="shared" si="4"/>
        <v>3.8766399999999983</v>
      </c>
    </row>
    <row r="86" spans="2:6">
      <c r="B86" s="125">
        <v>13.3</v>
      </c>
      <c r="C86" s="222">
        <f t="shared" si="3"/>
        <v>4.7987999999999991</v>
      </c>
      <c r="D86" s="222">
        <f t="shared" si="5"/>
        <v>5.3927999999999985</v>
      </c>
      <c r="E86" s="222"/>
      <c r="F86" s="222">
        <f t="shared" si="4"/>
        <v>3.8481599999999978</v>
      </c>
    </row>
    <row r="87" spans="2:6">
      <c r="B87" s="125">
        <v>13.4</v>
      </c>
      <c r="C87" s="222">
        <f t="shared" si="3"/>
        <v>4.7823999999999991</v>
      </c>
      <c r="D87" s="222">
        <f t="shared" si="5"/>
        <v>5.3743999999999987</v>
      </c>
      <c r="E87" s="222"/>
      <c r="F87" s="222">
        <f t="shared" si="4"/>
        <v>3.8196799999999982</v>
      </c>
    </row>
    <row r="88" spans="2:6">
      <c r="B88" s="125">
        <v>13.5</v>
      </c>
      <c r="C88" s="222">
        <f t="shared" si="3"/>
        <v>4.7659999999999991</v>
      </c>
      <c r="D88" s="222">
        <f t="shared" si="5"/>
        <v>5.355999999999999</v>
      </c>
      <c r="E88" s="222"/>
      <c r="F88" s="222">
        <f t="shared" si="4"/>
        <v>3.7911999999999981</v>
      </c>
    </row>
    <row r="89" spans="2:6">
      <c r="B89" s="125">
        <v>13.6</v>
      </c>
      <c r="C89" s="222">
        <f t="shared" si="3"/>
        <v>4.7495999999999992</v>
      </c>
      <c r="D89" s="222">
        <f t="shared" si="5"/>
        <v>5.3375999999999992</v>
      </c>
      <c r="E89" s="222"/>
      <c r="F89" s="222">
        <f t="shared" si="4"/>
        <v>3.7627199999999985</v>
      </c>
    </row>
    <row r="90" spans="2:6">
      <c r="B90" s="125">
        <v>13.7</v>
      </c>
      <c r="C90" s="222">
        <f t="shared" si="3"/>
        <v>4.7331999999999992</v>
      </c>
      <c r="D90" s="222">
        <f t="shared" si="5"/>
        <v>5.3191999999999995</v>
      </c>
      <c r="E90" s="222"/>
      <c r="F90" s="222">
        <f t="shared" si="4"/>
        <v>3.7342399999999989</v>
      </c>
    </row>
    <row r="91" spans="2:6">
      <c r="B91" s="125">
        <v>13.8</v>
      </c>
      <c r="C91" s="222">
        <f t="shared" si="3"/>
        <v>4.7167999999999992</v>
      </c>
      <c r="D91" s="222">
        <f t="shared" si="5"/>
        <v>5.3007999999999988</v>
      </c>
      <c r="E91" s="222"/>
      <c r="F91" s="222">
        <f t="shared" si="4"/>
        <v>3.7057599999999984</v>
      </c>
    </row>
    <row r="92" spans="2:6">
      <c r="B92" s="125">
        <v>13.9</v>
      </c>
      <c r="C92" s="222">
        <f t="shared" si="3"/>
        <v>4.7003999999999992</v>
      </c>
      <c r="D92" s="222">
        <f t="shared" si="5"/>
        <v>5.2823999999999991</v>
      </c>
      <c r="E92" s="222"/>
      <c r="F92" s="222">
        <f t="shared" si="4"/>
        <v>3.6772799999999988</v>
      </c>
    </row>
    <row r="93" spans="2:6">
      <c r="B93" s="125">
        <v>14</v>
      </c>
      <c r="C93" s="222">
        <f t="shared" si="3"/>
        <v>4.6839999999999993</v>
      </c>
      <c r="D93" s="222">
        <f t="shared" si="5"/>
        <v>5.2639999999999993</v>
      </c>
      <c r="E93" s="222"/>
      <c r="F93" s="222">
        <f t="shared" si="4"/>
        <v>3.6487999999999987</v>
      </c>
    </row>
    <row r="94" spans="2:6">
      <c r="B94" s="125">
        <v>14.1</v>
      </c>
      <c r="C94" s="222">
        <f t="shared" si="3"/>
        <v>4.6675999999999993</v>
      </c>
      <c r="D94" s="222">
        <f t="shared" si="5"/>
        <v>5.2455999999999996</v>
      </c>
      <c r="E94" s="222"/>
      <c r="F94" s="222">
        <f t="shared" si="4"/>
        <v>3.6203199999999991</v>
      </c>
    </row>
    <row r="95" spans="2:6">
      <c r="B95" s="222">
        <v>14.2</v>
      </c>
      <c r="C95" s="222">
        <f t="shared" si="3"/>
        <v>4.6511999999999993</v>
      </c>
      <c r="D95" s="222">
        <f t="shared" si="5"/>
        <v>5.2271999999999998</v>
      </c>
      <c r="E95" s="222"/>
      <c r="F95" s="222">
        <f t="shared" si="4"/>
        <v>3.5918399999999995</v>
      </c>
    </row>
    <row r="96" spans="2:6">
      <c r="B96" s="222">
        <v>14.3</v>
      </c>
      <c r="C96" s="222">
        <f t="shared" si="3"/>
        <v>4.6347999999999994</v>
      </c>
      <c r="D96" s="222">
        <f t="shared" si="5"/>
        <v>5.2087999999999992</v>
      </c>
      <c r="E96" s="222"/>
      <c r="F96" s="222">
        <f t="shared" si="4"/>
        <v>3.563359999999999</v>
      </c>
    </row>
    <row r="97" spans="2:6">
      <c r="B97" s="222">
        <v>14.4</v>
      </c>
      <c r="C97" s="222">
        <f t="shared" si="3"/>
        <v>4.6183999999999994</v>
      </c>
      <c r="D97" s="222">
        <f t="shared" si="5"/>
        <v>5.1903999999999995</v>
      </c>
      <c r="E97" s="222"/>
      <c r="F97" s="222">
        <f t="shared" si="4"/>
        <v>3.5348799999999994</v>
      </c>
    </row>
    <row r="98" spans="2:6">
      <c r="B98" s="222">
        <v>14.5</v>
      </c>
      <c r="C98" s="222">
        <f t="shared" si="3"/>
        <v>4.6019999999999994</v>
      </c>
      <c r="D98" s="222">
        <f t="shared" si="5"/>
        <v>5.1719999999999997</v>
      </c>
      <c r="E98" s="222"/>
      <c r="F98" s="222">
        <f t="shared" si="4"/>
        <v>3.5063999999999993</v>
      </c>
    </row>
    <row r="99" spans="2:6">
      <c r="B99" s="222">
        <v>14.6</v>
      </c>
      <c r="C99" s="222">
        <f t="shared" si="3"/>
        <v>4.5855999999999995</v>
      </c>
      <c r="D99" s="222">
        <f t="shared" si="5"/>
        <v>5.1536</v>
      </c>
      <c r="E99" s="222"/>
      <c r="F99" s="222">
        <f t="shared" si="4"/>
        <v>3.4779199999999992</v>
      </c>
    </row>
    <row r="100" spans="2:6">
      <c r="B100" s="222">
        <v>14.7</v>
      </c>
      <c r="C100" s="222">
        <f t="shared" si="3"/>
        <v>4.5691999999999995</v>
      </c>
      <c r="D100" s="222">
        <f t="shared" si="5"/>
        <v>5.1352000000000002</v>
      </c>
      <c r="E100" s="222"/>
      <c r="F100" s="222">
        <f t="shared" si="4"/>
        <v>3.4494400000000001</v>
      </c>
    </row>
    <row r="101" spans="2:6">
      <c r="B101" s="222">
        <v>14.8</v>
      </c>
      <c r="C101" s="222">
        <f t="shared" si="3"/>
        <v>4.5527999999999995</v>
      </c>
      <c r="D101" s="222">
        <f t="shared" si="5"/>
        <v>5.1167999999999996</v>
      </c>
      <c r="E101" s="222"/>
      <c r="F101" s="222">
        <f t="shared" si="4"/>
        <v>3.4209599999999996</v>
      </c>
    </row>
    <row r="102" spans="2:6">
      <c r="B102" s="222">
        <v>14.9</v>
      </c>
      <c r="C102" s="222">
        <f t="shared" si="3"/>
        <v>4.5363999999999995</v>
      </c>
      <c r="D102" s="222">
        <f t="shared" si="5"/>
        <v>5.0983999999999998</v>
      </c>
      <c r="E102" s="222"/>
      <c r="F102" s="222">
        <f t="shared" si="4"/>
        <v>3.3924799999999995</v>
      </c>
    </row>
    <row r="103" spans="2:6" ht="13.15">
      <c r="B103" s="379">
        <v>15</v>
      </c>
      <c r="C103" s="379">
        <f>1.13/(15/60)</f>
        <v>4.5199999999999996</v>
      </c>
      <c r="D103" s="380">
        <f>1.27/(15/60)</f>
        <v>5.08</v>
      </c>
      <c r="E103" s="380"/>
      <c r="F103" s="380">
        <f>0.841/(15/60)</f>
        <v>3.3639999999999999</v>
      </c>
    </row>
    <row r="104" spans="2:6">
      <c r="B104" s="222">
        <v>15.1</v>
      </c>
      <c r="C104" s="222">
        <f>(($C$103-$C$163)*((B104-$B$103)/($B$163-$B$103))-$C$103)/-1</f>
        <v>4.5115999999999996</v>
      </c>
      <c r="D104" s="222">
        <f>(($D$103-$D$163)*((B104-$B$103)/($B$163-$B$103))-$D$103)/-1</f>
        <v>5.0713333333333335</v>
      </c>
    </row>
    <row r="105" spans="2:6">
      <c r="B105" s="222">
        <v>15.2</v>
      </c>
      <c r="C105" s="222">
        <f t="shared" ref="C105:C162" si="6">(($C$103-$C$163)*((B105-$B$103)/($B$163-$B$103))-$C$103)/-1</f>
        <v>4.5031999999999996</v>
      </c>
      <c r="D105" s="222">
        <f t="shared" ref="D105:D162" si="7">(($D$103-$D$163)*((B105-$B$103)/($B$163-$B$103))-$D$103)/-1</f>
        <v>5.0626666666666669</v>
      </c>
    </row>
    <row r="106" spans="2:6">
      <c r="B106" s="222">
        <v>15.3</v>
      </c>
      <c r="C106" s="222">
        <f t="shared" si="6"/>
        <v>4.4947999999999997</v>
      </c>
      <c r="D106" s="222">
        <f t="shared" si="7"/>
        <v>5.0540000000000003</v>
      </c>
    </row>
    <row r="107" spans="2:6">
      <c r="B107" s="125">
        <v>15.4</v>
      </c>
      <c r="C107" s="222">
        <f t="shared" si="6"/>
        <v>4.4863999999999997</v>
      </c>
      <c r="D107" s="222">
        <f t="shared" si="7"/>
        <v>5.0453333333333337</v>
      </c>
    </row>
    <row r="108" spans="2:6">
      <c r="B108" s="125">
        <v>15.5</v>
      </c>
      <c r="C108" s="222">
        <f t="shared" si="6"/>
        <v>4.4779999999999998</v>
      </c>
      <c r="D108" s="222">
        <f t="shared" si="7"/>
        <v>5.0366666666666671</v>
      </c>
    </row>
    <row r="109" spans="2:6">
      <c r="B109" s="125">
        <v>15.6</v>
      </c>
      <c r="C109" s="222">
        <f t="shared" si="6"/>
        <v>4.4695999999999998</v>
      </c>
      <c r="D109" s="222">
        <f t="shared" si="7"/>
        <v>5.0280000000000005</v>
      </c>
    </row>
    <row r="110" spans="2:6">
      <c r="B110" s="125">
        <v>15.7</v>
      </c>
      <c r="C110" s="222">
        <f t="shared" si="6"/>
        <v>4.4611999999999998</v>
      </c>
      <c r="D110" s="222">
        <f t="shared" si="7"/>
        <v>5.0193333333333339</v>
      </c>
    </row>
    <row r="111" spans="2:6">
      <c r="B111" s="125">
        <v>15.8</v>
      </c>
      <c r="C111" s="222">
        <f t="shared" si="6"/>
        <v>4.4527999999999999</v>
      </c>
      <c r="D111" s="222">
        <f t="shared" si="7"/>
        <v>5.0106666666666664</v>
      </c>
    </row>
    <row r="112" spans="2:6">
      <c r="B112" s="125">
        <v>15.9</v>
      </c>
      <c r="C112" s="222">
        <f t="shared" si="6"/>
        <v>4.4443999999999999</v>
      </c>
      <c r="D112" s="222">
        <f t="shared" si="7"/>
        <v>5.0019999999999998</v>
      </c>
    </row>
    <row r="113" spans="2:4">
      <c r="B113" s="125">
        <v>16</v>
      </c>
      <c r="C113" s="222">
        <f t="shared" si="6"/>
        <v>4.4359999999999999</v>
      </c>
      <c r="D113" s="222">
        <f t="shared" si="7"/>
        <v>4.9933333333333332</v>
      </c>
    </row>
    <row r="114" spans="2:4">
      <c r="B114" s="125">
        <v>16.100000000000001</v>
      </c>
      <c r="C114" s="222">
        <f t="shared" si="6"/>
        <v>4.4275999999999991</v>
      </c>
      <c r="D114" s="222">
        <f t="shared" si="7"/>
        <v>4.9846666666666666</v>
      </c>
    </row>
    <row r="115" spans="2:4">
      <c r="B115" s="125">
        <v>16.2</v>
      </c>
      <c r="C115" s="222">
        <f t="shared" si="6"/>
        <v>4.4192</v>
      </c>
      <c r="D115" s="222">
        <f t="shared" si="7"/>
        <v>4.976</v>
      </c>
    </row>
    <row r="116" spans="2:4">
      <c r="B116" s="125">
        <v>16.3</v>
      </c>
      <c r="C116" s="222">
        <f t="shared" si="6"/>
        <v>4.4107999999999992</v>
      </c>
      <c r="D116" s="222">
        <f t="shared" si="7"/>
        <v>4.9673333333333334</v>
      </c>
    </row>
    <row r="117" spans="2:4">
      <c r="B117" s="125">
        <v>16.399999999999999</v>
      </c>
      <c r="C117" s="222">
        <f t="shared" si="6"/>
        <v>4.4024000000000001</v>
      </c>
      <c r="D117" s="222">
        <f t="shared" si="7"/>
        <v>4.9586666666666668</v>
      </c>
    </row>
    <row r="118" spans="2:4">
      <c r="B118" s="125">
        <v>16.5</v>
      </c>
      <c r="C118" s="222">
        <f t="shared" si="6"/>
        <v>4.3939999999999992</v>
      </c>
      <c r="D118" s="222">
        <f t="shared" si="7"/>
        <v>4.95</v>
      </c>
    </row>
    <row r="119" spans="2:4">
      <c r="B119" s="125">
        <v>16.600000000000001</v>
      </c>
      <c r="C119" s="222">
        <f t="shared" si="6"/>
        <v>4.3855999999999993</v>
      </c>
      <c r="D119" s="222">
        <f t="shared" si="7"/>
        <v>4.9413333333333336</v>
      </c>
    </row>
    <row r="120" spans="2:4">
      <c r="B120" s="125">
        <v>16.7</v>
      </c>
      <c r="C120" s="222">
        <f t="shared" si="6"/>
        <v>4.3771999999999993</v>
      </c>
      <c r="D120" s="222">
        <f t="shared" si="7"/>
        <v>4.932666666666667</v>
      </c>
    </row>
    <row r="121" spans="2:4">
      <c r="B121" s="125">
        <v>16.8</v>
      </c>
      <c r="C121" s="222">
        <f t="shared" si="6"/>
        <v>4.3687999999999994</v>
      </c>
      <c r="D121" s="222">
        <f t="shared" si="7"/>
        <v>4.9240000000000004</v>
      </c>
    </row>
    <row r="122" spans="2:4">
      <c r="B122" s="125">
        <v>16.899999999999999</v>
      </c>
      <c r="C122" s="222">
        <f t="shared" si="6"/>
        <v>4.3603999999999994</v>
      </c>
      <c r="D122" s="222">
        <f t="shared" si="7"/>
        <v>4.9153333333333338</v>
      </c>
    </row>
    <row r="123" spans="2:4">
      <c r="B123" s="125">
        <v>17</v>
      </c>
      <c r="C123" s="222">
        <f t="shared" si="6"/>
        <v>4.3519999999999994</v>
      </c>
      <c r="D123" s="222">
        <f t="shared" si="7"/>
        <v>4.9066666666666663</v>
      </c>
    </row>
    <row r="124" spans="2:4">
      <c r="B124" s="125">
        <v>17.100000000000001</v>
      </c>
      <c r="C124" s="222">
        <f t="shared" si="6"/>
        <v>4.3435999999999995</v>
      </c>
      <c r="D124" s="222">
        <f t="shared" si="7"/>
        <v>4.8979999999999997</v>
      </c>
    </row>
    <row r="125" spans="2:4">
      <c r="B125" s="125">
        <v>17.2</v>
      </c>
      <c r="C125" s="222">
        <f t="shared" si="6"/>
        <v>4.3351999999999995</v>
      </c>
      <c r="D125" s="222">
        <f t="shared" si="7"/>
        <v>4.8893333333333331</v>
      </c>
    </row>
    <row r="126" spans="2:4">
      <c r="B126" s="125">
        <v>17.3</v>
      </c>
      <c r="C126" s="222">
        <f t="shared" si="6"/>
        <v>4.3267999999999995</v>
      </c>
      <c r="D126" s="222">
        <f t="shared" si="7"/>
        <v>4.8806666666666665</v>
      </c>
    </row>
    <row r="127" spans="2:4">
      <c r="B127" s="125">
        <v>17.399999999999999</v>
      </c>
      <c r="C127" s="222">
        <f t="shared" si="6"/>
        <v>4.3183999999999996</v>
      </c>
      <c r="D127" s="222">
        <f t="shared" si="7"/>
        <v>4.8719999999999999</v>
      </c>
    </row>
    <row r="128" spans="2:4">
      <c r="B128" s="125">
        <v>17.5</v>
      </c>
      <c r="C128" s="222">
        <f t="shared" si="6"/>
        <v>4.3099999999999996</v>
      </c>
      <c r="D128" s="222">
        <f t="shared" si="7"/>
        <v>4.8633333333333333</v>
      </c>
    </row>
    <row r="129" spans="2:4">
      <c r="B129" s="125">
        <v>17.600000000000001</v>
      </c>
      <c r="C129" s="222">
        <f t="shared" si="6"/>
        <v>4.3015999999999996</v>
      </c>
      <c r="D129" s="222">
        <f t="shared" si="7"/>
        <v>4.8546666666666667</v>
      </c>
    </row>
    <row r="130" spans="2:4">
      <c r="B130" s="125">
        <v>17.7</v>
      </c>
      <c r="C130" s="222">
        <f t="shared" si="6"/>
        <v>4.2931999999999997</v>
      </c>
      <c r="D130" s="222">
        <f t="shared" si="7"/>
        <v>4.8460000000000001</v>
      </c>
    </row>
    <row r="131" spans="2:4">
      <c r="B131" s="125">
        <v>17.8</v>
      </c>
      <c r="C131" s="222">
        <f t="shared" si="6"/>
        <v>4.2847999999999997</v>
      </c>
      <c r="D131" s="222">
        <f t="shared" si="7"/>
        <v>4.8373333333333335</v>
      </c>
    </row>
    <row r="132" spans="2:4">
      <c r="B132" s="125">
        <v>17.899999999999999</v>
      </c>
      <c r="C132" s="222">
        <f t="shared" si="6"/>
        <v>4.2763999999999998</v>
      </c>
      <c r="D132" s="222">
        <f t="shared" si="7"/>
        <v>4.8286666666666669</v>
      </c>
    </row>
    <row r="133" spans="2:4">
      <c r="B133" s="125">
        <v>18</v>
      </c>
      <c r="C133" s="222">
        <f t="shared" si="6"/>
        <v>4.2679999999999998</v>
      </c>
      <c r="D133" s="222">
        <f t="shared" si="7"/>
        <v>4.82</v>
      </c>
    </row>
    <row r="134" spans="2:4">
      <c r="B134" s="125">
        <v>18.100000000000001</v>
      </c>
      <c r="C134" s="222">
        <f t="shared" si="6"/>
        <v>4.2595999999999998</v>
      </c>
      <c r="D134" s="222">
        <f t="shared" si="7"/>
        <v>4.8113333333333337</v>
      </c>
    </row>
    <row r="135" spans="2:4">
      <c r="B135" s="125">
        <v>18.2</v>
      </c>
      <c r="C135" s="222">
        <f t="shared" si="6"/>
        <v>4.2511999999999999</v>
      </c>
      <c r="D135" s="222">
        <f t="shared" si="7"/>
        <v>4.8026666666666671</v>
      </c>
    </row>
    <row r="136" spans="2:4">
      <c r="B136" s="125">
        <v>18.3</v>
      </c>
      <c r="C136" s="222">
        <f t="shared" si="6"/>
        <v>4.2427999999999999</v>
      </c>
      <c r="D136" s="222">
        <f t="shared" si="7"/>
        <v>4.7939999999999996</v>
      </c>
    </row>
    <row r="137" spans="2:4">
      <c r="B137" s="125">
        <v>18.399999999999999</v>
      </c>
      <c r="C137" s="222">
        <f t="shared" si="6"/>
        <v>4.2343999999999999</v>
      </c>
      <c r="D137" s="222">
        <f t="shared" si="7"/>
        <v>4.7853333333333339</v>
      </c>
    </row>
    <row r="138" spans="2:4">
      <c r="B138" s="125">
        <v>18.5</v>
      </c>
      <c r="C138" s="222">
        <f t="shared" si="6"/>
        <v>4.226</v>
      </c>
      <c r="D138" s="222">
        <f t="shared" si="7"/>
        <v>4.7766666666666664</v>
      </c>
    </row>
    <row r="139" spans="2:4">
      <c r="B139" s="125">
        <v>18.600000000000001</v>
      </c>
      <c r="C139" s="222">
        <f t="shared" si="6"/>
        <v>4.2175999999999991</v>
      </c>
      <c r="D139" s="222">
        <f t="shared" si="7"/>
        <v>4.7679999999999998</v>
      </c>
    </row>
    <row r="140" spans="2:4">
      <c r="B140" s="125">
        <v>18.7</v>
      </c>
      <c r="C140" s="222">
        <f t="shared" si="6"/>
        <v>4.2092000000000001</v>
      </c>
      <c r="D140" s="222">
        <f t="shared" si="7"/>
        <v>4.7593333333333332</v>
      </c>
    </row>
    <row r="141" spans="2:4">
      <c r="B141" s="125">
        <v>18.8</v>
      </c>
      <c r="C141" s="222">
        <f t="shared" si="6"/>
        <v>4.2007999999999992</v>
      </c>
      <c r="D141" s="222">
        <f t="shared" si="7"/>
        <v>4.7506666666666666</v>
      </c>
    </row>
    <row r="142" spans="2:4">
      <c r="B142" s="125">
        <v>18.899999999999999</v>
      </c>
      <c r="C142" s="222">
        <f t="shared" si="6"/>
        <v>4.1924000000000001</v>
      </c>
      <c r="D142" s="222">
        <f t="shared" si="7"/>
        <v>4.742</v>
      </c>
    </row>
    <row r="143" spans="2:4">
      <c r="B143" s="125">
        <v>19</v>
      </c>
      <c r="C143" s="222">
        <f t="shared" si="6"/>
        <v>4.1839999999999993</v>
      </c>
      <c r="D143" s="222">
        <f t="shared" si="7"/>
        <v>4.7333333333333334</v>
      </c>
    </row>
    <row r="144" spans="2:4">
      <c r="B144" s="125">
        <v>19.100000000000001</v>
      </c>
      <c r="C144" s="222">
        <f t="shared" si="6"/>
        <v>4.1755999999999993</v>
      </c>
      <c r="D144" s="222">
        <f t="shared" si="7"/>
        <v>4.7246666666666668</v>
      </c>
    </row>
    <row r="145" spans="2:4">
      <c r="B145" s="125">
        <v>19.2</v>
      </c>
      <c r="C145" s="222">
        <f t="shared" si="6"/>
        <v>4.1671999999999993</v>
      </c>
      <c r="D145" s="222">
        <f t="shared" si="7"/>
        <v>4.7160000000000002</v>
      </c>
    </row>
    <row r="146" spans="2:4">
      <c r="B146" s="125">
        <v>19.3</v>
      </c>
      <c r="C146" s="222">
        <f t="shared" si="6"/>
        <v>4.1587999999999994</v>
      </c>
      <c r="D146" s="222">
        <f t="shared" si="7"/>
        <v>4.7073333333333336</v>
      </c>
    </row>
    <row r="147" spans="2:4">
      <c r="B147" s="125">
        <v>19.399999999999999</v>
      </c>
      <c r="C147" s="222">
        <f t="shared" si="6"/>
        <v>4.1503999999999994</v>
      </c>
      <c r="D147" s="222">
        <f t="shared" si="7"/>
        <v>4.698666666666667</v>
      </c>
    </row>
    <row r="148" spans="2:4">
      <c r="B148" s="125">
        <v>19.5</v>
      </c>
      <c r="C148" s="222">
        <f t="shared" si="6"/>
        <v>4.1419999999999995</v>
      </c>
      <c r="D148" s="222">
        <f t="shared" si="7"/>
        <v>4.6900000000000004</v>
      </c>
    </row>
    <row r="149" spans="2:4">
      <c r="B149" s="125">
        <v>19.600000000000001</v>
      </c>
      <c r="C149" s="222">
        <f t="shared" si="6"/>
        <v>4.1335999999999995</v>
      </c>
      <c r="D149" s="222">
        <f t="shared" si="7"/>
        <v>4.6813333333333329</v>
      </c>
    </row>
    <row r="150" spans="2:4">
      <c r="B150" s="125">
        <v>19.7</v>
      </c>
      <c r="C150" s="222">
        <f t="shared" si="6"/>
        <v>4.1251999999999995</v>
      </c>
      <c r="D150" s="222">
        <f t="shared" si="7"/>
        <v>4.6726666666666663</v>
      </c>
    </row>
    <row r="151" spans="2:4">
      <c r="B151" s="125">
        <v>19.8</v>
      </c>
      <c r="C151" s="222">
        <f t="shared" si="6"/>
        <v>4.1167999999999996</v>
      </c>
      <c r="D151" s="222">
        <f t="shared" si="7"/>
        <v>4.6639999999999997</v>
      </c>
    </row>
    <row r="152" spans="2:4">
      <c r="B152" s="125">
        <v>19.899999999999999</v>
      </c>
      <c r="C152" s="222">
        <f t="shared" si="6"/>
        <v>4.1083999999999996</v>
      </c>
      <c r="D152" s="222">
        <f t="shared" si="7"/>
        <v>4.6553333333333331</v>
      </c>
    </row>
    <row r="153" spans="2:4">
      <c r="B153" s="125">
        <v>20</v>
      </c>
      <c r="C153" s="222">
        <f t="shared" si="6"/>
        <v>4.0999999999999996</v>
      </c>
      <c r="D153" s="222">
        <f t="shared" si="7"/>
        <v>4.6466666666666665</v>
      </c>
    </row>
    <row r="154" spans="2:4">
      <c r="B154" s="125">
        <v>21</v>
      </c>
      <c r="C154" s="222">
        <f t="shared" si="6"/>
        <v>4.016</v>
      </c>
      <c r="D154" s="222">
        <f t="shared" si="7"/>
        <v>4.5599999999999996</v>
      </c>
    </row>
    <row r="155" spans="2:4">
      <c r="B155" s="125">
        <v>22</v>
      </c>
      <c r="C155" s="222">
        <f t="shared" si="6"/>
        <v>3.9319999999999995</v>
      </c>
      <c r="D155" s="222">
        <f t="shared" si="7"/>
        <v>4.4733333333333336</v>
      </c>
    </row>
    <row r="156" spans="2:4">
      <c r="B156" s="125">
        <v>23</v>
      </c>
      <c r="C156" s="222">
        <f t="shared" si="6"/>
        <v>3.8479999999999999</v>
      </c>
      <c r="D156" s="222">
        <f t="shared" si="7"/>
        <v>4.3866666666666667</v>
      </c>
    </row>
    <row r="157" spans="2:4">
      <c r="B157" s="125">
        <v>24</v>
      </c>
      <c r="C157" s="222">
        <f t="shared" si="6"/>
        <v>3.7639999999999998</v>
      </c>
      <c r="D157" s="222">
        <f t="shared" si="7"/>
        <v>4.3</v>
      </c>
    </row>
    <row r="158" spans="2:4">
      <c r="B158" s="222">
        <v>25</v>
      </c>
      <c r="C158" s="222">
        <f t="shared" si="6"/>
        <v>3.6799999999999997</v>
      </c>
      <c r="D158" s="222">
        <f t="shared" si="7"/>
        <v>4.2133333333333329</v>
      </c>
    </row>
    <row r="159" spans="2:4">
      <c r="B159" s="222">
        <v>26</v>
      </c>
      <c r="C159" s="222">
        <f t="shared" si="6"/>
        <v>3.5959999999999996</v>
      </c>
      <c r="D159" s="222">
        <f t="shared" si="7"/>
        <v>4.1266666666666669</v>
      </c>
    </row>
    <row r="160" spans="2:4">
      <c r="B160" s="222">
        <v>27</v>
      </c>
      <c r="C160" s="222">
        <f t="shared" si="6"/>
        <v>3.5119999999999996</v>
      </c>
      <c r="D160" s="222">
        <f t="shared" si="7"/>
        <v>4.04</v>
      </c>
    </row>
    <row r="161" spans="2:4">
      <c r="B161" s="222">
        <v>28</v>
      </c>
      <c r="C161" s="222">
        <f t="shared" si="6"/>
        <v>3.4279999999999999</v>
      </c>
      <c r="D161" s="222">
        <f t="shared" si="7"/>
        <v>3.9533333333333331</v>
      </c>
    </row>
    <row r="162" spans="2:4">
      <c r="B162" s="222">
        <v>29</v>
      </c>
      <c r="C162" s="222">
        <f t="shared" si="6"/>
        <v>3.3439999999999999</v>
      </c>
      <c r="D162" s="222">
        <f t="shared" si="7"/>
        <v>3.8666666666666663</v>
      </c>
    </row>
    <row r="163" spans="2:4" ht="13.15">
      <c r="B163" s="379">
        <v>30</v>
      </c>
      <c r="C163" s="381">
        <f>1.63/(30/60)</f>
        <v>3.26</v>
      </c>
      <c r="D163" s="380">
        <f>1.89/(30/60)</f>
        <v>3.78</v>
      </c>
    </row>
    <row r="164" spans="2:4">
      <c r="B164" s="222"/>
      <c r="C164" s="222"/>
    </row>
    <row r="165" spans="2:4">
      <c r="B165" s="222"/>
      <c r="C165" s="222"/>
    </row>
    <row r="166" spans="2:4">
      <c r="B166" s="222"/>
      <c r="C166" s="222"/>
    </row>
    <row r="167" spans="2:4">
      <c r="B167" s="222"/>
      <c r="C167" s="222"/>
    </row>
    <row r="168" spans="2:4">
      <c r="B168" s="222"/>
      <c r="C168" s="222"/>
    </row>
    <row r="169" spans="2:4">
      <c r="B169" s="222"/>
      <c r="C169" s="222"/>
    </row>
    <row r="170" spans="2:4">
      <c r="B170" s="222"/>
      <c r="C170" s="222"/>
    </row>
    <row r="171" spans="2:4">
      <c r="B171" s="222"/>
      <c r="C171" s="222"/>
    </row>
    <row r="172" spans="2:4">
      <c r="B172" s="222"/>
      <c r="C172" s="222"/>
    </row>
    <row r="173" spans="2:4" ht="13.15">
      <c r="B173" s="221"/>
      <c r="C173" s="223"/>
    </row>
    <row r="174" spans="2:4">
      <c r="B174" s="222"/>
      <c r="C174" s="222"/>
    </row>
    <row r="175" spans="2:4">
      <c r="B175" s="222"/>
      <c r="C175" s="222"/>
    </row>
    <row r="176" spans="2:4">
      <c r="B176" s="222"/>
      <c r="C176" s="222"/>
    </row>
    <row r="177" spans="2:3">
      <c r="B177" s="222"/>
      <c r="C177" s="222"/>
    </row>
    <row r="178" spans="2:3">
      <c r="B178" s="222"/>
      <c r="C178" s="222"/>
    </row>
    <row r="179" spans="2:3">
      <c r="B179" s="222"/>
      <c r="C179" s="222"/>
    </row>
    <row r="180" spans="2:3">
      <c r="B180" s="222"/>
      <c r="C180" s="222"/>
    </row>
    <row r="181" spans="2:3">
      <c r="B181" s="222"/>
      <c r="C181" s="222"/>
    </row>
    <row r="182" spans="2:3">
      <c r="B182" s="222"/>
      <c r="C182" s="222"/>
    </row>
    <row r="183" spans="2:3" ht="13.15">
      <c r="B183" s="221"/>
      <c r="C183" s="223"/>
    </row>
    <row r="184" spans="2:3">
      <c r="B184" s="222"/>
    </row>
    <row r="185" spans="2:3">
      <c r="B185" s="222"/>
    </row>
    <row r="186" spans="2:3">
      <c r="B186" s="222"/>
    </row>
    <row r="187" spans="2:3">
      <c r="B187" s="222"/>
    </row>
    <row r="188" spans="2:3">
      <c r="B188" s="222"/>
    </row>
    <row r="189" spans="2:3">
      <c r="B189" s="222"/>
    </row>
    <row r="190" spans="2:3">
      <c r="B190" s="222"/>
    </row>
    <row r="191" spans="2:3">
      <c r="B191" s="222"/>
    </row>
    <row r="192" spans="2:3">
      <c r="B192" s="222"/>
    </row>
    <row r="193" spans="2:2">
      <c r="B193" s="222"/>
    </row>
    <row r="194" spans="2:2">
      <c r="B194" s="222"/>
    </row>
    <row r="195" spans="2:2">
      <c r="B195" s="222"/>
    </row>
    <row r="196" spans="2:2">
      <c r="B196" s="222"/>
    </row>
    <row r="197" spans="2:2">
      <c r="B197" s="222"/>
    </row>
    <row r="198" spans="2:2">
      <c r="B198" s="222"/>
    </row>
    <row r="199" spans="2:2">
      <c r="B199" s="222"/>
    </row>
    <row r="200" spans="2:2">
      <c r="B200" s="222"/>
    </row>
    <row r="201" spans="2:2">
      <c r="B201" s="222"/>
    </row>
    <row r="202" spans="2:2">
      <c r="B202" s="222"/>
    </row>
    <row r="203" spans="2:2">
      <c r="B203" s="222"/>
    </row>
    <row r="204" spans="2:2">
      <c r="B204" s="222"/>
    </row>
    <row r="205" spans="2:2">
      <c r="B205" s="222"/>
    </row>
    <row r="206" spans="2:2">
      <c r="B206" s="222"/>
    </row>
    <row r="207" spans="2:2">
      <c r="B207" s="222"/>
    </row>
    <row r="208" spans="2:2">
      <c r="B208" s="222"/>
    </row>
    <row r="209" spans="2:2">
      <c r="B209" s="222"/>
    </row>
    <row r="210" spans="2:2">
      <c r="B210" s="222"/>
    </row>
    <row r="211" spans="2:2">
      <c r="B211" s="222"/>
    </row>
    <row r="212" spans="2:2">
      <c r="B212" s="222"/>
    </row>
    <row r="213" spans="2:2">
      <c r="B213" s="222"/>
    </row>
    <row r="214" spans="2:2">
      <c r="B214" s="222"/>
    </row>
    <row r="215" spans="2:2">
      <c r="B215" s="222"/>
    </row>
    <row r="216" spans="2:2">
      <c r="B216" s="222"/>
    </row>
    <row r="217" spans="2:2">
      <c r="B217" s="222"/>
    </row>
    <row r="218" spans="2:2">
      <c r="B218" s="222"/>
    </row>
    <row r="219" spans="2:2">
      <c r="B219" s="222"/>
    </row>
    <row r="220" spans="2:2">
      <c r="B220" s="222"/>
    </row>
    <row r="221" spans="2:2">
      <c r="B221" s="222"/>
    </row>
    <row r="222" spans="2:2">
      <c r="B222" s="222"/>
    </row>
    <row r="223" spans="2:2">
      <c r="B223" s="22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A0A0-0416-4992-9C4A-79875B71CB96}">
  <dimension ref="B2:K223"/>
  <sheetViews>
    <sheetView topLeftCell="A16" workbookViewId="0">
      <selection activeCell="C54" sqref="C54"/>
    </sheetView>
  </sheetViews>
  <sheetFormatPr defaultColWidth="9.1328125" defaultRowHeight="12.75"/>
  <cols>
    <col min="1" max="1" width="9.1328125" style="43"/>
    <col min="2" max="3" width="9.06640625"/>
    <col min="4" max="4" width="9.1328125" style="122"/>
    <col min="5" max="16384" width="9.1328125" style="43"/>
  </cols>
  <sheetData>
    <row r="2" spans="2:11">
      <c r="B2" s="220" t="s">
        <v>355</v>
      </c>
      <c r="C2" s="220" t="s">
        <v>356</v>
      </c>
      <c r="D2" s="378" t="s">
        <v>544</v>
      </c>
    </row>
    <row r="3" spans="2:11" ht="13.15">
      <c r="B3" s="221">
        <v>5</v>
      </c>
      <c r="C3" s="221">
        <v>6.67</v>
      </c>
      <c r="D3" s="44">
        <v>8.0500000000000007</v>
      </c>
    </row>
    <row r="4" spans="2:11">
      <c r="B4" s="222">
        <v>5.0999999999999996</v>
      </c>
      <c r="C4" s="222">
        <f>C$3-((C$3-C$13)*(B4-B$3))</f>
        <v>6.681</v>
      </c>
      <c r="D4" s="222">
        <f>D$3-((D$3-D$13)*(B4-B$3))</f>
        <v>8.0210000000000008</v>
      </c>
    </row>
    <row r="5" spans="2:11">
      <c r="B5" s="222">
        <v>5.2</v>
      </c>
      <c r="C5" s="222">
        <f t="shared" ref="C5:C11" si="0">C$3-((C$3-C$13)*(B5-B$3))</f>
        <v>6.6920000000000002</v>
      </c>
      <c r="D5" s="222">
        <f t="shared" ref="D5:D12" si="1">D$3-((D$3-D$13)*(B5-B$3))</f>
        <v>7.9920000000000009</v>
      </c>
    </row>
    <row r="6" spans="2:11">
      <c r="B6" s="222">
        <v>5.3</v>
      </c>
      <c r="C6" s="222">
        <f t="shared" si="0"/>
        <v>6.7030000000000003</v>
      </c>
      <c r="D6" s="222">
        <f t="shared" si="1"/>
        <v>7.9630000000000001</v>
      </c>
    </row>
    <row r="7" spans="2:11">
      <c r="B7" s="222">
        <v>5.4</v>
      </c>
      <c r="C7" s="222">
        <f t="shared" si="0"/>
        <v>6.7140000000000004</v>
      </c>
      <c r="D7" s="222">
        <f t="shared" si="1"/>
        <v>7.9340000000000002</v>
      </c>
    </row>
    <row r="8" spans="2:11">
      <c r="B8" s="222">
        <v>5.5</v>
      </c>
      <c r="C8" s="222">
        <f t="shared" si="0"/>
        <v>6.7249999999999996</v>
      </c>
      <c r="D8" s="222">
        <f t="shared" si="1"/>
        <v>7.9050000000000002</v>
      </c>
    </row>
    <row r="9" spans="2:11" ht="13.15">
      <c r="B9" s="222">
        <v>5.6</v>
      </c>
      <c r="C9" s="222">
        <f t="shared" si="0"/>
        <v>6.7359999999999998</v>
      </c>
      <c r="D9" s="222">
        <f t="shared" si="1"/>
        <v>7.8760000000000003</v>
      </c>
      <c r="K9" s="123"/>
    </row>
    <row r="10" spans="2:11" ht="13.15">
      <c r="B10" s="222">
        <v>5.7</v>
      </c>
      <c r="C10" s="222">
        <f t="shared" si="0"/>
        <v>6.7469999999999999</v>
      </c>
      <c r="D10" s="222">
        <f t="shared" si="1"/>
        <v>7.8470000000000004</v>
      </c>
      <c r="K10" s="123"/>
    </row>
    <row r="11" spans="2:11">
      <c r="B11" s="222">
        <v>5.8</v>
      </c>
      <c r="C11" s="222">
        <f t="shared" si="0"/>
        <v>6.758</v>
      </c>
      <c r="D11" s="222">
        <f t="shared" si="1"/>
        <v>7.8179999999999996</v>
      </c>
    </row>
    <row r="12" spans="2:11">
      <c r="B12" s="222">
        <v>5.9</v>
      </c>
      <c r="C12" s="222">
        <f>C$3-((C$3-C$13)*(B12-B$3))</f>
        <v>6.7690000000000001</v>
      </c>
      <c r="D12" s="222">
        <f t="shared" si="1"/>
        <v>7.7889999999999997</v>
      </c>
    </row>
    <row r="13" spans="2:11" ht="13.15">
      <c r="B13" s="221">
        <v>6</v>
      </c>
      <c r="C13" s="221" t="str">
        <f>Intensity!E4</f>
        <v>6.78</v>
      </c>
      <c r="D13" s="44">
        <v>7.76</v>
      </c>
      <c r="G13" s="124"/>
    </row>
    <row r="14" spans="2:11">
      <c r="B14" s="222">
        <v>6.1</v>
      </c>
      <c r="C14" s="222">
        <f>C$13-((C$13-C$23)*(B14-B$13))</f>
        <v>6.7540000000000004</v>
      </c>
      <c r="D14" s="222">
        <f>D$13-((D$13-D$23)*(B14-B$13))</f>
        <v>7.7329999999999997</v>
      </c>
    </row>
    <row r="15" spans="2:11">
      <c r="B15" s="222">
        <v>6.2</v>
      </c>
      <c r="C15" s="222">
        <f t="shared" ref="C15:C22" si="2">C$13-((C$13-C$23)*(B15-B$13))</f>
        <v>6.7279999999999998</v>
      </c>
      <c r="D15" s="222">
        <f t="shared" ref="D15:D22" si="3">D$13-((D$13-D$23)*(B15-B$13))</f>
        <v>7.7059999999999995</v>
      </c>
    </row>
    <row r="16" spans="2:11">
      <c r="B16" s="222">
        <v>6.3</v>
      </c>
      <c r="C16" s="222">
        <f t="shared" si="2"/>
        <v>6.702</v>
      </c>
      <c r="D16" s="222">
        <f t="shared" si="3"/>
        <v>7.6790000000000003</v>
      </c>
    </row>
    <row r="17" spans="2:4">
      <c r="B17" s="222">
        <v>6.4</v>
      </c>
      <c r="C17" s="222">
        <f t="shared" si="2"/>
        <v>6.6760000000000002</v>
      </c>
      <c r="D17" s="222">
        <f t="shared" si="3"/>
        <v>7.6520000000000001</v>
      </c>
    </row>
    <row r="18" spans="2:4">
      <c r="B18" s="222">
        <v>6.4999999999999902</v>
      </c>
      <c r="C18" s="222">
        <f t="shared" si="2"/>
        <v>6.6500000000000021</v>
      </c>
      <c r="D18" s="222">
        <f t="shared" si="3"/>
        <v>7.6250000000000027</v>
      </c>
    </row>
    <row r="19" spans="2:4">
      <c r="B19" s="222">
        <v>6.5999999999999899</v>
      </c>
      <c r="C19" s="222">
        <f t="shared" si="2"/>
        <v>6.6240000000000023</v>
      </c>
      <c r="D19" s="222">
        <f t="shared" si="3"/>
        <v>7.5980000000000025</v>
      </c>
    </row>
    <row r="20" spans="2:4">
      <c r="B20" s="222">
        <v>6.6999999999999904</v>
      </c>
      <c r="C20" s="222">
        <f t="shared" si="2"/>
        <v>6.5980000000000025</v>
      </c>
      <c r="D20" s="222">
        <f t="shared" si="3"/>
        <v>7.5710000000000024</v>
      </c>
    </row>
    <row r="21" spans="2:4">
      <c r="B21" s="222">
        <v>6.7999999999999901</v>
      </c>
      <c r="C21" s="222">
        <f t="shared" si="2"/>
        <v>6.5720000000000027</v>
      </c>
      <c r="D21" s="222">
        <f t="shared" si="3"/>
        <v>7.5440000000000031</v>
      </c>
    </row>
    <row r="22" spans="2:4">
      <c r="B22" s="222">
        <v>6.8999999999999897</v>
      </c>
      <c r="C22" s="222">
        <f t="shared" si="2"/>
        <v>6.546000000000002</v>
      </c>
      <c r="D22" s="222">
        <f t="shared" si="3"/>
        <v>7.517000000000003</v>
      </c>
    </row>
    <row r="23" spans="2:4" ht="13.15">
      <c r="B23" s="221">
        <v>6.9999999999999902</v>
      </c>
      <c r="C23" s="221" t="str">
        <f>Intensity!E5</f>
        <v>6.52</v>
      </c>
      <c r="D23" s="44">
        <v>7.49</v>
      </c>
    </row>
    <row r="24" spans="2:4">
      <c r="B24" s="222">
        <v>7.0999999999999899</v>
      </c>
      <c r="C24" s="222">
        <f>C$23-((C$23-C$33)*(B24-B$23))</f>
        <v>6.4959999999999996</v>
      </c>
      <c r="D24" s="222">
        <f>D$23-((D$23-D$33)*(B24-B$23))</f>
        <v>7.4640000000000004</v>
      </c>
    </row>
    <row r="25" spans="2:4">
      <c r="B25" s="222">
        <v>7.1999999999999904</v>
      </c>
      <c r="C25" s="222">
        <f t="shared" ref="C25:C32" si="4">C$23-((C$23-C$33)*(B25-B$23))</f>
        <v>6.4719999999999995</v>
      </c>
      <c r="D25" s="222">
        <f t="shared" ref="D25:D32" si="5">D$23-((D$23-D$33)*(B25-B$23))</f>
        <v>7.4380000000000006</v>
      </c>
    </row>
    <row r="26" spans="2:4">
      <c r="B26" s="222">
        <v>7.2999999999999901</v>
      </c>
      <c r="C26" s="222">
        <f t="shared" si="4"/>
        <v>6.4479999999999995</v>
      </c>
      <c r="D26" s="222">
        <f t="shared" si="5"/>
        <v>7.4119999999999999</v>
      </c>
    </row>
    <row r="27" spans="2:4">
      <c r="B27" s="222">
        <v>7.3999999999999897</v>
      </c>
      <c r="C27" s="222">
        <f t="shared" si="4"/>
        <v>6.4240000000000004</v>
      </c>
      <c r="D27" s="222">
        <f t="shared" si="5"/>
        <v>7.3860000000000001</v>
      </c>
    </row>
    <row r="28" spans="2:4">
      <c r="B28" s="222">
        <v>7.4999999999999902</v>
      </c>
      <c r="C28" s="222">
        <f t="shared" si="4"/>
        <v>6.4</v>
      </c>
      <c r="D28" s="222">
        <f t="shared" si="5"/>
        <v>7.36</v>
      </c>
    </row>
    <row r="29" spans="2:4">
      <c r="B29" s="222">
        <v>7.5999999999999899</v>
      </c>
      <c r="C29" s="222">
        <f t="shared" si="4"/>
        <v>6.3760000000000003</v>
      </c>
      <c r="D29" s="222">
        <f t="shared" si="5"/>
        <v>7.3340000000000005</v>
      </c>
    </row>
    <row r="30" spans="2:4">
      <c r="B30" s="222">
        <v>7.6999999999999904</v>
      </c>
      <c r="C30" s="222">
        <f t="shared" si="4"/>
        <v>6.3520000000000003</v>
      </c>
      <c r="D30" s="222">
        <f t="shared" si="5"/>
        <v>7.3080000000000007</v>
      </c>
    </row>
    <row r="31" spans="2:4">
      <c r="B31" s="222">
        <v>7.7999999999999901</v>
      </c>
      <c r="C31" s="222">
        <f t="shared" si="4"/>
        <v>6.3280000000000003</v>
      </c>
      <c r="D31" s="222">
        <f t="shared" si="5"/>
        <v>7.282</v>
      </c>
    </row>
    <row r="32" spans="2:4">
      <c r="B32" s="222">
        <v>7.8999999999999897</v>
      </c>
      <c r="C32" s="222">
        <f t="shared" si="4"/>
        <v>6.3040000000000003</v>
      </c>
      <c r="D32" s="222">
        <f t="shared" si="5"/>
        <v>7.2560000000000002</v>
      </c>
    </row>
    <row r="33" spans="2:4" ht="13.15">
      <c r="B33" s="221">
        <v>7.9999999999999902</v>
      </c>
      <c r="C33" s="221" t="str">
        <f>Intensity!E6</f>
        <v>6.28</v>
      </c>
      <c r="D33" s="44">
        <v>7.23</v>
      </c>
    </row>
    <row r="34" spans="2:4">
      <c r="B34" s="222">
        <v>8.0999999999999908</v>
      </c>
      <c r="C34" s="222">
        <f>C$33-((C$33-C$43)*(B34-B$33))</f>
        <v>6.258</v>
      </c>
      <c r="D34" s="222">
        <f>D$33-((D$33-D$43)*(B34-B$33))</f>
        <v>7.2060000000000004</v>
      </c>
    </row>
    <row r="35" spans="2:4">
      <c r="B35" s="222">
        <v>8.1999999999999904</v>
      </c>
      <c r="C35" s="222">
        <f t="shared" ref="C35:C42" si="6">C$33-((C$33-C$43)*(B35-B$33))</f>
        <v>6.2359999999999998</v>
      </c>
      <c r="D35" s="222">
        <f t="shared" ref="D35:D42" si="7">D$33-((D$33-D$43)*(B35-B$33))</f>
        <v>7.1820000000000004</v>
      </c>
    </row>
    <row r="36" spans="2:4">
      <c r="B36" s="222">
        <v>8.2999999999999901</v>
      </c>
      <c r="C36" s="222">
        <f t="shared" si="6"/>
        <v>6.2140000000000004</v>
      </c>
      <c r="D36" s="222">
        <f t="shared" si="7"/>
        <v>7.1580000000000004</v>
      </c>
    </row>
    <row r="37" spans="2:4">
      <c r="B37" s="222">
        <v>8.3999999999999897</v>
      </c>
      <c r="C37" s="222">
        <f t="shared" si="6"/>
        <v>6.1920000000000002</v>
      </c>
      <c r="D37" s="222">
        <f t="shared" si="7"/>
        <v>7.1340000000000003</v>
      </c>
    </row>
    <row r="38" spans="2:4">
      <c r="B38" s="222">
        <v>8.4999999999999893</v>
      </c>
      <c r="C38" s="222">
        <f t="shared" si="6"/>
        <v>6.17</v>
      </c>
      <c r="D38" s="222">
        <f t="shared" si="7"/>
        <v>7.11</v>
      </c>
    </row>
    <row r="39" spans="2:4">
      <c r="B39" s="222">
        <v>8.5999999999999908</v>
      </c>
      <c r="C39" s="222">
        <f t="shared" si="6"/>
        <v>6.1479999999999997</v>
      </c>
      <c r="D39" s="222">
        <f t="shared" si="7"/>
        <v>7.0860000000000003</v>
      </c>
    </row>
    <row r="40" spans="2:4">
      <c r="B40" s="222">
        <v>8.6999999999999904</v>
      </c>
      <c r="C40" s="222">
        <f t="shared" si="6"/>
        <v>6.1259999999999994</v>
      </c>
      <c r="D40" s="222">
        <f t="shared" si="7"/>
        <v>7.0620000000000003</v>
      </c>
    </row>
    <row r="41" spans="2:4">
      <c r="B41" s="222">
        <v>8.7999999999999901</v>
      </c>
      <c r="C41" s="222">
        <f t="shared" si="6"/>
        <v>6.1040000000000001</v>
      </c>
      <c r="D41" s="222">
        <f t="shared" si="7"/>
        <v>7.0380000000000003</v>
      </c>
    </row>
    <row r="42" spans="2:4">
      <c r="B42" s="222">
        <v>8.8999999999999897</v>
      </c>
      <c r="C42" s="222">
        <f t="shared" si="6"/>
        <v>6.0819999999999999</v>
      </c>
      <c r="D42" s="222">
        <f t="shared" si="7"/>
        <v>7.0140000000000002</v>
      </c>
    </row>
    <row r="43" spans="2:4" ht="13.15">
      <c r="B43" s="221">
        <v>8.9999999999999893</v>
      </c>
      <c r="C43" s="221" t="str">
        <f>Intensity!E7</f>
        <v>6.06</v>
      </c>
      <c r="D43" s="44">
        <v>6.99</v>
      </c>
    </row>
    <row r="44" spans="2:4">
      <c r="B44" s="222">
        <v>9.0999999999999908</v>
      </c>
      <c r="C44" s="222">
        <f>C$43-((C$43-C$53)*(B44-B$43))</f>
        <v>5.9879999999999987</v>
      </c>
      <c r="D44" s="222">
        <f>D$43-((D$43-D$53)*(B44-B$43))</f>
        <v>6.968</v>
      </c>
    </row>
    <row r="45" spans="2:4">
      <c r="B45" s="222">
        <v>9.1999999999999904</v>
      </c>
      <c r="C45" s="222">
        <f t="shared" ref="C45:C52" si="8">C$43-((C$43-C$53)*(B45-B$43))</f>
        <v>5.9159999999999986</v>
      </c>
      <c r="D45" s="222">
        <f t="shared" ref="D45:D52" si="9">D$43-((D$43-D$53)*(B45-B$43))</f>
        <v>6.9459999999999997</v>
      </c>
    </row>
    <row r="46" spans="2:4">
      <c r="B46" s="222">
        <v>9.2999999999999794</v>
      </c>
      <c r="C46" s="222">
        <f t="shared" si="8"/>
        <v>5.8440000000000065</v>
      </c>
      <c r="D46" s="222">
        <f t="shared" si="9"/>
        <v>6.9240000000000022</v>
      </c>
    </row>
    <row r="47" spans="2:4">
      <c r="B47" s="222">
        <v>9.3999999999999808</v>
      </c>
      <c r="C47" s="222">
        <f t="shared" si="8"/>
        <v>5.7720000000000056</v>
      </c>
      <c r="D47" s="222">
        <f t="shared" si="9"/>
        <v>6.9020000000000019</v>
      </c>
    </row>
    <row r="48" spans="2:4">
      <c r="B48" s="222">
        <v>9.4999999999999805</v>
      </c>
      <c r="C48" s="222">
        <f t="shared" si="8"/>
        <v>5.7000000000000064</v>
      </c>
      <c r="D48" s="222">
        <f t="shared" si="9"/>
        <v>6.8800000000000017</v>
      </c>
    </row>
    <row r="49" spans="2:4">
      <c r="B49" s="222">
        <v>9.5999999999999801</v>
      </c>
      <c r="C49" s="222">
        <f t="shared" si="8"/>
        <v>5.6280000000000063</v>
      </c>
      <c r="D49" s="222">
        <f t="shared" si="9"/>
        <v>6.8580000000000023</v>
      </c>
    </row>
    <row r="50" spans="2:4">
      <c r="B50" s="222">
        <v>9.6999999999999797</v>
      </c>
      <c r="C50" s="222">
        <f t="shared" si="8"/>
        <v>5.5560000000000063</v>
      </c>
      <c r="D50" s="222">
        <f t="shared" si="9"/>
        <v>6.8360000000000021</v>
      </c>
    </row>
    <row r="51" spans="2:4">
      <c r="B51" s="222">
        <v>9.7999999999999794</v>
      </c>
      <c r="C51" s="222">
        <f t="shared" si="8"/>
        <v>5.4840000000000071</v>
      </c>
      <c r="D51" s="222">
        <f t="shared" si="9"/>
        <v>6.8140000000000018</v>
      </c>
    </row>
    <row r="52" spans="2:4">
      <c r="B52" s="222">
        <v>9.8999999999999808</v>
      </c>
      <c r="C52" s="222">
        <f t="shared" si="8"/>
        <v>5.4120000000000061</v>
      </c>
      <c r="D52" s="222">
        <f t="shared" si="9"/>
        <v>6.7920000000000016</v>
      </c>
    </row>
    <row r="53" spans="2:4" ht="13.15">
      <c r="B53" s="221">
        <v>9.9999999999999805</v>
      </c>
      <c r="C53" s="221">
        <v>5.34</v>
      </c>
      <c r="D53" s="44">
        <v>6.77</v>
      </c>
    </row>
    <row r="54" spans="2:4">
      <c r="B54" s="222">
        <v>10.1</v>
      </c>
      <c r="C54" s="222">
        <f>C$53-((C$53-C$63)*(B54-B$53))</f>
        <v>5.3720000000000061</v>
      </c>
      <c r="D54" s="222">
        <f>D$53-((D$53-D$63)*(B54-B$53))</f>
        <v>6.7489999999999952</v>
      </c>
    </row>
    <row r="55" spans="2:4">
      <c r="B55" s="222">
        <v>10.199999999999999</v>
      </c>
      <c r="C55" s="222">
        <f t="shared" ref="C55:C62" si="10">C$53-((C$53-C$63)*(B55-B$53))</f>
        <v>5.4040000000000061</v>
      </c>
      <c r="D55" s="222">
        <f t="shared" ref="D55:D62" si="11">D$53-((D$53-D$63)*(B55-B$53))</f>
        <v>6.7279999999999953</v>
      </c>
    </row>
    <row r="56" spans="2:4">
      <c r="B56" s="222">
        <v>10.3</v>
      </c>
      <c r="C56" s="222">
        <f t="shared" si="10"/>
        <v>5.4360000000000062</v>
      </c>
      <c r="D56" s="222">
        <f t="shared" si="11"/>
        <v>6.7069999999999954</v>
      </c>
    </row>
    <row r="57" spans="2:4">
      <c r="B57" s="222">
        <v>10.4</v>
      </c>
      <c r="C57" s="222">
        <f t="shared" si="10"/>
        <v>5.4680000000000062</v>
      </c>
      <c r="D57" s="222">
        <f t="shared" si="11"/>
        <v>6.6859999999999955</v>
      </c>
    </row>
    <row r="58" spans="2:4">
      <c r="B58" s="222">
        <v>10.5</v>
      </c>
      <c r="C58" s="222">
        <f t="shared" si="10"/>
        <v>5.5000000000000062</v>
      </c>
      <c r="D58" s="222">
        <f t="shared" si="11"/>
        <v>6.6649999999999956</v>
      </c>
    </row>
    <row r="59" spans="2:4">
      <c r="B59" s="222">
        <v>10.6</v>
      </c>
      <c r="C59" s="222">
        <f t="shared" si="10"/>
        <v>5.5320000000000062</v>
      </c>
      <c r="D59" s="222">
        <f t="shared" si="11"/>
        <v>6.6439999999999957</v>
      </c>
    </row>
    <row r="60" spans="2:4">
      <c r="B60" s="222">
        <v>10.7</v>
      </c>
      <c r="C60" s="222">
        <f t="shared" si="10"/>
        <v>5.5640000000000063</v>
      </c>
      <c r="D60" s="222">
        <f t="shared" si="11"/>
        <v>6.6229999999999958</v>
      </c>
    </row>
    <row r="61" spans="2:4">
      <c r="B61" s="222">
        <v>10.8</v>
      </c>
      <c r="C61" s="222">
        <f t="shared" si="10"/>
        <v>5.5960000000000063</v>
      </c>
      <c r="D61" s="222">
        <f t="shared" si="11"/>
        <v>6.601999999999995</v>
      </c>
    </row>
    <row r="62" spans="2:4">
      <c r="B62" s="222">
        <v>10.9</v>
      </c>
      <c r="C62" s="222">
        <f t="shared" si="10"/>
        <v>5.6280000000000063</v>
      </c>
      <c r="D62" s="222">
        <f t="shared" si="11"/>
        <v>6.5809999999999951</v>
      </c>
    </row>
    <row r="63" spans="2:4" ht="13.15">
      <c r="B63" s="221">
        <v>11</v>
      </c>
      <c r="C63" s="221">
        <f>Intensity!E9</f>
        <v>5.66</v>
      </c>
      <c r="D63" s="44">
        <v>6.56</v>
      </c>
    </row>
    <row r="64" spans="2:4">
      <c r="B64" s="222">
        <v>11.1</v>
      </c>
      <c r="C64" s="222">
        <f>C$63-((C$63-C$73)*(B64-B$63))</f>
        <v>5.6420000000000003</v>
      </c>
      <c r="D64" s="222">
        <f>D$63-((D$63-D$73)*(B64-B$63))</f>
        <v>6.5409999999999995</v>
      </c>
    </row>
    <row r="65" spans="2:4">
      <c r="B65" s="222">
        <v>11.2</v>
      </c>
      <c r="C65" s="222">
        <f t="shared" ref="C65:C71" si="12">C$63-((C$63-C$73)*(B65-B$63))</f>
        <v>5.6240000000000006</v>
      </c>
      <c r="D65" s="222">
        <f t="shared" ref="D65:D72" si="13">D$63-((D$63-D$73)*(B65-B$63))</f>
        <v>6.5220000000000002</v>
      </c>
    </row>
    <row r="66" spans="2:4">
      <c r="B66" s="222">
        <v>11.3</v>
      </c>
      <c r="C66" s="222">
        <f t="shared" si="12"/>
        <v>5.6059999999999999</v>
      </c>
      <c r="D66" s="222">
        <f t="shared" si="13"/>
        <v>6.5029999999999992</v>
      </c>
    </row>
    <row r="67" spans="2:4">
      <c r="B67" s="222">
        <v>11.4</v>
      </c>
      <c r="C67" s="222">
        <f t="shared" si="12"/>
        <v>5.5880000000000001</v>
      </c>
      <c r="D67" s="222">
        <f t="shared" si="13"/>
        <v>6.484</v>
      </c>
    </row>
    <row r="68" spans="2:4">
      <c r="B68" s="222">
        <v>11.5</v>
      </c>
      <c r="C68" s="222">
        <f t="shared" si="12"/>
        <v>5.57</v>
      </c>
      <c r="D68" s="222">
        <f t="shared" si="13"/>
        <v>6.4649999999999999</v>
      </c>
    </row>
    <row r="69" spans="2:4">
      <c r="B69" s="222">
        <v>11.6</v>
      </c>
      <c r="C69" s="222">
        <f t="shared" si="12"/>
        <v>5.5520000000000005</v>
      </c>
      <c r="D69" s="222">
        <f t="shared" si="13"/>
        <v>6.4459999999999997</v>
      </c>
    </row>
    <row r="70" spans="2:4">
      <c r="B70" s="222">
        <v>11.7</v>
      </c>
      <c r="C70" s="222">
        <f t="shared" si="12"/>
        <v>5.5340000000000007</v>
      </c>
      <c r="D70" s="222">
        <f t="shared" si="13"/>
        <v>6.4270000000000005</v>
      </c>
    </row>
    <row r="71" spans="2:4">
      <c r="B71" s="222">
        <v>11.8</v>
      </c>
      <c r="C71" s="222">
        <f t="shared" si="12"/>
        <v>5.516</v>
      </c>
      <c r="D71" s="222">
        <f t="shared" si="13"/>
        <v>6.4079999999999995</v>
      </c>
    </row>
    <row r="72" spans="2:4">
      <c r="B72" s="222">
        <v>11.9</v>
      </c>
      <c r="C72" s="222">
        <f>C$63-((C$63-C$73)*(B72-B$63))</f>
        <v>5.4980000000000002</v>
      </c>
      <c r="D72" s="222">
        <f t="shared" si="13"/>
        <v>6.3890000000000002</v>
      </c>
    </row>
    <row r="73" spans="2:4" ht="13.15">
      <c r="B73" s="221">
        <v>12</v>
      </c>
      <c r="C73" s="221" t="str">
        <f>Intensity!E10</f>
        <v>5.48</v>
      </c>
      <c r="D73" s="44">
        <v>6.37</v>
      </c>
    </row>
    <row r="74" spans="2:4">
      <c r="B74" s="222">
        <v>12.1</v>
      </c>
      <c r="C74" s="222">
        <f>C$73-((C$73-C$83)*(B74-B$73))</f>
        <v>5.4630000000000001</v>
      </c>
      <c r="D74" s="222">
        <f>D$73-((D$73-D$83)*(B74-B$73))</f>
        <v>6.351</v>
      </c>
    </row>
    <row r="75" spans="2:4">
      <c r="B75" s="222">
        <v>12.2</v>
      </c>
      <c r="C75" s="222">
        <f t="shared" ref="C75:C82" si="14">C$73-((C$73-C$83)*(B75-B$73))</f>
        <v>5.4460000000000006</v>
      </c>
      <c r="D75" s="222">
        <f t="shared" ref="D75:D82" si="15">D$73-((D$73-D$83)*(B75-B$73))</f>
        <v>6.3319999999999999</v>
      </c>
    </row>
    <row r="76" spans="2:4">
      <c r="B76" s="222">
        <v>12.3</v>
      </c>
      <c r="C76" s="222">
        <f t="shared" si="14"/>
        <v>5.4290000000000003</v>
      </c>
      <c r="D76" s="222">
        <f t="shared" si="15"/>
        <v>6.3129999999999997</v>
      </c>
    </row>
    <row r="77" spans="2:4">
      <c r="B77" s="222">
        <v>12.4</v>
      </c>
      <c r="C77" s="222">
        <f t="shared" si="14"/>
        <v>5.4119999999999999</v>
      </c>
      <c r="D77" s="222">
        <f t="shared" si="15"/>
        <v>6.2939999999999996</v>
      </c>
    </row>
    <row r="78" spans="2:4">
      <c r="B78" s="222">
        <v>12.5</v>
      </c>
      <c r="C78" s="222">
        <f t="shared" si="14"/>
        <v>5.3949999999999996</v>
      </c>
      <c r="D78" s="222">
        <f t="shared" si="15"/>
        <v>6.2750000000000004</v>
      </c>
    </row>
    <row r="79" spans="2:4">
      <c r="B79" s="222">
        <v>12.6</v>
      </c>
      <c r="C79" s="222">
        <f t="shared" si="14"/>
        <v>5.3780000000000001</v>
      </c>
      <c r="D79" s="222">
        <f t="shared" si="15"/>
        <v>6.2560000000000002</v>
      </c>
    </row>
    <row r="80" spans="2:4">
      <c r="B80" s="222">
        <v>12.7</v>
      </c>
      <c r="C80" s="222">
        <f t="shared" si="14"/>
        <v>5.3609999999999998</v>
      </c>
      <c r="D80" s="222">
        <f t="shared" si="15"/>
        <v>6.2370000000000001</v>
      </c>
    </row>
    <row r="81" spans="2:4">
      <c r="B81" s="222">
        <v>12.8</v>
      </c>
      <c r="C81" s="222">
        <f t="shared" si="14"/>
        <v>5.3439999999999994</v>
      </c>
      <c r="D81" s="222">
        <f t="shared" si="15"/>
        <v>6.218</v>
      </c>
    </row>
    <row r="82" spans="2:4">
      <c r="B82" s="222">
        <v>12.9</v>
      </c>
      <c r="C82" s="222">
        <f t="shared" si="14"/>
        <v>5.327</v>
      </c>
      <c r="D82" s="222">
        <f t="shared" si="15"/>
        <v>6.1989999999999998</v>
      </c>
    </row>
    <row r="83" spans="2:4" ht="13.15">
      <c r="B83" s="221">
        <v>13</v>
      </c>
      <c r="C83" s="221" t="str">
        <f>Intensity!E11</f>
        <v>5.31</v>
      </c>
      <c r="D83" s="44">
        <v>6.18</v>
      </c>
    </row>
    <row r="84" spans="2:4">
      <c r="B84" s="222">
        <v>13.1</v>
      </c>
      <c r="C84" s="222">
        <f>C$83-((C$83-C$93)*(B84-B$83))</f>
        <v>5.2939999999999996</v>
      </c>
      <c r="D84" s="222">
        <f>D$83-((D$83-D$93)*(B84-B$83))</f>
        <v>6.1659999999999995</v>
      </c>
    </row>
    <row r="85" spans="2:4">
      <c r="B85" s="222">
        <v>13.2</v>
      </c>
      <c r="C85" s="222">
        <f t="shared" ref="C85:C91" si="16">C$83-((C$83-C$93)*(B85-B$83))</f>
        <v>5.2779999999999996</v>
      </c>
      <c r="D85" s="222">
        <f t="shared" ref="D85:D92" si="17">D$83-((D$83-D$93)*(B85-B$83))</f>
        <v>6.1520000000000001</v>
      </c>
    </row>
    <row r="86" spans="2:4">
      <c r="B86" s="222">
        <v>13.3</v>
      </c>
      <c r="C86" s="222">
        <f t="shared" si="16"/>
        <v>5.2619999999999996</v>
      </c>
      <c r="D86" s="222">
        <f t="shared" si="17"/>
        <v>6.1379999999999999</v>
      </c>
    </row>
    <row r="87" spans="2:4">
      <c r="B87" s="222">
        <v>13.4</v>
      </c>
      <c r="C87" s="222">
        <f t="shared" si="16"/>
        <v>5.2459999999999996</v>
      </c>
      <c r="D87" s="222">
        <f t="shared" si="17"/>
        <v>6.1239999999999997</v>
      </c>
    </row>
    <row r="88" spans="2:4">
      <c r="B88" s="222">
        <v>13.5</v>
      </c>
      <c r="C88" s="222">
        <f t="shared" si="16"/>
        <v>5.23</v>
      </c>
      <c r="D88" s="222">
        <f t="shared" si="17"/>
        <v>6.1099999999999994</v>
      </c>
    </row>
    <row r="89" spans="2:4">
      <c r="B89" s="222">
        <v>13.6</v>
      </c>
      <c r="C89" s="222">
        <f t="shared" si="16"/>
        <v>5.2140000000000004</v>
      </c>
      <c r="D89" s="222">
        <f t="shared" si="17"/>
        <v>6.0960000000000001</v>
      </c>
    </row>
    <row r="90" spans="2:4">
      <c r="B90" s="222">
        <v>13.7</v>
      </c>
      <c r="C90" s="222">
        <f t="shared" si="16"/>
        <v>5.1980000000000004</v>
      </c>
      <c r="D90" s="222">
        <f t="shared" si="17"/>
        <v>6.0819999999999999</v>
      </c>
    </row>
    <row r="91" spans="2:4">
      <c r="B91" s="222">
        <v>13.8</v>
      </c>
      <c r="C91" s="222">
        <f t="shared" si="16"/>
        <v>5.1820000000000004</v>
      </c>
      <c r="D91" s="222">
        <f t="shared" si="17"/>
        <v>6.0679999999999996</v>
      </c>
    </row>
    <row r="92" spans="2:4">
      <c r="B92" s="222">
        <v>13.9</v>
      </c>
      <c r="C92" s="222">
        <f>C$83-((C$83-C$93)*(B92-B$83))</f>
        <v>5.1660000000000004</v>
      </c>
      <c r="D92" s="222">
        <f t="shared" si="17"/>
        <v>6.0540000000000003</v>
      </c>
    </row>
    <row r="93" spans="2:4" ht="13.15">
      <c r="B93" s="221">
        <v>14</v>
      </c>
      <c r="C93" s="221" t="str">
        <f>Intensity!E12</f>
        <v>5.15</v>
      </c>
      <c r="D93" s="44">
        <v>6.04</v>
      </c>
    </row>
    <row r="94" spans="2:4">
      <c r="B94" s="222">
        <v>14.1</v>
      </c>
      <c r="C94" s="222">
        <f>C$93-((C$93-C$103)*(B94-B$93))</f>
        <v>5.1350000000000007</v>
      </c>
      <c r="D94" s="222">
        <f>D$93-((D$93-D$103)*(B94-B$93))</f>
        <v>6.0200000000000005</v>
      </c>
    </row>
    <row r="95" spans="2:4">
      <c r="B95" s="222">
        <v>14.2</v>
      </c>
      <c r="C95" s="222">
        <f t="shared" ref="C95:C102" si="18">C$93-((C$93-C$103)*(B95-B$93))</f>
        <v>5.12</v>
      </c>
      <c r="D95" s="222">
        <f t="shared" ref="D95:D102" si="19">D$93-((D$93-D$103)*(B95-B$93))</f>
        <v>6</v>
      </c>
    </row>
    <row r="96" spans="2:4">
      <c r="B96" s="222">
        <v>14.3</v>
      </c>
      <c r="C96" s="222">
        <f t="shared" si="18"/>
        <v>5.1050000000000004</v>
      </c>
      <c r="D96" s="222">
        <f t="shared" si="19"/>
        <v>5.9799999999999995</v>
      </c>
    </row>
    <row r="97" spans="2:4">
      <c r="B97" s="222">
        <v>14.4</v>
      </c>
      <c r="C97" s="222">
        <f t="shared" si="18"/>
        <v>5.09</v>
      </c>
      <c r="D97" s="222">
        <f t="shared" si="19"/>
        <v>5.96</v>
      </c>
    </row>
    <row r="98" spans="2:4">
      <c r="B98" s="222">
        <v>14.5</v>
      </c>
      <c r="C98" s="222">
        <f>C$93-((C$93-C$103)*(B98-B$93))</f>
        <v>5.0750000000000002</v>
      </c>
      <c r="D98" s="222">
        <f t="shared" si="19"/>
        <v>5.9399999999999995</v>
      </c>
    </row>
    <row r="99" spans="2:4">
      <c r="B99" s="222">
        <v>14.6</v>
      </c>
      <c r="C99" s="222">
        <f t="shared" si="18"/>
        <v>5.0600000000000005</v>
      </c>
      <c r="D99" s="222">
        <f t="shared" si="19"/>
        <v>5.92</v>
      </c>
    </row>
    <row r="100" spans="2:4">
      <c r="B100" s="222">
        <v>14.7</v>
      </c>
      <c r="C100" s="222">
        <f t="shared" si="18"/>
        <v>5.0449999999999999</v>
      </c>
      <c r="D100" s="222">
        <f t="shared" si="19"/>
        <v>5.9</v>
      </c>
    </row>
    <row r="101" spans="2:4">
      <c r="B101" s="222">
        <v>14.8</v>
      </c>
      <c r="C101" s="222">
        <f t="shared" si="18"/>
        <v>5.03</v>
      </c>
      <c r="D101" s="222">
        <f t="shared" si="19"/>
        <v>5.88</v>
      </c>
    </row>
    <row r="102" spans="2:4">
      <c r="B102" s="222">
        <v>14.9</v>
      </c>
      <c r="C102" s="222">
        <f t="shared" si="18"/>
        <v>5.0149999999999997</v>
      </c>
      <c r="D102" s="222">
        <f t="shared" si="19"/>
        <v>5.8599999999999994</v>
      </c>
    </row>
    <row r="103" spans="2:4" ht="13.15">
      <c r="B103" s="221">
        <v>15</v>
      </c>
      <c r="C103" s="221" t="str">
        <f>Intensity!E13</f>
        <v>5.00</v>
      </c>
      <c r="D103" s="44">
        <v>5.84</v>
      </c>
    </row>
    <row r="104" spans="2:4">
      <c r="B104" s="222">
        <v>15.1</v>
      </c>
      <c r="C104" s="222">
        <f>C$103-((C$103-C$113)*(B104-B$103))</f>
        <v>4.9859999999999998</v>
      </c>
      <c r="D104" s="222">
        <f>D$103-((D$103-D$113)*(B104-B$103))</f>
        <v>5.8239999999999998</v>
      </c>
    </row>
    <row r="105" spans="2:4">
      <c r="B105" s="222">
        <v>15.2</v>
      </c>
      <c r="C105" s="222">
        <f t="shared" ref="C105:C112" si="20">C$103-((C$103-C$113)*(B105-B$103))</f>
        <v>4.9720000000000004</v>
      </c>
      <c r="D105" s="222">
        <f t="shared" ref="D105:D112" si="21">D$103-((D$103-D$113)*(B105-B$103))</f>
        <v>5.8079999999999998</v>
      </c>
    </row>
    <row r="106" spans="2:4">
      <c r="B106" s="222">
        <v>15.3</v>
      </c>
      <c r="C106" s="222">
        <f t="shared" si="20"/>
        <v>4.9580000000000002</v>
      </c>
      <c r="D106" s="222">
        <f t="shared" si="21"/>
        <v>5.7919999999999998</v>
      </c>
    </row>
    <row r="107" spans="2:4">
      <c r="B107" s="222">
        <v>15.4</v>
      </c>
      <c r="C107" s="222">
        <f t="shared" si="20"/>
        <v>4.944</v>
      </c>
      <c r="D107" s="222">
        <f t="shared" si="21"/>
        <v>5.7759999999999998</v>
      </c>
    </row>
    <row r="108" spans="2:4">
      <c r="B108" s="222">
        <v>15.5</v>
      </c>
      <c r="C108" s="222">
        <f t="shared" si="20"/>
        <v>4.93</v>
      </c>
      <c r="D108" s="222">
        <f t="shared" si="21"/>
        <v>5.76</v>
      </c>
    </row>
    <row r="109" spans="2:4">
      <c r="B109" s="222">
        <v>15.6</v>
      </c>
      <c r="C109" s="222">
        <f t="shared" si="20"/>
        <v>4.9160000000000004</v>
      </c>
      <c r="D109" s="222">
        <f t="shared" si="21"/>
        <v>5.7439999999999998</v>
      </c>
    </row>
    <row r="110" spans="2:4">
      <c r="B110" s="222">
        <v>15.7</v>
      </c>
      <c r="C110" s="222">
        <f t="shared" si="20"/>
        <v>4.9020000000000001</v>
      </c>
      <c r="D110" s="222">
        <f t="shared" si="21"/>
        <v>5.7279999999999998</v>
      </c>
    </row>
    <row r="111" spans="2:4">
      <c r="B111" s="222">
        <v>15.8</v>
      </c>
      <c r="C111" s="222">
        <f t="shared" si="20"/>
        <v>4.8879999999999999</v>
      </c>
      <c r="D111" s="222">
        <f t="shared" si="21"/>
        <v>5.7119999999999997</v>
      </c>
    </row>
    <row r="112" spans="2:4">
      <c r="B112" s="222">
        <v>15.9</v>
      </c>
      <c r="C112" s="222">
        <f t="shared" si="20"/>
        <v>4.8740000000000006</v>
      </c>
      <c r="D112" s="222">
        <f t="shared" si="21"/>
        <v>5.6959999999999997</v>
      </c>
    </row>
    <row r="113" spans="2:4" ht="13.15">
      <c r="B113" s="221">
        <v>16</v>
      </c>
      <c r="C113" s="221" t="str">
        <f>Intensity!E14</f>
        <v>4.86</v>
      </c>
      <c r="D113" s="44">
        <v>5.68</v>
      </c>
    </row>
    <row r="114" spans="2:4">
      <c r="B114" s="222">
        <v>16.100000000000001</v>
      </c>
      <c r="C114" s="222">
        <f>C$113-((C$113-C$123)*(B114-B$113))</f>
        <v>4.8470000000000004</v>
      </c>
      <c r="D114" s="222">
        <f>D$113-((D$113-D$123)*(B114-B$113))</f>
        <v>5.6659999999999995</v>
      </c>
    </row>
    <row r="115" spans="2:4">
      <c r="B115" s="222">
        <v>16.2</v>
      </c>
      <c r="C115" s="222">
        <f t="shared" ref="C115:C122" si="22">C$113-((C$113-C$123)*(B115-B$113))</f>
        <v>4.8340000000000005</v>
      </c>
      <c r="D115" s="222">
        <f t="shared" ref="D115:D122" si="23">D$113-((D$113-D$123)*(B115-B$113))</f>
        <v>5.6520000000000001</v>
      </c>
    </row>
    <row r="116" spans="2:4">
      <c r="B116" s="222">
        <v>16.3</v>
      </c>
      <c r="C116" s="222">
        <f t="shared" si="22"/>
        <v>4.8210000000000006</v>
      </c>
      <c r="D116" s="222">
        <f t="shared" si="23"/>
        <v>5.6379999999999999</v>
      </c>
    </row>
    <row r="117" spans="2:4">
      <c r="B117" s="222">
        <v>16.399999999999999</v>
      </c>
      <c r="C117" s="222">
        <f t="shared" si="22"/>
        <v>4.8080000000000007</v>
      </c>
      <c r="D117" s="222">
        <f t="shared" si="23"/>
        <v>5.6239999999999997</v>
      </c>
    </row>
    <row r="118" spans="2:4">
      <c r="B118" s="222">
        <v>16.5</v>
      </c>
      <c r="C118" s="222">
        <f t="shared" si="22"/>
        <v>4.7949999999999999</v>
      </c>
      <c r="D118" s="222">
        <f t="shared" si="23"/>
        <v>5.6099999999999994</v>
      </c>
    </row>
    <row r="119" spans="2:4">
      <c r="B119" s="222">
        <v>16.600000000000001</v>
      </c>
      <c r="C119" s="222">
        <f t="shared" si="22"/>
        <v>4.782</v>
      </c>
      <c r="D119" s="222">
        <f t="shared" si="23"/>
        <v>5.5960000000000001</v>
      </c>
    </row>
    <row r="120" spans="2:4">
      <c r="B120" s="222">
        <v>16.7</v>
      </c>
      <c r="C120" s="222">
        <f t="shared" si="22"/>
        <v>4.7690000000000001</v>
      </c>
      <c r="D120" s="222">
        <f t="shared" si="23"/>
        <v>5.5819999999999999</v>
      </c>
    </row>
    <row r="121" spans="2:4">
      <c r="B121" s="222">
        <v>16.8</v>
      </c>
      <c r="C121" s="222">
        <f t="shared" si="22"/>
        <v>4.7560000000000002</v>
      </c>
      <c r="D121" s="222">
        <f t="shared" si="23"/>
        <v>5.5679999999999996</v>
      </c>
    </row>
    <row r="122" spans="2:4">
      <c r="B122" s="222">
        <v>16.899999999999999</v>
      </c>
      <c r="C122" s="222">
        <f t="shared" si="22"/>
        <v>4.7430000000000003</v>
      </c>
      <c r="D122" s="222">
        <f t="shared" si="23"/>
        <v>5.5540000000000003</v>
      </c>
    </row>
    <row r="123" spans="2:4" ht="13.15">
      <c r="B123" s="221">
        <v>17</v>
      </c>
      <c r="C123" s="223" t="str">
        <f>Intensity!E15</f>
        <v>4.73</v>
      </c>
      <c r="D123" s="44">
        <v>5.54</v>
      </c>
    </row>
    <row r="124" spans="2:4">
      <c r="B124" s="222">
        <v>17.100000000000001</v>
      </c>
      <c r="C124" s="222">
        <f>C$123-((C$123-C$133)*(B124-B$123))</f>
        <v>4.7170000000000005</v>
      </c>
      <c r="D124" s="222">
        <f>D$123-((D$123-D$133)*(B124-B$123))</f>
        <v>5.5259999999999998</v>
      </c>
    </row>
    <row r="125" spans="2:4">
      <c r="B125" s="222">
        <v>17.2</v>
      </c>
      <c r="C125" s="222">
        <f t="shared" ref="C125:C132" si="24">C$123-((C$123-C$133)*(B125-B$123))</f>
        <v>4.7040000000000006</v>
      </c>
      <c r="D125" s="222">
        <f t="shared" ref="D125:D132" si="25">D$123-((D$123-D$133)*(B125-B$123))</f>
        <v>5.5120000000000005</v>
      </c>
    </row>
    <row r="126" spans="2:4">
      <c r="B126" s="222">
        <v>17.3</v>
      </c>
      <c r="C126" s="222">
        <f t="shared" si="24"/>
        <v>4.6909999999999998</v>
      </c>
      <c r="D126" s="222">
        <f t="shared" si="25"/>
        <v>5.4980000000000002</v>
      </c>
    </row>
    <row r="127" spans="2:4">
      <c r="B127" s="222">
        <v>17.399999999999999</v>
      </c>
      <c r="C127" s="222">
        <f t="shared" si="24"/>
        <v>4.6779999999999999</v>
      </c>
      <c r="D127" s="222">
        <f t="shared" si="25"/>
        <v>5.484</v>
      </c>
    </row>
    <row r="128" spans="2:4">
      <c r="B128" s="222">
        <v>17.5</v>
      </c>
      <c r="C128" s="222">
        <f t="shared" si="24"/>
        <v>4.665</v>
      </c>
      <c r="D128" s="222">
        <f t="shared" si="25"/>
        <v>5.4700000000000006</v>
      </c>
    </row>
    <row r="129" spans="2:4">
      <c r="B129" s="222">
        <v>17.600000000000001</v>
      </c>
      <c r="C129" s="222">
        <f t="shared" si="24"/>
        <v>4.6520000000000001</v>
      </c>
      <c r="D129" s="222">
        <f t="shared" si="25"/>
        <v>5.4560000000000004</v>
      </c>
    </row>
    <row r="130" spans="2:4">
      <c r="B130" s="222">
        <v>17.7</v>
      </c>
      <c r="C130" s="222">
        <f t="shared" si="24"/>
        <v>4.6390000000000002</v>
      </c>
      <c r="D130" s="222">
        <f t="shared" si="25"/>
        <v>5.4420000000000002</v>
      </c>
    </row>
    <row r="131" spans="2:4">
      <c r="B131" s="222">
        <v>17.8</v>
      </c>
      <c r="C131" s="222">
        <f t="shared" si="24"/>
        <v>4.6259999999999994</v>
      </c>
      <c r="D131" s="222">
        <f t="shared" si="25"/>
        <v>5.4279999999999999</v>
      </c>
    </row>
    <row r="132" spans="2:4">
      <c r="B132" s="222">
        <v>17.899999999999999</v>
      </c>
      <c r="C132" s="222">
        <f t="shared" si="24"/>
        <v>4.6129999999999995</v>
      </c>
      <c r="D132" s="222">
        <f t="shared" si="25"/>
        <v>5.4140000000000006</v>
      </c>
    </row>
    <row r="133" spans="2:4" ht="13.15">
      <c r="B133" s="221">
        <v>18</v>
      </c>
      <c r="C133" s="221" t="str">
        <f>Intensity!E16</f>
        <v>4.60</v>
      </c>
      <c r="D133" s="44">
        <v>5.4</v>
      </c>
    </row>
    <row r="134" spans="2:4">
      <c r="B134" s="222">
        <v>18.100000000000001</v>
      </c>
      <c r="C134" s="222">
        <f>C$133-((C$133-C$143)*(B134-B$133))</f>
        <v>4.5879999999999992</v>
      </c>
      <c r="D134" s="222">
        <f>D$133-((D$133-D$143)*(B134-B$133))</f>
        <v>5.3860000000000001</v>
      </c>
    </row>
    <row r="135" spans="2:4">
      <c r="B135" s="222">
        <v>18.2</v>
      </c>
      <c r="C135" s="222">
        <f t="shared" ref="C135:C142" si="26">C$133-((C$133-C$143)*(B135-B$133))</f>
        <v>4.5759999999999996</v>
      </c>
      <c r="D135" s="222">
        <f t="shared" ref="D135:D142" si="27">D$133-((D$133-D$143)*(B135-B$133))</f>
        <v>5.3720000000000008</v>
      </c>
    </row>
    <row r="136" spans="2:4">
      <c r="B136" s="222">
        <v>18.3</v>
      </c>
      <c r="C136" s="222">
        <f t="shared" si="26"/>
        <v>4.5640000000000001</v>
      </c>
      <c r="D136" s="222">
        <f t="shared" si="27"/>
        <v>5.3579999999999997</v>
      </c>
    </row>
    <row r="137" spans="2:4">
      <c r="B137" s="222">
        <v>18.399999999999999</v>
      </c>
      <c r="C137" s="222">
        <f t="shared" si="26"/>
        <v>4.5520000000000005</v>
      </c>
      <c r="D137" s="222">
        <f t="shared" si="27"/>
        <v>5.3440000000000003</v>
      </c>
    </row>
    <row r="138" spans="2:4">
      <c r="B138" s="222">
        <v>18.5</v>
      </c>
      <c r="C138" s="222">
        <f t="shared" si="26"/>
        <v>4.54</v>
      </c>
      <c r="D138" s="222">
        <f t="shared" si="27"/>
        <v>5.33</v>
      </c>
    </row>
    <row r="139" spans="2:4">
      <c r="B139" s="222">
        <v>18.600000000000001</v>
      </c>
      <c r="C139" s="222">
        <f t="shared" si="26"/>
        <v>4.5279999999999996</v>
      </c>
      <c r="D139" s="222">
        <f t="shared" si="27"/>
        <v>5.3159999999999998</v>
      </c>
    </row>
    <row r="140" spans="2:4">
      <c r="B140" s="222">
        <v>18.7</v>
      </c>
      <c r="C140" s="222">
        <f t="shared" si="26"/>
        <v>4.516</v>
      </c>
      <c r="D140" s="222">
        <f t="shared" si="27"/>
        <v>5.3020000000000005</v>
      </c>
    </row>
    <row r="141" spans="2:4">
      <c r="B141" s="222">
        <v>18.8</v>
      </c>
      <c r="C141" s="222">
        <f t="shared" si="26"/>
        <v>4.5040000000000004</v>
      </c>
      <c r="D141" s="222">
        <f t="shared" si="27"/>
        <v>5.2879999999999994</v>
      </c>
    </row>
    <row r="142" spans="2:4">
      <c r="B142" s="222">
        <v>18.899999999999999</v>
      </c>
      <c r="C142" s="222">
        <f t="shared" si="26"/>
        <v>4.4920000000000009</v>
      </c>
      <c r="D142" s="222">
        <f t="shared" si="27"/>
        <v>5.274</v>
      </c>
    </row>
    <row r="143" spans="2:4" ht="13.15">
      <c r="B143" s="221">
        <v>19</v>
      </c>
      <c r="C143" s="223" t="str">
        <f>Intensity!E17</f>
        <v>4.48</v>
      </c>
      <c r="D143" s="44">
        <v>5.26</v>
      </c>
    </row>
    <row r="144" spans="2:4">
      <c r="B144" s="222">
        <v>19.100000000000001</v>
      </c>
      <c r="C144" s="222">
        <f>C$143-((C$143-C$153)*(B144-B$143))</f>
        <v>4.4690000000000003</v>
      </c>
      <c r="D144" s="222">
        <f>D$143-((D$143-D$153)*(B144-B$143))</f>
        <v>5.2469999999999999</v>
      </c>
    </row>
    <row r="145" spans="2:4">
      <c r="B145" s="222">
        <v>19.2</v>
      </c>
      <c r="C145" s="222">
        <f t="shared" ref="C145:C152" si="28">C$143-((C$143-C$153)*(B145-B$143))</f>
        <v>4.4580000000000002</v>
      </c>
      <c r="D145" s="222">
        <f t="shared" ref="D145:D152" si="29">D$143-((D$143-D$153)*(B145-B$143))</f>
        <v>5.234</v>
      </c>
    </row>
    <row r="146" spans="2:4">
      <c r="B146" s="222">
        <v>19.3</v>
      </c>
      <c r="C146" s="222">
        <f t="shared" si="28"/>
        <v>4.4470000000000001</v>
      </c>
      <c r="D146" s="222">
        <f t="shared" si="29"/>
        <v>5.2210000000000001</v>
      </c>
    </row>
    <row r="147" spans="2:4">
      <c r="B147" s="222">
        <v>19.399999999999999</v>
      </c>
      <c r="C147" s="222">
        <f t="shared" si="28"/>
        <v>4.4360000000000008</v>
      </c>
      <c r="D147" s="222">
        <f t="shared" si="29"/>
        <v>5.2080000000000002</v>
      </c>
    </row>
    <row r="148" spans="2:4">
      <c r="B148" s="222">
        <v>19.5</v>
      </c>
      <c r="C148" s="222">
        <f t="shared" si="28"/>
        <v>4.4250000000000007</v>
      </c>
      <c r="D148" s="222">
        <f t="shared" si="29"/>
        <v>5.1950000000000003</v>
      </c>
    </row>
    <row r="149" spans="2:4">
      <c r="B149" s="222">
        <v>19.600000000000001</v>
      </c>
      <c r="C149" s="222">
        <f t="shared" si="28"/>
        <v>4.4139999999999997</v>
      </c>
      <c r="D149" s="222">
        <f t="shared" si="29"/>
        <v>5.1819999999999995</v>
      </c>
    </row>
    <row r="150" spans="2:4">
      <c r="B150" s="222">
        <v>19.7</v>
      </c>
      <c r="C150" s="222">
        <f t="shared" si="28"/>
        <v>4.4030000000000005</v>
      </c>
      <c r="D150" s="222">
        <f t="shared" si="29"/>
        <v>5.1689999999999996</v>
      </c>
    </row>
    <row r="151" spans="2:4">
      <c r="B151" s="222">
        <v>19.8</v>
      </c>
      <c r="C151" s="222">
        <f t="shared" si="28"/>
        <v>4.3920000000000003</v>
      </c>
      <c r="D151" s="222">
        <f t="shared" si="29"/>
        <v>5.1559999999999997</v>
      </c>
    </row>
    <row r="152" spans="2:4">
      <c r="B152" s="222">
        <v>19.899999999999999</v>
      </c>
      <c r="C152" s="222">
        <f t="shared" si="28"/>
        <v>4.3810000000000002</v>
      </c>
      <c r="D152" s="222">
        <f t="shared" si="29"/>
        <v>5.1429999999999998</v>
      </c>
    </row>
    <row r="153" spans="2:4" ht="13.15">
      <c r="B153" s="221">
        <v>20</v>
      </c>
      <c r="C153" s="224" t="str">
        <f>Intensity!E18</f>
        <v>4.37</v>
      </c>
      <c r="D153" s="44">
        <v>5.13</v>
      </c>
    </row>
    <row r="154" spans="2:4">
      <c r="B154" s="222">
        <v>20.100000000000001</v>
      </c>
      <c r="C154" s="222">
        <f>C$153-((C$153-C$163)*(B154-B$153))</f>
        <v>4.359</v>
      </c>
      <c r="D154" s="222">
        <f>D$153-((D$153-D$163)*(B154-B$153))</f>
        <v>5.1179999999999994</v>
      </c>
    </row>
    <row r="155" spans="2:4">
      <c r="B155" s="222">
        <v>20.2</v>
      </c>
      <c r="C155" s="222">
        <f t="shared" ref="C155:C162" si="30">C$153-((C$153-C$163)*(B155-B$153))</f>
        <v>4.3479999999999999</v>
      </c>
      <c r="D155" s="222">
        <f t="shared" ref="D155:D162" si="31">D$153-((D$153-D$163)*(B155-B$153))</f>
        <v>5.1059999999999999</v>
      </c>
    </row>
    <row r="156" spans="2:4">
      <c r="B156" s="222">
        <v>20.3</v>
      </c>
      <c r="C156" s="222">
        <f t="shared" si="30"/>
        <v>4.3369999999999997</v>
      </c>
      <c r="D156" s="222">
        <f t="shared" si="31"/>
        <v>5.0939999999999994</v>
      </c>
    </row>
    <row r="157" spans="2:4">
      <c r="B157" s="222">
        <v>20.399999999999999</v>
      </c>
      <c r="C157" s="222">
        <f t="shared" si="30"/>
        <v>4.3260000000000005</v>
      </c>
      <c r="D157" s="222">
        <f t="shared" si="31"/>
        <v>5.0819999999999999</v>
      </c>
    </row>
    <row r="158" spans="2:4">
      <c r="B158" s="222">
        <v>20.5</v>
      </c>
      <c r="C158" s="222">
        <f t="shared" si="30"/>
        <v>4.3149999999999995</v>
      </c>
      <c r="D158" s="222">
        <f t="shared" si="31"/>
        <v>5.07</v>
      </c>
    </row>
    <row r="159" spans="2:4">
      <c r="B159" s="222">
        <v>20.6</v>
      </c>
      <c r="C159" s="222">
        <f t="shared" si="30"/>
        <v>4.3039999999999994</v>
      </c>
      <c r="D159" s="222">
        <f t="shared" si="31"/>
        <v>5.0579999999999998</v>
      </c>
    </row>
    <row r="160" spans="2:4">
      <c r="B160" s="222">
        <v>20.7</v>
      </c>
      <c r="C160" s="222">
        <f t="shared" si="30"/>
        <v>4.2930000000000001</v>
      </c>
      <c r="D160" s="222">
        <f t="shared" si="31"/>
        <v>5.0460000000000003</v>
      </c>
    </row>
    <row r="161" spans="2:4">
      <c r="B161" s="222">
        <v>20.8</v>
      </c>
      <c r="C161" s="222">
        <f t="shared" si="30"/>
        <v>4.282</v>
      </c>
      <c r="D161" s="222">
        <f t="shared" si="31"/>
        <v>5.0339999999999998</v>
      </c>
    </row>
    <row r="162" spans="2:4">
      <c r="B162" s="222">
        <v>20.9</v>
      </c>
      <c r="C162" s="222">
        <f t="shared" si="30"/>
        <v>4.2709999999999999</v>
      </c>
      <c r="D162" s="222">
        <f t="shared" si="31"/>
        <v>5.0220000000000002</v>
      </c>
    </row>
    <row r="163" spans="2:4" ht="13.15">
      <c r="B163" s="221">
        <v>21</v>
      </c>
      <c r="C163" s="223" t="str">
        <f>Intensity!E19</f>
        <v>4.26</v>
      </c>
      <c r="D163" s="44">
        <v>5.01</v>
      </c>
    </row>
    <row r="164" spans="2:4">
      <c r="B164" s="222">
        <v>21.099999999999898</v>
      </c>
      <c r="C164" s="222">
        <f>C$163-((C$163-C$173)*(B164-B$163))</f>
        <v>4.2500000000000098</v>
      </c>
    </row>
    <row r="165" spans="2:4">
      <c r="B165" s="222">
        <v>21.1999999999999</v>
      </c>
      <c r="C165" s="222">
        <f t="shared" ref="C165:C172" si="32">C$163-((C$163-C$173)*(B165-B$163))</f>
        <v>4.24000000000001</v>
      </c>
    </row>
    <row r="166" spans="2:4">
      <c r="B166" s="222">
        <v>21.299999999999901</v>
      </c>
      <c r="C166" s="222">
        <f t="shared" si="32"/>
        <v>4.2300000000000102</v>
      </c>
    </row>
    <row r="167" spans="2:4">
      <c r="B167" s="222">
        <v>21.399999999999899</v>
      </c>
      <c r="C167" s="222">
        <f t="shared" si="32"/>
        <v>4.2200000000000104</v>
      </c>
    </row>
    <row r="168" spans="2:4">
      <c r="B168" s="222">
        <v>21.499999999999901</v>
      </c>
      <c r="C168" s="222">
        <f t="shared" si="32"/>
        <v>4.2100000000000097</v>
      </c>
    </row>
    <row r="169" spans="2:4">
      <c r="B169" s="222">
        <v>21.599999999999898</v>
      </c>
      <c r="C169" s="222">
        <f t="shared" si="32"/>
        <v>4.2000000000000099</v>
      </c>
    </row>
    <row r="170" spans="2:4">
      <c r="B170" s="222">
        <v>21.6999999999999</v>
      </c>
      <c r="C170" s="222">
        <f t="shared" si="32"/>
        <v>4.1900000000000102</v>
      </c>
    </row>
    <row r="171" spans="2:4">
      <c r="B171" s="222">
        <v>21.799999999999901</v>
      </c>
      <c r="C171" s="222">
        <f t="shared" si="32"/>
        <v>4.1800000000000104</v>
      </c>
    </row>
    <row r="172" spans="2:4">
      <c r="B172" s="222">
        <v>21.899999999999899</v>
      </c>
      <c r="C172" s="222">
        <f t="shared" si="32"/>
        <v>4.1700000000000106</v>
      </c>
    </row>
    <row r="173" spans="2:4" ht="13.15">
      <c r="B173" s="221">
        <v>21.999999999999901</v>
      </c>
      <c r="C173" s="223" t="str">
        <f>Intensity!E20</f>
        <v>4.16</v>
      </c>
    </row>
    <row r="174" spans="2:4">
      <c r="B174" s="222">
        <v>22.099999999999898</v>
      </c>
      <c r="C174" s="222">
        <f>C$173-((C$173-C$183)*(B174-B$173))</f>
        <v>4.1500000000000004</v>
      </c>
    </row>
    <row r="175" spans="2:4">
      <c r="B175" s="222">
        <v>22.1999999999999</v>
      </c>
      <c r="C175" s="222">
        <f t="shared" ref="C175:C182" si="33">C$173-((C$173-C$183)*(B175-B$173))</f>
        <v>4.1399999999999997</v>
      </c>
    </row>
    <row r="176" spans="2:4">
      <c r="B176" s="222">
        <v>22.299999999999901</v>
      </c>
      <c r="C176" s="222">
        <f t="shared" si="33"/>
        <v>4.13</v>
      </c>
    </row>
    <row r="177" spans="2:3">
      <c r="B177" s="222">
        <v>22.399999999999899</v>
      </c>
      <c r="C177" s="222">
        <f t="shared" si="33"/>
        <v>4.12</v>
      </c>
    </row>
    <row r="178" spans="2:3">
      <c r="B178" s="222">
        <v>22.499999999999901</v>
      </c>
      <c r="C178" s="222">
        <f t="shared" si="33"/>
        <v>4.1099999999999994</v>
      </c>
    </row>
    <row r="179" spans="2:3">
      <c r="B179" s="222">
        <v>22.599999999999898</v>
      </c>
      <c r="C179" s="222">
        <f t="shared" si="33"/>
        <v>4.0999999999999996</v>
      </c>
    </row>
    <row r="180" spans="2:3">
      <c r="B180" s="222">
        <v>22.6999999999999</v>
      </c>
      <c r="C180" s="222">
        <f t="shared" si="33"/>
        <v>4.09</v>
      </c>
    </row>
    <row r="181" spans="2:3">
      <c r="B181" s="222">
        <v>22.799999999999901</v>
      </c>
      <c r="C181" s="222">
        <f t="shared" si="33"/>
        <v>4.08</v>
      </c>
    </row>
    <row r="182" spans="2:3">
      <c r="B182" s="222">
        <v>22.899999999999899</v>
      </c>
      <c r="C182" s="222">
        <f t="shared" si="33"/>
        <v>4.0699999999999994</v>
      </c>
    </row>
    <row r="183" spans="2:3" ht="13.15">
      <c r="B183" s="221">
        <v>22.999999999999901</v>
      </c>
      <c r="C183" s="223" t="str">
        <f>Intensity!E21</f>
        <v>4.06</v>
      </c>
    </row>
    <row r="184" spans="2:3">
      <c r="B184" s="222">
        <v>23.099999999999898</v>
      </c>
    </row>
    <row r="185" spans="2:3">
      <c r="B185" s="222">
        <v>23.1999999999999</v>
      </c>
    </row>
    <row r="186" spans="2:3">
      <c r="B186" s="222">
        <v>23.299999999999901</v>
      </c>
    </row>
    <row r="187" spans="2:3">
      <c r="B187" s="222">
        <v>23.399999999999899</v>
      </c>
    </row>
    <row r="188" spans="2:3">
      <c r="B188" s="222">
        <v>23.499999999999901</v>
      </c>
    </row>
    <row r="189" spans="2:3">
      <c r="B189" s="222">
        <v>23.599999999999898</v>
      </c>
    </row>
    <row r="190" spans="2:3">
      <c r="B190" s="222">
        <v>23.6999999999999</v>
      </c>
    </row>
    <row r="191" spans="2:3">
      <c r="B191" s="222">
        <v>23.799999999999901</v>
      </c>
    </row>
    <row r="192" spans="2:3">
      <c r="B192" s="222">
        <v>23.899999999999899</v>
      </c>
    </row>
    <row r="193" spans="2:2">
      <c r="B193" s="222">
        <v>23.999999999999901</v>
      </c>
    </row>
    <row r="194" spans="2:2">
      <c r="B194" s="222">
        <v>24.099999999999898</v>
      </c>
    </row>
    <row r="195" spans="2:2">
      <c r="B195" s="222">
        <v>24.1999999999999</v>
      </c>
    </row>
    <row r="196" spans="2:2">
      <c r="B196" s="222">
        <v>24.299999999999901</v>
      </c>
    </row>
    <row r="197" spans="2:2">
      <c r="B197" s="222">
        <v>24.399999999999899</v>
      </c>
    </row>
    <row r="198" spans="2:2">
      <c r="B198" s="222">
        <v>24.499999999999901</v>
      </c>
    </row>
    <row r="199" spans="2:2">
      <c r="B199" s="222">
        <v>24.599999999999898</v>
      </c>
    </row>
    <row r="200" spans="2:2">
      <c r="B200" s="222">
        <v>24.6999999999999</v>
      </c>
    </row>
    <row r="201" spans="2:2">
      <c r="B201" s="222">
        <v>24.799999999999901</v>
      </c>
    </row>
    <row r="202" spans="2:2">
      <c r="B202" s="222">
        <v>24.899999999999899</v>
      </c>
    </row>
    <row r="203" spans="2:2">
      <c r="B203" s="222">
        <v>24.999999999999901</v>
      </c>
    </row>
    <row r="204" spans="2:2">
      <c r="B204" s="222">
        <v>25.099999999999898</v>
      </c>
    </row>
    <row r="205" spans="2:2">
      <c r="B205" s="222">
        <v>25.1999999999999</v>
      </c>
    </row>
    <row r="206" spans="2:2">
      <c r="B206" s="222">
        <v>25.299999999999901</v>
      </c>
    </row>
    <row r="207" spans="2:2">
      <c r="B207" s="222">
        <v>25.399999999999899</v>
      </c>
    </row>
    <row r="208" spans="2:2">
      <c r="B208" s="222">
        <v>25.499999999999901</v>
      </c>
    </row>
    <row r="209" spans="2:2">
      <c r="B209" s="222">
        <v>25.599999999999898</v>
      </c>
    </row>
    <row r="210" spans="2:2">
      <c r="B210" s="222">
        <v>25.6999999999999</v>
      </c>
    </row>
    <row r="211" spans="2:2">
      <c r="B211" s="222">
        <v>25.799999999999901</v>
      </c>
    </row>
    <row r="212" spans="2:2">
      <c r="B212" s="222">
        <v>25.899999999999899</v>
      </c>
    </row>
    <row r="213" spans="2:2">
      <c r="B213" s="222">
        <v>25.999999999999901</v>
      </c>
    </row>
    <row r="214" spans="2:2">
      <c r="B214" s="222">
        <v>26.099999999999898</v>
      </c>
    </row>
    <row r="215" spans="2:2">
      <c r="B215" s="222">
        <v>26.1999999999999</v>
      </c>
    </row>
    <row r="216" spans="2:2">
      <c r="B216" s="222">
        <v>26.299999999999901</v>
      </c>
    </row>
    <row r="217" spans="2:2">
      <c r="B217" s="222">
        <v>26.399999999999899</v>
      </c>
    </row>
    <row r="218" spans="2:2">
      <c r="B218" s="222">
        <v>26.499999999999901</v>
      </c>
    </row>
    <row r="219" spans="2:2">
      <c r="B219" s="222">
        <v>26.599999999999898</v>
      </c>
    </row>
    <row r="220" spans="2:2">
      <c r="B220" s="222">
        <v>26.6999999999999</v>
      </c>
    </row>
    <row r="221" spans="2:2">
      <c r="B221" s="222">
        <v>26.799999999999901</v>
      </c>
    </row>
    <row r="222" spans="2:2">
      <c r="B222" s="222">
        <v>26.899999999999899</v>
      </c>
    </row>
    <row r="223" spans="2:2">
      <c r="B223" s="222">
        <v>26.999999999999901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F2F3-360A-4E00-96C0-43EBD61C60B7}">
  <dimension ref="A1:D92"/>
  <sheetViews>
    <sheetView topLeftCell="A33" workbookViewId="0">
      <selection activeCell="A2" sqref="A2:D92"/>
    </sheetView>
  </sheetViews>
  <sheetFormatPr defaultRowHeight="12.75"/>
  <cols>
    <col min="1" max="1" width="11.59765625" style="220" customWidth="1"/>
    <col min="2" max="2" width="9.1328125" style="220" customWidth="1"/>
    <col min="3" max="3" width="10.3984375" style="220" customWidth="1"/>
    <col min="4" max="4" width="14.59765625" style="220" customWidth="1"/>
    <col min="13" max="13" width="17.3984375" customWidth="1"/>
  </cols>
  <sheetData>
    <row r="1" spans="1:4" s="223" customFormat="1" ht="13.15">
      <c r="A1" s="223" t="s">
        <v>41</v>
      </c>
      <c r="B1" s="223" t="s">
        <v>167</v>
      </c>
      <c r="C1" s="223" t="s">
        <v>411</v>
      </c>
      <c r="D1" s="223" t="s">
        <v>412</v>
      </c>
    </row>
    <row r="2" spans="1:4">
      <c r="A2" s="220">
        <v>0</v>
      </c>
      <c r="B2" s="220">
        <v>0.5</v>
      </c>
      <c r="C2" s="220">
        <v>0.15</v>
      </c>
      <c r="D2" s="220">
        <v>0.01</v>
      </c>
    </row>
    <row r="3" spans="1:4">
      <c r="A3" s="220">
        <v>1</v>
      </c>
      <c r="B3" s="220">
        <v>0.51</v>
      </c>
      <c r="C3" s="220">
        <v>0.16</v>
      </c>
      <c r="D3" s="220">
        <v>0.01</v>
      </c>
    </row>
    <row r="4" spans="1:4">
      <c r="A4" s="220">
        <v>2</v>
      </c>
      <c r="B4" s="220">
        <v>0.52</v>
      </c>
      <c r="C4" s="220">
        <v>0.18</v>
      </c>
      <c r="D4" s="220">
        <v>0.02</v>
      </c>
    </row>
    <row r="5" spans="1:4">
      <c r="A5" s="220">
        <v>3</v>
      </c>
      <c r="B5" s="220">
        <v>0.53</v>
      </c>
      <c r="C5" s="220">
        <v>0.19</v>
      </c>
      <c r="D5" s="220">
        <v>0.02</v>
      </c>
    </row>
    <row r="6" spans="1:4">
      <c r="A6" s="220">
        <v>4</v>
      </c>
      <c r="B6" s="220">
        <v>0.54</v>
      </c>
      <c r="C6" s="220">
        <v>0.2</v>
      </c>
      <c r="D6" s="220">
        <v>0.03</v>
      </c>
    </row>
    <row r="7" spans="1:4">
      <c r="A7" s="220">
        <v>5</v>
      </c>
      <c r="B7" s="220">
        <v>0.54</v>
      </c>
      <c r="C7" s="220">
        <v>0.22</v>
      </c>
      <c r="D7" s="220">
        <v>0.03</v>
      </c>
    </row>
    <row r="8" spans="1:4">
      <c r="A8" s="220">
        <v>6</v>
      </c>
      <c r="B8" s="220">
        <v>0.55000000000000004</v>
      </c>
      <c r="C8" s="220">
        <v>0.22</v>
      </c>
      <c r="D8" s="220">
        <v>0.03</v>
      </c>
    </row>
    <row r="9" spans="1:4">
      <c r="A9" s="220">
        <v>7</v>
      </c>
      <c r="B9" s="220">
        <v>0.56000000000000005</v>
      </c>
      <c r="C9" s="220">
        <v>0.24</v>
      </c>
      <c r="D9" s="220">
        <v>0.04</v>
      </c>
    </row>
    <row r="10" spans="1:4">
      <c r="A10" s="220">
        <v>8</v>
      </c>
      <c r="B10" s="220">
        <v>0.56999999999999995</v>
      </c>
      <c r="C10" s="220">
        <v>0.26</v>
      </c>
      <c r="D10" s="220">
        <v>0.05</v>
      </c>
    </row>
    <row r="11" spans="1:4">
      <c r="A11" s="220">
        <v>9</v>
      </c>
      <c r="B11" s="220">
        <v>0.57999999999999996</v>
      </c>
      <c r="C11" s="220">
        <v>0.27</v>
      </c>
      <c r="D11" s="220">
        <v>0.05</v>
      </c>
    </row>
    <row r="12" spans="1:4">
      <c r="A12" s="220">
        <v>10</v>
      </c>
      <c r="B12" s="220">
        <v>0.59</v>
      </c>
      <c r="C12" s="220">
        <v>0.28000000000000003</v>
      </c>
      <c r="D12" s="220">
        <v>0.06</v>
      </c>
    </row>
    <row r="13" spans="1:4">
      <c r="A13" s="220">
        <v>11</v>
      </c>
      <c r="B13" s="222">
        <v>0.6</v>
      </c>
      <c r="C13" s="220">
        <v>0.3</v>
      </c>
      <c r="D13" s="220">
        <v>0.06</v>
      </c>
    </row>
    <row r="14" spans="1:4">
      <c r="A14" s="220">
        <v>12</v>
      </c>
      <c r="B14" s="220">
        <v>0.61</v>
      </c>
      <c r="C14" s="220">
        <v>0.31</v>
      </c>
      <c r="D14" s="220">
        <v>7.0000000000000007E-2</v>
      </c>
    </row>
    <row r="15" spans="1:4">
      <c r="A15" s="220">
        <v>13</v>
      </c>
      <c r="B15" s="220">
        <v>0.62</v>
      </c>
      <c r="C15" s="220">
        <v>0.34</v>
      </c>
      <c r="D15" s="220">
        <v>7.0000000000000007E-2</v>
      </c>
    </row>
    <row r="16" spans="1:4">
      <c r="A16" s="220">
        <v>14</v>
      </c>
      <c r="B16" s="220">
        <v>0.62</v>
      </c>
      <c r="C16" s="220">
        <v>0.34</v>
      </c>
      <c r="D16" s="220">
        <v>7.0000000000000007E-2</v>
      </c>
    </row>
    <row r="17" spans="1:4">
      <c r="A17" s="220">
        <v>15</v>
      </c>
      <c r="B17" s="220">
        <v>0.63</v>
      </c>
      <c r="C17" s="220">
        <v>0.35</v>
      </c>
      <c r="D17" s="220">
        <v>0.08</v>
      </c>
    </row>
    <row r="18" spans="1:4">
      <c r="A18" s="220">
        <v>16</v>
      </c>
      <c r="B18" s="220">
        <v>0.64</v>
      </c>
      <c r="C18" s="220">
        <v>0.36</v>
      </c>
      <c r="D18" s="220">
        <v>0.08</v>
      </c>
    </row>
    <row r="19" spans="1:4">
      <c r="A19" s="220">
        <v>17</v>
      </c>
      <c r="B19" s="220">
        <v>0.65</v>
      </c>
      <c r="C19" s="220">
        <v>0.38</v>
      </c>
      <c r="D19" s="220">
        <v>0.09</v>
      </c>
    </row>
    <row r="20" spans="1:4">
      <c r="A20" s="220">
        <v>18</v>
      </c>
      <c r="B20" s="220">
        <v>0.66</v>
      </c>
      <c r="C20" s="220">
        <v>0.39</v>
      </c>
      <c r="D20" s="220">
        <v>0.09</v>
      </c>
    </row>
    <row r="21" spans="1:4">
      <c r="A21" s="220">
        <v>19</v>
      </c>
      <c r="B21" s="220">
        <v>0.67</v>
      </c>
      <c r="C21" s="220">
        <v>0.4</v>
      </c>
      <c r="D21" s="220">
        <v>0.09</v>
      </c>
    </row>
    <row r="22" spans="1:4">
      <c r="A22" s="220">
        <v>20</v>
      </c>
      <c r="B22" s="220">
        <v>0.68</v>
      </c>
      <c r="C22" s="220">
        <v>0.42</v>
      </c>
      <c r="D22" s="220">
        <v>0.1</v>
      </c>
    </row>
    <row r="23" spans="1:4">
      <c r="A23" s="220">
        <v>21</v>
      </c>
      <c r="B23" s="220">
        <v>0.69</v>
      </c>
      <c r="C23" s="220">
        <v>0.43</v>
      </c>
      <c r="D23" s="220">
        <v>0.1</v>
      </c>
    </row>
    <row r="24" spans="1:4">
      <c r="A24" s="220">
        <v>22</v>
      </c>
      <c r="B24" s="220">
        <v>0.7</v>
      </c>
      <c r="C24" s="220">
        <v>0.44</v>
      </c>
      <c r="D24" s="220">
        <v>0.11</v>
      </c>
    </row>
    <row r="25" spans="1:4">
      <c r="A25" s="220">
        <v>23</v>
      </c>
      <c r="B25" s="220">
        <v>0.71</v>
      </c>
      <c r="C25" s="220">
        <v>0.46</v>
      </c>
      <c r="D25" s="220">
        <v>0.11</v>
      </c>
    </row>
    <row r="26" spans="1:4">
      <c r="A26" s="220">
        <v>24</v>
      </c>
      <c r="B26" s="220">
        <v>0.73</v>
      </c>
      <c r="C26" s="220">
        <v>0.47</v>
      </c>
      <c r="D26" s="220">
        <v>0.11</v>
      </c>
    </row>
    <row r="27" spans="1:4">
      <c r="A27" s="220">
        <v>25</v>
      </c>
      <c r="B27" s="220">
        <v>0.74</v>
      </c>
      <c r="C27" s="220">
        <v>0.48</v>
      </c>
      <c r="D27" s="220">
        <v>0.12</v>
      </c>
    </row>
    <row r="28" spans="1:4">
      <c r="A28" s="220">
        <v>26</v>
      </c>
      <c r="B28" s="220">
        <v>0.76</v>
      </c>
      <c r="C28" s="220">
        <v>0.5</v>
      </c>
      <c r="D28" s="220">
        <v>0.12</v>
      </c>
    </row>
    <row r="29" spans="1:4">
      <c r="A29" s="220">
        <v>27</v>
      </c>
      <c r="B29" s="220">
        <v>0.78</v>
      </c>
      <c r="C29" s="220">
        <v>0.51</v>
      </c>
      <c r="D29" s="220">
        <v>0.13</v>
      </c>
    </row>
    <row r="30" spans="1:4">
      <c r="A30" s="220">
        <v>28</v>
      </c>
      <c r="B30" s="220">
        <v>0.8</v>
      </c>
      <c r="C30" s="220">
        <v>0.52</v>
      </c>
      <c r="D30" s="220">
        <v>0.13</v>
      </c>
    </row>
    <row r="31" spans="1:4">
      <c r="A31" s="220">
        <v>29</v>
      </c>
      <c r="B31" s="220">
        <v>0.82</v>
      </c>
      <c r="C31" s="220">
        <v>0.54</v>
      </c>
      <c r="D31" s="220">
        <v>0.13</v>
      </c>
    </row>
    <row r="32" spans="1:4">
      <c r="A32" s="220">
        <v>30</v>
      </c>
      <c r="B32" s="220">
        <v>0.83</v>
      </c>
      <c r="C32" s="220">
        <v>0.55000000000000004</v>
      </c>
      <c r="D32" s="220">
        <v>0.14000000000000001</v>
      </c>
    </row>
    <row r="33" spans="1:4">
      <c r="A33" s="220">
        <v>31</v>
      </c>
      <c r="B33" s="220">
        <v>0.85</v>
      </c>
      <c r="C33" s="220">
        <v>0.56000000000000005</v>
      </c>
      <c r="D33" s="220">
        <v>0.14000000000000001</v>
      </c>
    </row>
    <row r="34" spans="1:4">
      <c r="A34" s="220">
        <v>32</v>
      </c>
      <c r="B34" s="220">
        <v>0.87</v>
      </c>
      <c r="C34" s="220">
        <v>0.57999999999999996</v>
      </c>
      <c r="D34" s="220">
        <v>0.14000000000000001</v>
      </c>
    </row>
    <row r="35" spans="1:4">
      <c r="A35" s="220">
        <v>33</v>
      </c>
      <c r="B35" s="220">
        <v>0.89</v>
      </c>
      <c r="C35" s="220">
        <v>0.59</v>
      </c>
      <c r="D35" s="220">
        <v>0.14000000000000001</v>
      </c>
    </row>
    <row r="36" spans="1:4">
      <c r="A36" s="220">
        <v>34</v>
      </c>
      <c r="B36" s="220">
        <v>0.9</v>
      </c>
      <c r="C36" s="220">
        <v>0.6</v>
      </c>
      <c r="D36" s="220">
        <v>0.14000000000000001</v>
      </c>
    </row>
    <row r="37" spans="1:4">
      <c r="A37" s="220">
        <v>35</v>
      </c>
      <c r="B37" s="220">
        <v>0.92</v>
      </c>
      <c r="C37" s="220">
        <v>0.62</v>
      </c>
      <c r="D37" s="220">
        <v>0.15</v>
      </c>
    </row>
    <row r="38" spans="1:4">
      <c r="A38" s="220">
        <v>36</v>
      </c>
      <c r="B38" s="220">
        <v>0.94</v>
      </c>
      <c r="C38" s="220">
        <v>0.63</v>
      </c>
      <c r="D38" s="220">
        <v>0.15</v>
      </c>
    </row>
    <row r="39" spans="1:4">
      <c r="A39" s="220">
        <v>37</v>
      </c>
      <c r="B39" s="220">
        <v>0.96</v>
      </c>
      <c r="C39" s="220">
        <v>0.64</v>
      </c>
      <c r="D39" s="220">
        <v>0.16</v>
      </c>
    </row>
    <row r="40" spans="1:4">
      <c r="A40" s="220">
        <v>38</v>
      </c>
      <c r="B40" s="220">
        <v>0.98</v>
      </c>
      <c r="C40" s="220">
        <v>0.66</v>
      </c>
      <c r="D40" s="220">
        <v>0.16</v>
      </c>
    </row>
    <row r="41" spans="1:4">
      <c r="A41" s="220">
        <v>39</v>
      </c>
      <c r="B41" s="220">
        <v>0.99</v>
      </c>
      <c r="C41" s="220">
        <v>0.67</v>
      </c>
      <c r="D41" s="220">
        <v>0.16</v>
      </c>
    </row>
    <row r="42" spans="1:4">
      <c r="A42" s="220">
        <v>40</v>
      </c>
      <c r="B42" s="220">
        <v>1.01</v>
      </c>
      <c r="C42" s="220">
        <v>0.68</v>
      </c>
      <c r="D42" s="220">
        <v>0.17</v>
      </c>
    </row>
    <row r="43" spans="1:4">
      <c r="A43" s="220">
        <v>41</v>
      </c>
      <c r="B43" s="220">
        <v>1.03</v>
      </c>
      <c r="C43" s="220">
        <v>0.7</v>
      </c>
      <c r="D43" s="220">
        <v>0.17</v>
      </c>
    </row>
    <row r="44" spans="1:4">
      <c r="A44" s="220">
        <v>42</v>
      </c>
      <c r="B44" s="220">
        <v>1.05</v>
      </c>
      <c r="C44" s="220">
        <v>0.71</v>
      </c>
      <c r="D44" s="220">
        <v>0.17</v>
      </c>
    </row>
    <row r="45" spans="1:4">
      <c r="A45" s="220">
        <v>43</v>
      </c>
      <c r="B45" s="220">
        <v>1.06</v>
      </c>
      <c r="C45" s="220">
        <v>0.72</v>
      </c>
      <c r="D45" s="220">
        <v>0.17</v>
      </c>
    </row>
    <row r="46" spans="1:4">
      <c r="A46" s="220">
        <v>44</v>
      </c>
      <c r="B46" s="220">
        <v>1.08</v>
      </c>
      <c r="C46" s="220">
        <v>0.74</v>
      </c>
      <c r="D46" s="220">
        <v>0.18</v>
      </c>
    </row>
    <row r="47" spans="1:4">
      <c r="A47" s="220">
        <v>45</v>
      </c>
      <c r="B47" s="220">
        <v>1.1000000000000001</v>
      </c>
      <c r="C47" s="220">
        <v>0.75</v>
      </c>
      <c r="D47" s="220">
        <v>0.18</v>
      </c>
    </row>
    <row r="48" spans="1:4">
      <c r="A48" s="220">
        <v>46</v>
      </c>
      <c r="B48" s="220">
        <v>1.1100000000000001</v>
      </c>
      <c r="C48" s="220">
        <v>0.76</v>
      </c>
      <c r="D48" s="220">
        <v>0.18</v>
      </c>
    </row>
    <row r="49" spans="1:4">
      <c r="A49" s="220">
        <v>47</v>
      </c>
      <c r="B49" s="220">
        <v>1.1200000000000001</v>
      </c>
      <c r="C49" s="220">
        <v>0.76</v>
      </c>
      <c r="D49" s="220">
        <v>0.19</v>
      </c>
    </row>
    <row r="50" spans="1:4">
      <c r="A50" s="220">
        <v>48</v>
      </c>
      <c r="B50" s="220">
        <v>1.1299999999999999</v>
      </c>
      <c r="C50" s="220">
        <v>0.77</v>
      </c>
      <c r="D50" s="220">
        <v>0.19</v>
      </c>
    </row>
    <row r="51" spans="1:4">
      <c r="A51" s="220">
        <v>49</v>
      </c>
      <c r="B51" s="220">
        <v>1.1399999999999999</v>
      </c>
      <c r="C51" s="220">
        <v>0.78</v>
      </c>
      <c r="D51" s="220">
        <v>0.19</v>
      </c>
    </row>
    <row r="52" spans="1:4">
      <c r="A52" s="220">
        <v>50</v>
      </c>
      <c r="B52" s="220">
        <v>1.1499999999999999</v>
      </c>
      <c r="C52" s="220">
        <v>0.78</v>
      </c>
      <c r="D52" s="220">
        <v>0.19</v>
      </c>
    </row>
    <row r="53" spans="1:4">
      <c r="A53" s="220">
        <v>51</v>
      </c>
      <c r="B53" s="220">
        <v>1.1599999999999999</v>
      </c>
      <c r="C53" s="220">
        <v>0.79</v>
      </c>
      <c r="D53" s="220">
        <v>0.19</v>
      </c>
    </row>
    <row r="54" spans="1:4">
      <c r="A54" s="220">
        <v>52</v>
      </c>
      <c r="B54" s="220">
        <v>1.17</v>
      </c>
      <c r="C54" s="220">
        <v>0.8</v>
      </c>
      <c r="D54" s="220">
        <v>0.19</v>
      </c>
    </row>
    <row r="55" spans="1:4">
      <c r="A55" s="220">
        <v>53</v>
      </c>
      <c r="B55" s="220">
        <v>1.18</v>
      </c>
      <c r="C55" s="220">
        <v>0.8</v>
      </c>
      <c r="D55" s="220">
        <v>0.19</v>
      </c>
    </row>
    <row r="56" spans="1:4">
      <c r="A56" s="220">
        <v>54</v>
      </c>
      <c r="B56" s="220">
        <v>1.19</v>
      </c>
      <c r="C56" s="220">
        <v>0.81</v>
      </c>
      <c r="D56" s="220">
        <v>0.2</v>
      </c>
    </row>
    <row r="57" spans="1:4">
      <c r="A57" s="220">
        <v>55</v>
      </c>
      <c r="B57" s="220">
        <v>1.2</v>
      </c>
      <c r="C57" s="220">
        <v>0.82</v>
      </c>
      <c r="D57" s="220">
        <v>0.2</v>
      </c>
    </row>
    <row r="58" spans="1:4">
      <c r="A58" s="220">
        <v>56</v>
      </c>
      <c r="B58" s="220">
        <v>1.21</v>
      </c>
      <c r="C58" s="220">
        <v>0.82</v>
      </c>
      <c r="D58" s="220">
        <v>0.2</v>
      </c>
    </row>
    <row r="59" spans="1:4">
      <c r="A59" s="220">
        <v>57</v>
      </c>
      <c r="B59" s="220">
        <v>1.22</v>
      </c>
      <c r="C59" s="220">
        <v>0.83</v>
      </c>
      <c r="D59" s="220">
        <v>0.2</v>
      </c>
    </row>
    <row r="60" spans="1:4">
      <c r="A60" s="220">
        <v>58</v>
      </c>
      <c r="B60" s="220">
        <v>1.23</v>
      </c>
      <c r="C60" s="220">
        <v>0.84</v>
      </c>
      <c r="D60" s="220">
        <v>0.2</v>
      </c>
    </row>
    <row r="61" spans="1:4">
      <c r="A61" s="220">
        <v>59</v>
      </c>
      <c r="B61" s="220">
        <v>1.24</v>
      </c>
      <c r="C61" s="220">
        <v>0.84</v>
      </c>
      <c r="D61" s="220">
        <v>0.2</v>
      </c>
    </row>
    <row r="62" spans="1:4">
      <c r="A62" s="220">
        <v>60</v>
      </c>
      <c r="B62" s="220">
        <v>1.25</v>
      </c>
      <c r="C62" s="220">
        <v>0.85</v>
      </c>
      <c r="D62" s="220">
        <v>0.2</v>
      </c>
    </row>
    <row r="63" spans="1:4">
      <c r="A63" s="220">
        <v>61</v>
      </c>
      <c r="B63" s="220">
        <v>1.26</v>
      </c>
      <c r="C63" s="220">
        <v>0.85</v>
      </c>
      <c r="D63" s="220">
        <v>0.2</v>
      </c>
    </row>
    <row r="64" spans="1:4">
      <c r="A64" s="220">
        <v>62</v>
      </c>
      <c r="B64" s="220">
        <v>1.27</v>
      </c>
      <c r="C64" s="220">
        <v>0.86</v>
      </c>
      <c r="D64" s="220">
        <v>0.2</v>
      </c>
    </row>
    <row r="65" spans="1:4">
      <c r="A65" s="220">
        <v>63</v>
      </c>
      <c r="B65" s="220">
        <v>1.27</v>
      </c>
      <c r="C65" s="220">
        <v>0.86</v>
      </c>
      <c r="D65" s="220">
        <v>0.2</v>
      </c>
    </row>
    <row r="66" spans="1:4">
      <c r="A66" s="220">
        <v>64</v>
      </c>
      <c r="B66" s="220">
        <v>1.28</v>
      </c>
      <c r="C66" s="220">
        <v>0.87</v>
      </c>
      <c r="D66" s="220">
        <v>0.2</v>
      </c>
    </row>
    <row r="67" spans="1:4">
      <c r="A67" s="220">
        <v>65</v>
      </c>
      <c r="B67" s="220">
        <v>1.29</v>
      </c>
      <c r="C67" s="220">
        <v>0.87</v>
      </c>
      <c r="D67" s="220">
        <v>0.2</v>
      </c>
    </row>
    <row r="68" spans="1:4">
      <c r="A68" s="220">
        <v>66</v>
      </c>
      <c r="B68" s="220">
        <v>1.3</v>
      </c>
      <c r="C68" s="220">
        <v>0.88</v>
      </c>
      <c r="D68" s="220">
        <v>0.21</v>
      </c>
    </row>
    <row r="69" spans="1:4">
      <c r="A69" s="220">
        <v>67</v>
      </c>
      <c r="B69" s="220">
        <v>1.31</v>
      </c>
      <c r="C69" s="220">
        <v>0.88</v>
      </c>
      <c r="D69" s="220">
        <v>0.21</v>
      </c>
    </row>
    <row r="70" spans="1:4">
      <c r="A70" s="220">
        <v>68</v>
      </c>
      <c r="B70" s="220">
        <v>1.32</v>
      </c>
      <c r="C70" s="220">
        <v>0.89</v>
      </c>
      <c r="D70" s="220">
        <v>0.21</v>
      </c>
    </row>
    <row r="71" spans="1:4">
      <c r="A71" s="220">
        <v>69</v>
      </c>
      <c r="B71" s="220">
        <v>1.32</v>
      </c>
      <c r="C71" s="220">
        <v>0.89</v>
      </c>
      <c r="D71" s="220">
        <v>0.21</v>
      </c>
    </row>
    <row r="72" spans="1:4">
      <c r="A72" s="220">
        <v>70</v>
      </c>
      <c r="B72" s="220">
        <v>1.33</v>
      </c>
      <c r="C72" s="220">
        <v>0.9</v>
      </c>
      <c r="D72" s="220">
        <v>0.21</v>
      </c>
    </row>
    <row r="73" spans="1:4">
      <c r="A73" s="220">
        <v>71</v>
      </c>
      <c r="B73" s="220">
        <v>1.34</v>
      </c>
      <c r="C73" s="220">
        <v>0.91</v>
      </c>
      <c r="D73" s="220">
        <v>0.21</v>
      </c>
    </row>
    <row r="74" spans="1:4">
      <c r="A74" s="220">
        <v>72</v>
      </c>
      <c r="B74" s="220">
        <v>1.35</v>
      </c>
      <c r="C74" s="220">
        <v>0.91</v>
      </c>
      <c r="D74" s="220">
        <v>0.21</v>
      </c>
    </row>
    <row r="75" spans="1:4">
      <c r="A75" s="220">
        <v>73</v>
      </c>
      <c r="B75" s="220">
        <v>1.36</v>
      </c>
      <c r="C75" s="220">
        <v>0.91</v>
      </c>
      <c r="D75" s="220">
        <v>0.21</v>
      </c>
    </row>
    <row r="76" spans="1:4">
      <c r="A76" s="220">
        <v>74</v>
      </c>
      <c r="B76" s="220">
        <v>1.37</v>
      </c>
      <c r="C76" s="220">
        <v>0.92</v>
      </c>
      <c r="D76" s="220">
        <v>0.22</v>
      </c>
    </row>
    <row r="77" spans="1:4">
      <c r="A77" s="220">
        <v>75</v>
      </c>
      <c r="B77" s="220">
        <v>1.37</v>
      </c>
      <c r="C77" s="220">
        <v>0.92</v>
      </c>
      <c r="D77" s="220">
        <v>0.22</v>
      </c>
    </row>
    <row r="78" spans="1:4">
      <c r="A78" s="220">
        <v>76</v>
      </c>
      <c r="B78" s="220">
        <v>1.38</v>
      </c>
      <c r="C78" s="220">
        <v>0.93</v>
      </c>
      <c r="D78" s="220">
        <v>0.22</v>
      </c>
    </row>
    <row r="79" spans="1:4">
      <c r="A79" s="220">
        <v>77</v>
      </c>
      <c r="B79" s="220">
        <v>1.39</v>
      </c>
      <c r="C79" s="220">
        <v>0.93</v>
      </c>
      <c r="D79" s="220">
        <v>0.22</v>
      </c>
    </row>
    <row r="80" spans="1:4">
      <c r="A80" s="220">
        <v>78</v>
      </c>
      <c r="B80" s="220">
        <v>1.4</v>
      </c>
      <c r="C80" s="220">
        <v>0.94</v>
      </c>
      <c r="D80" s="220">
        <v>0.22</v>
      </c>
    </row>
    <row r="81" spans="1:4">
      <c r="A81" s="220">
        <v>79</v>
      </c>
      <c r="B81" s="220">
        <v>1.41</v>
      </c>
      <c r="C81" s="220">
        <v>0.94</v>
      </c>
      <c r="D81" s="220">
        <v>0.22</v>
      </c>
    </row>
    <row r="82" spans="1:4">
      <c r="A82" s="220">
        <v>80</v>
      </c>
      <c r="B82" s="220">
        <v>1.42</v>
      </c>
      <c r="C82" s="220">
        <v>0.95</v>
      </c>
      <c r="D82" s="220">
        <v>0.23</v>
      </c>
    </row>
    <row r="83" spans="1:4">
      <c r="A83" s="220">
        <v>81</v>
      </c>
      <c r="B83" s="220">
        <v>1.42</v>
      </c>
      <c r="C83" s="220">
        <v>0.95</v>
      </c>
      <c r="D83" s="220">
        <v>0.23</v>
      </c>
    </row>
    <row r="84" spans="1:4">
      <c r="A84" s="220">
        <v>82</v>
      </c>
      <c r="B84" s="220">
        <v>1.43</v>
      </c>
      <c r="C84" s="220">
        <v>0.96</v>
      </c>
      <c r="D84" s="220">
        <v>0.23</v>
      </c>
    </row>
    <row r="85" spans="1:4">
      <c r="A85" s="220">
        <v>83</v>
      </c>
      <c r="B85" s="220">
        <v>1.44</v>
      </c>
      <c r="C85" s="220">
        <v>0.96</v>
      </c>
      <c r="D85" s="220">
        <v>0.23</v>
      </c>
    </row>
    <row r="86" spans="1:4">
      <c r="A86" s="220">
        <v>84</v>
      </c>
      <c r="B86" s="220">
        <v>1.45</v>
      </c>
      <c r="C86" s="220">
        <v>0.97</v>
      </c>
      <c r="D86" s="220">
        <v>0.24</v>
      </c>
    </row>
    <row r="87" spans="1:4">
      <c r="A87" s="220">
        <v>85</v>
      </c>
      <c r="B87" s="220">
        <v>1.46</v>
      </c>
      <c r="C87" s="220">
        <v>0.97</v>
      </c>
      <c r="D87" s="220">
        <v>0.24</v>
      </c>
    </row>
    <row r="88" spans="1:4">
      <c r="A88" s="220">
        <v>86</v>
      </c>
      <c r="B88" s="220">
        <v>1.47</v>
      </c>
      <c r="C88" s="220">
        <v>0.98</v>
      </c>
      <c r="D88" s="220">
        <v>0.24</v>
      </c>
    </row>
    <row r="89" spans="1:4">
      <c r="A89" s="220">
        <v>87</v>
      </c>
      <c r="B89" s="220">
        <v>1.47</v>
      </c>
      <c r="C89" s="220">
        <v>0.98</v>
      </c>
      <c r="D89" s="220">
        <v>0.24</v>
      </c>
    </row>
    <row r="90" spans="1:4">
      <c r="A90" s="220">
        <v>88</v>
      </c>
      <c r="B90" s="220">
        <v>1.49</v>
      </c>
      <c r="C90" s="220">
        <v>0.99</v>
      </c>
      <c r="D90" s="220">
        <v>0.25</v>
      </c>
    </row>
    <row r="91" spans="1:4">
      <c r="A91" s="220">
        <v>89</v>
      </c>
      <c r="B91" s="220">
        <v>1.49</v>
      </c>
      <c r="C91" s="220">
        <v>0.99</v>
      </c>
      <c r="D91" s="220">
        <v>0.25</v>
      </c>
    </row>
    <row r="92" spans="1:4">
      <c r="A92" s="220">
        <v>90</v>
      </c>
      <c r="B92" s="220">
        <v>1.5</v>
      </c>
      <c r="C92" s="220">
        <v>1</v>
      </c>
      <c r="D92" s="220">
        <v>0.25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workbookViewId="0">
      <selection activeCell="C14" sqref="C14"/>
    </sheetView>
  </sheetViews>
  <sheetFormatPr defaultColWidth="11.59765625" defaultRowHeight="12.75"/>
  <cols>
    <col min="1" max="1" width="11.1328125" style="43" customWidth="1"/>
    <col min="2" max="2" width="9.265625" style="43" customWidth="1"/>
    <col min="3" max="3" width="12.1328125" style="43" customWidth="1"/>
    <col min="4" max="4" width="14.3984375" style="43" customWidth="1"/>
    <col min="5" max="16384" width="11.59765625" style="43"/>
  </cols>
  <sheetData>
    <row r="1" spans="1:13" ht="15">
      <c r="A1" s="42" t="s">
        <v>156</v>
      </c>
      <c r="B1" s="42" t="s">
        <v>47</v>
      </c>
      <c r="C1" s="42" t="s">
        <v>157</v>
      </c>
      <c r="D1" s="42" t="s">
        <v>158</v>
      </c>
      <c r="H1" s="44" t="s">
        <v>159</v>
      </c>
      <c r="I1" s="44" t="s">
        <v>160</v>
      </c>
      <c r="L1" s="43" t="s">
        <v>161</v>
      </c>
      <c r="M1" s="43" t="s">
        <v>162</v>
      </c>
    </row>
    <row r="2" spans="1:13" ht="15">
      <c r="A2" s="248">
        <v>15</v>
      </c>
      <c r="B2" s="45">
        <v>1.23</v>
      </c>
      <c r="C2" s="45">
        <v>3.93</v>
      </c>
      <c r="D2" s="45">
        <f t="shared" ref="D2:D15" si="0">(B2/C2)</f>
        <v>0.31297709923664119</v>
      </c>
      <c r="H2" s="43">
        <v>0.05</v>
      </c>
      <c r="I2" s="43">
        <v>3.4000000000000002E-2</v>
      </c>
      <c r="L2" s="43">
        <v>0.8</v>
      </c>
      <c r="M2" s="43">
        <v>0.85</v>
      </c>
    </row>
    <row r="3" spans="1:13" ht="15">
      <c r="A3" s="248">
        <v>18</v>
      </c>
      <c r="B3" s="45">
        <v>1.77</v>
      </c>
      <c r="C3" s="45">
        <v>4.71</v>
      </c>
      <c r="D3" s="45">
        <f t="shared" si="0"/>
        <v>0.37579617834394907</v>
      </c>
      <c r="H3" s="43">
        <v>5.5E-2</v>
      </c>
      <c r="I3" s="43">
        <v>3.7499999999999999E-2</v>
      </c>
      <c r="L3" s="43">
        <v>0.81</v>
      </c>
      <c r="M3" s="43">
        <v>0.86</v>
      </c>
    </row>
    <row r="4" spans="1:13" ht="15">
      <c r="A4" s="248">
        <v>21</v>
      </c>
      <c r="B4" s="45">
        <v>2.41</v>
      </c>
      <c r="C4" s="45">
        <v>5.5</v>
      </c>
      <c r="D4" s="45">
        <f t="shared" si="0"/>
        <v>0.43818181818181823</v>
      </c>
      <c r="F4" s="43" t="s">
        <v>163</v>
      </c>
      <c r="H4" s="43">
        <v>0.06</v>
      </c>
      <c r="I4" s="43">
        <v>4.1000000000000002E-2</v>
      </c>
      <c r="L4" s="43">
        <v>0.82</v>
      </c>
      <c r="M4" s="43">
        <v>0.87</v>
      </c>
    </row>
    <row r="5" spans="1:13" ht="15">
      <c r="A5" s="248">
        <v>24</v>
      </c>
      <c r="B5" s="45">
        <v>3.14</v>
      </c>
      <c r="C5" s="45">
        <v>6.28</v>
      </c>
      <c r="D5" s="45">
        <f t="shared" si="0"/>
        <v>0.5</v>
      </c>
      <c r="H5" s="43">
        <v>7.0000000000000007E-2</v>
      </c>
      <c r="I5" s="43">
        <v>4.7500000000000001E-2</v>
      </c>
      <c r="L5" s="43">
        <v>0.83</v>
      </c>
      <c r="M5" s="43">
        <v>0.88</v>
      </c>
    </row>
    <row r="6" spans="1:13" ht="15">
      <c r="A6" s="248">
        <v>27</v>
      </c>
      <c r="B6" s="45">
        <v>3.97</v>
      </c>
      <c r="C6" s="45">
        <v>7.07</v>
      </c>
      <c r="D6" s="45">
        <f t="shared" si="0"/>
        <v>0.56152758132956149</v>
      </c>
      <c r="H6" s="43">
        <v>0.08</v>
      </c>
      <c r="I6" s="43">
        <v>5.2999999999999999E-2</v>
      </c>
      <c r="L6" s="43">
        <v>0.84</v>
      </c>
      <c r="M6" s="43">
        <v>0.89</v>
      </c>
    </row>
    <row r="7" spans="1:13" ht="15">
      <c r="A7" s="248">
        <v>30</v>
      </c>
      <c r="B7" s="45">
        <v>4.91</v>
      </c>
      <c r="C7" s="45">
        <v>7.85</v>
      </c>
      <c r="D7" s="45">
        <f t="shared" si="0"/>
        <v>0.62547770700636951</v>
      </c>
      <c r="H7" s="43">
        <v>0.09</v>
      </c>
      <c r="I7" s="43">
        <v>0.06</v>
      </c>
      <c r="L7" s="43">
        <v>0.85</v>
      </c>
      <c r="M7" s="43">
        <v>0.9</v>
      </c>
    </row>
    <row r="8" spans="1:13" ht="15">
      <c r="A8" s="248">
        <v>33</v>
      </c>
      <c r="B8" s="45">
        <v>5.94</v>
      </c>
      <c r="C8" s="45">
        <v>8.6300000000000008</v>
      </c>
      <c r="D8" s="45">
        <f t="shared" si="0"/>
        <v>0.6882966396292004</v>
      </c>
      <c r="H8" s="43">
        <v>0.1</v>
      </c>
      <c r="I8" s="43">
        <v>6.7000000000000004E-2</v>
      </c>
      <c r="L8" s="43">
        <v>0.86</v>
      </c>
      <c r="M8" s="43">
        <v>0.91</v>
      </c>
    </row>
    <row r="9" spans="1:13" ht="15">
      <c r="A9" s="248">
        <v>36</v>
      </c>
      <c r="B9" s="45">
        <v>7.07</v>
      </c>
      <c r="C9" s="45">
        <v>9.43</v>
      </c>
      <c r="D9" s="45">
        <f t="shared" si="0"/>
        <v>0.74973488865323445</v>
      </c>
      <c r="H9" s="43">
        <v>0.11</v>
      </c>
      <c r="I9" s="43">
        <v>7.3999999999999996E-2</v>
      </c>
      <c r="L9" s="43">
        <v>0.87</v>
      </c>
      <c r="M9" s="43">
        <v>0.92</v>
      </c>
    </row>
    <row r="10" spans="1:13" ht="15">
      <c r="A10" s="248">
        <v>42</v>
      </c>
      <c r="B10" s="45">
        <v>9.6199999999999992</v>
      </c>
      <c r="C10" s="45">
        <v>11</v>
      </c>
      <c r="D10" s="45">
        <f t="shared" si="0"/>
        <v>0.87454545454545451</v>
      </c>
      <c r="H10" s="43">
        <v>0.12</v>
      </c>
      <c r="I10" s="43">
        <v>7.8E-2</v>
      </c>
      <c r="L10" s="43">
        <v>0.88</v>
      </c>
      <c r="M10" s="43">
        <v>0.93</v>
      </c>
    </row>
    <row r="11" spans="1:13" ht="15">
      <c r="A11" s="248">
        <v>45</v>
      </c>
      <c r="B11" s="45">
        <v>11.04</v>
      </c>
      <c r="C11" s="45">
        <v>11.78</v>
      </c>
      <c r="D11" s="45">
        <f t="shared" si="0"/>
        <v>0.93718166383701185</v>
      </c>
    </row>
    <row r="12" spans="1:13" ht="15">
      <c r="A12" s="248">
        <v>48</v>
      </c>
      <c r="B12" s="45">
        <v>12.57</v>
      </c>
      <c r="C12" s="45">
        <v>12.57</v>
      </c>
      <c r="D12" s="45">
        <f t="shared" si="0"/>
        <v>1</v>
      </c>
      <c r="H12" s="43">
        <v>0.13</v>
      </c>
      <c r="I12" s="43">
        <v>8.1000000000000003E-2</v>
      </c>
      <c r="L12" s="43">
        <v>0.89</v>
      </c>
      <c r="M12" s="43">
        <v>0.94</v>
      </c>
    </row>
    <row r="13" spans="1:13" ht="15">
      <c r="A13" s="248">
        <v>60</v>
      </c>
      <c r="B13" s="45">
        <v>19.63</v>
      </c>
      <c r="C13" s="45">
        <v>15.71</v>
      </c>
      <c r="D13" s="45">
        <f t="shared" si="0"/>
        <v>1.2495225970719286</v>
      </c>
    </row>
    <row r="14" spans="1:13" ht="15">
      <c r="A14" s="248" t="s">
        <v>396</v>
      </c>
      <c r="B14" s="45">
        <v>10.8</v>
      </c>
      <c r="C14" s="45">
        <v>12.43</v>
      </c>
      <c r="D14" s="45">
        <f t="shared" si="0"/>
        <v>0.8688656476267097</v>
      </c>
      <c r="H14" s="43">
        <v>0.13999999999999999</v>
      </c>
      <c r="I14" s="43">
        <v>0.09</v>
      </c>
      <c r="L14" s="43">
        <v>0.9</v>
      </c>
      <c r="M14" s="43">
        <v>0.95</v>
      </c>
    </row>
    <row r="15" spans="1:13" ht="15">
      <c r="A15" s="45" t="s">
        <v>397</v>
      </c>
      <c r="B15" s="45">
        <v>1.96</v>
      </c>
      <c r="C15" s="45">
        <v>5.53</v>
      </c>
      <c r="D15" s="45">
        <f t="shared" si="0"/>
        <v>0.35443037974683544</v>
      </c>
      <c r="H15" s="43">
        <v>0.14999999999999997</v>
      </c>
      <c r="I15" s="43">
        <v>0.1</v>
      </c>
      <c r="L15" s="43">
        <v>0.91</v>
      </c>
      <c r="M15" s="43">
        <v>0.95500000000000007</v>
      </c>
    </row>
    <row r="16" spans="1:13">
      <c r="H16" s="43">
        <v>0.15999999999999998</v>
      </c>
      <c r="I16" s="43">
        <v>0.11</v>
      </c>
      <c r="L16" s="43">
        <v>0.92</v>
      </c>
      <c r="M16" s="43">
        <v>0.96</v>
      </c>
    </row>
    <row r="17" spans="1:13">
      <c r="H17" s="43">
        <v>0.17</v>
      </c>
      <c r="I17" s="43">
        <v>0.125</v>
      </c>
      <c r="L17" s="43">
        <v>0.93</v>
      </c>
      <c r="M17" s="43">
        <v>0.96499999999999997</v>
      </c>
    </row>
    <row r="18" spans="1:13">
      <c r="A18" s="43" t="s">
        <v>7</v>
      </c>
      <c r="H18" s="43">
        <v>0.17999999999999997</v>
      </c>
      <c r="I18" s="43">
        <v>0.14000000000000001</v>
      </c>
      <c r="L18" s="43">
        <v>0.94</v>
      </c>
      <c r="M18" s="43">
        <v>0.97</v>
      </c>
    </row>
    <row r="19" spans="1:13">
      <c r="H19" s="43">
        <v>0.18999999999999995</v>
      </c>
      <c r="I19" s="43">
        <v>0.16</v>
      </c>
      <c r="L19" s="43">
        <v>0.95</v>
      </c>
      <c r="M19" s="43">
        <v>0.97499999999999998</v>
      </c>
    </row>
    <row r="20" spans="1:13">
      <c r="H20" s="43">
        <v>0.19999999999999996</v>
      </c>
      <c r="I20" s="43">
        <v>0.17</v>
      </c>
      <c r="L20" s="43">
        <v>0.96000000000000008</v>
      </c>
      <c r="M20" s="43">
        <v>0.98</v>
      </c>
    </row>
    <row r="21" spans="1:13">
      <c r="L21" s="43">
        <v>0.97000000000000008</v>
      </c>
      <c r="M21" s="43">
        <v>0.98499999999999999</v>
      </c>
    </row>
    <row r="22" spans="1:13">
      <c r="L22" s="43">
        <v>0.98000000000000009</v>
      </c>
      <c r="M22" s="43">
        <v>0.99</v>
      </c>
    </row>
    <row r="23" spans="1:13">
      <c r="L23" s="43">
        <v>0.9900000000000001</v>
      </c>
      <c r="M23" s="43">
        <v>0.995</v>
      </c>
    </row>
    <row r="24" spans="1:13">
      <c r="L24" s="43">
        <v>1</v>
      </c>
      <c r="M24" s="43">
        <v>1</v>
      </c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DE40-D03A-4C34-A345-FC4F6E3BFEE4}">
  <sheetPr>
    <tabColor rgb="FFFF0000"/>
  </sheetPr>
  <dimension ref="A2:HX279"/>
  <sheetViews>
    <sheetView zoomScaleNormal="100" workbookViewId="0">
      <selection activeCell="H12" sqref="H12"/>
    </sheetView>
  </sheetViews>
  <sheetFormatPr defaultColWidth="9.1328125" defaultRowHeight="12" customHeight="1"/>
  <cols>
    <col min="1" max="1" width="5.59765625" style="256" customWidth="1"/>
    <col min="2" max="2" width="7.1328125" style="256" customWidth="1"/>
    <col min="3" max="3" width="8.1328125" style="256" customWidth="1"/>
    <col min="4" max="5" width="7.59765625" style="256" customWidth="1"/>
    <col min="6" max="6" width="6.73046875" style="256" customWidth="1"/>
    <col min="7" max="7" width="4" style="256" customWidth="1"/>
    <col min="8" max="8" width="7.265625" style="256" customWidth="1"/>
    <col min="9" max="9" width="4" style="256" customWidth="1"/>
    <col min="10" max="10" width="13" style="256" customWidth="1"/>
    <col min="11" max="11" width="8" style="256" customWidth="1"/>
    <col min="12" max="12" width="5.59765625" style="256" customWidth="1"/>
    <col min="13" max="13" width="5.73046875" style="256" hidden="1" customWidth="1"/>
    <col min="14" max="14" width="9.265625" style="256" hidden="1" customWidth="1"/>
    <col min="15" max="16" width="7.59765625" style="256" hidden="1" customWidth="1"/>
    <col min="17" max="17" width="6.73046875" style="256" hidden="1" customWidth="1"/>
    <col min="18" max="18" width="4" style="256" hidden="1" customWidth="1"/>
    <col min="19" max="19" width="7.265625" style="256" hidden="1" customWidth="1"/>
    <col min="20" max="20" width="4" style="256" hidden="1" customWidth="1"/>
    <col min="21" max="21" width="13" style="256" hidden="1" customWidth="1"/>
    <col min="22" max="22" width="7.73046875" style="256" hidden="1" customWidth="1"/>
    <col min="23" max="23" width="5.59765625" style="256" hidden="1" customWidth="1"/>
    <col min="24" max="24" width="5.73046875" style="256" hidden="1" customWidth="1"/>
    <col min="25" max="25" width="9.265625" style="256" hidden="1" customWidth="1"/>
    <col min="26" max="27" width="7.59765625" style="256" hidden="1" customWidth="1"/>
    <col min="28" max="28" width="6.73046875" style="256" hidden="1" customWidth="1"/>
    <col min="29" max="29" width="4" style="256" hidden="1" customWidth="1"/>
    <col min="30" max="30" width="7.265625" style="256" hidden="1" customWidth="1"/>
    <col min="31" max="31" width="4" style="256" hidden="1" customWidth="1"/>
    <col min="32" max="32" width="13" style="256" hidden="1" customWidth="1"/>
    <col min="33" max="33" width="7.73046875" style="256" hidden="1" customWidth="1"/>
    <col min="34" max="34" width="5.59765625" style="256" hidden="1" customWidth="1"/>
    <col min="35" max="35" width="5.73046875" style="256" hidden="1" customWidth="1"/>
    <col min="36" max="36" width="8.1328125" style="256" hidden="1" customWidth="1"/>
    <col min="37" max="38" width="7.59765625" style="256" hidden="1" customWidth="1"/>
    <col min="39" max="39" width="6.73046875" style="256" hidden="1" customWidth="1"/>
    <col min="40" max="40" width="4" style="256" hidden="1" customWidth="1"/>
    <col min="41" max="41" width="7.265625" style="256" hidden="1" customWidth="1"/>
    <col min="42" max="42" width="4" style="256" hidden="1" customWidth="1"/>
    <col min="43" max="43" width="13" style="256" hidden="1" customWidth="1"/>
    <col min="44" max="44" width="7.73046875" style="256" hidden="1" customWidth="1"/>
    <col min="45" max="45" width="4.265625" style="256" hidden="1" customWidth="1"/>
    <col min="46" max="46" width="5.59765625" style="256" hidden="1" customWidth="1"/>
    <col min="47" max="47" width="8.265625" style="256" hidden="1" customWidth="1"/>
    <col min="48" max="48" width="7.265625" style="256" hidden="1" customWidth="1"/>
    <col min="49" max="50" width="7.59765625" style="256" hidden="1" customWidth="1"/>
    <col min="51" max="51" width="6.73046875" style="256" hidden="1" customWidth="1"/>
    <col min="52" max="52" width="7.73046875" style="256" hidden="1" customWidth="1"/>
    <col min="53" max="53" width="3.265625" style="256" hidden="1" customWidth="1"/>
    <col min="54" max="54" width="12.86328125" style="256" hidden="1" customWidth="1"/>
    <col min="55" max="55" width="7.265625" style="256" hidden="1" customWidth="1"/>
    <col min="56" max="56" width="4.265625" style="256" hidden="1" customWidth="1"/>
    <col min="57" max="57" width="5.59765625" style="256" hidden="1" customWidth="1"/>
    <col min="58" max="58" width="9.86328125" style="256" hidden="1" customWidth="1"/>
    <col min="59" max="59" width="8.1328125" style="256" hidden="1" customWidth="1"/>
    <col min="60" max="61" width="7.59765625" style="256" hidden="1" customWidth="1"/>
    <col min="62" max="62" width="6.265625" style="256" hidden="1" customWidth="1"/>
    <col min="63" max="63" width="9.265625" style="256" hidden="1" customWidth="1"/>
    <col min="64" max="64" width="5.86328125" style="256" hidden="1" customWidth="1"/>
    <col min="65" max="65" width="13.265625" style="256" hidden="1" customWidth="1"/>
    <col min="66" max="66" width="10.265625" style="256" hidden="1" customWidth="1"/>
    <col min="67" max="67" width="7.73046875" style="256" hidden="1" customWidth="1"/>
    <col min="68" max="68" width="5.59765625" style="256" hidden="1" customWidth="1"/>
    <col min="69" max="69" width="9.265625" style="256" hidden="1" customWidth="1"/>
    <col min="70" max="70" width="8.1328125" style="256" hidden="1" customWidth="1"/>
    <col min="71" max="72" width="7.59765625" style="256" hidden="1" customWidth="1"/>
    <col min="73" max="73" width="6.73046875" style="256" hidden="1" customWidth="1"/>
    <col min="74" max="74" width="7.3984375" style="256" hidden="1" customWidth="1"/>
    <col min="75" max="75" width="4.265625" style="256" hidden="1" customWidth="1"/>
    <col min="76" max="76" width="12.86328125" style="256" hidden="1" customWidth="1"/>
    <col min="77" max="77" width="13" style="256" hidden="1" customWidth="1"/>
    <col min="78" max="78" width="5.1328125" style="256" hidden="1" customWidth="1"/>
    <col min="79" max="79" width="5.59765625" style="256" hidden="1" customWidth="1"/>
    <col min="80" max="80" width="8.73046875" style="256" hidden="1" customWidth="1"/>
    <col min="81" max="81" width="8.1328125" style="256" hidden="1" customWidth="1"/>
    <col min="82" max="83" width="7.59765625" style="256" hidden="1" customWidth="1"/>
    <col min="84" max="84" width="6.1328125" style="256" hidden="1" customWidth="1"/>
    <col min="85" max="85" width="8.265625" style="256" hidden="1" customWidth="1"/>
    <col min="86" max="86" width="3.86328125" style="256" hidden="1" customWidth="1"/>
    <col min="87" max="87" width="11.86328125" style="256" hidden="1" customWidth="1"/>
    <col min="88" max="88" width="9" style="256" hidden="1" customWidth="1"/>
    <col min="89" max="89" width="4.265625" style="256" hidden="1" customWidth="1"/>
    <col min="90" max="90" width="5.59765625" style="256" hidden="1" customWidth="1"/>
    <col min="91" max="91" width="8.59765625" style="256" hidden="1" customWidth="1"/>
    <col min="92" max="92" width="8.1328125" style="256" hidden="1" customWidth="1"/>
    <col min="93" max="94" width="7.59765625" style="256" hidden="1" customWidth="1"/>
    <col min="95" max="95" width="6.73046875" style="256" hidden="1" customWidth="1"/>
    <col min="96" max="96" width="6.265625" style="256" hidden="1" customWidth="1"/>
    <col min="97" max="97" width="3.59765625" style="256" hidden="1" customWidth="1"/>
    <col min="98" max="98" width="11.73046875" style="256" hidden="1" customWidth="1"/>
    <col min="99" max="99" width="7.59765625" style="256" hidden="1" customWidth="1"/>
    <col min="100" max="100" width="4.86328125" style="256" hidden="1" customWidth="1"/>
    <col min="101" max="101" width="5.59765625" style="256" hidden="1" customWidth="1"/>
    <col min="102" max="102" width="8.265625" style="256" hidden="1" customWidth="1"/>
    <col min="103" max="103" width="8.3984375" style="256" hidden="1" customWidth="1"/>
    <col min="104" max="105" width="7.59765625" style="256" hidden="1" customWidth="1"/>
    <col min="106" max="106" width="5.59765625" style="256" hidden="1" customWidth="1"/>
    <col min="107" max="107" width="6.59765625" style="256" hidden="1" customWidth="1"/>
    <col min="108" max="108" width="4.73046875" style="256" hidden="1" customWidth="1"/>
    <col min="109" max="109" width="12.73046875" style="256" hidden="1" customWidth="1"/>
    <col min="110" max="110" width="8.1328125" style="256" hidden="1" customWidth="1"/>
    <col min="111" max="111" width="7.73046875" style="256" hidden="1" customWidth="1"/>
    <col min="112" max="112" width="5.59765625" style="256" hidden="1" customWidth="1"/>
    <col min="113" max="113" width="9.3984375" style="256" hidden="1" customWidth="1"/>
    <col min="114" max="116" width="7.59765625" style="256" hidden="1" customWidth="1"/>
    <col min="117" max="117" width="6.73046875" style="256" hidden="1" customWidth="1"/>
    <col min="118" max="118" width="6.265625" style="256" hidden="1" customWidth="1"/>
    <col min="119" max="119" width="4.1328125" style="256" hidden="1" customWidth="1"/>
    <col min="120" max="120" width="13.1328125" style="256" hidden="1" customWidth="1"/>
    <col min="121" max="121" width="9" style="256" hidden="1" customWidth="1"/>
    <col min="122" max="122" width="7.73046875" style="256" hidden="1" customWidth="1"/>
    <col min="123" max="123" width="5.59765625" style="256" hidden="1" customWidth="1"/>
    <col min="124" max="124" width="8.265625" style="256" hidden="1" customWidth="1"/>
    <col min="125" max="125" width="6.73046875" style="256" hidden="1" customWidth="1"/>
    <col min="126" max="127" width="7.59765625" style="256" hidden="1" customWidth="1"/>
    <col min="128" max="128" width="6" style="256" hidden="1" customWidth="1"/>
    <col min="129" max="129" width="6.1328125" style="256" hidden="1" customWidth="1"/>
    <col min="130" max="130" width="3.265625" style="256" hidden="1" customWidth="1"/>
    <col min="131" max="131" width="12.86328125" style="256" hidden="1" customWidth="1"/>
    <col min="132" max="132" width="7.59765625" style="256" hidden="1" customWidth="1"/>
    <col min="133" max="133" width="7.73046875" style="256" customWidth="1"/>
    <col min="134" max="134" width="5.59765625" style="256" customWidth="1"/>
    <col min="135" max="135" width="8.265625" style="256" customWidth="1"/>
    <col min="136" max="136" width="7.86328125" style="256" customWidth="1"/>
    <col min="137" max="138" width="7.59765625" style="256" customWidth="1"/>
    <col min="139" max="139" width="6.265625" style="256" customWidth="1"/>
    <col min="140" max="140" width="6.73046875" style="256" customWidth="1"/>
    <col min="141" max="141" width="4.1328125" style="256" customWidth="1"/>
    <col min="142" max="142" width="12.265625" style="256" customWidth="1"/>
    <col min="143" max="143" width="8.1328125" style="256" customWidth="1"/>
    <col min="144" max="144" width="7.73046875" style="256" customWidth="1"/>
    <col min="145" max="145" width="5.59765625" style="256" customWidth="1"/>
    <col min="146" max="146" width="8.265625" style="256" customWidth="1"/>
    <col min="147" max="147" width="7.86328125" style="256" customWidth="1"/>
    <col min="148" max="149" width="7.59765625" style="256" customWidth="1"/>
    <col min="150" max="150" width="6.265625" style="256" customWidth="1"/>
    <col min="151" max="151" width="6.73046875" style="256" customWidth="1"/>
    <col min="152" max="152" width="5.1328125" style="256" customWidth="1"/>
    <col min="153" max="153" width="12.265625" style="256" customWidth="1"/>
    <col min="154" max="154" width="8.1328125" style="256" customWidth="1"/>
    <col min="155" max="155" width="6" style="256" customWidth="1"/>
    <col min="156" max="156" width="5.59765625" style="256" customWidth="1"/>
    <col min="157" max="157" width="8.265625" style="256" customWidth="1"/>
    <col min="158" max="158" width="7.86328125" style="256" customWidth="1"/>
    <col min="159" max="160" width="7.59765625" style="256" customWidth="1"/>
    <col min="161" max="161" width="6.265625" style="256" customWidth="1"/>
    <col min="162" max="162" width="6.73046875" style="256" customWidth="1"/>
    <col min="163" max="163" width="3.3984375" style="256" customWidth="1"/>
    <col min="164" max="164" width="12.265625" style="256" customWidth="1"/>
    <col min="165" max="165" width="8.1328125" style="256" customWidth="1"/>
    <col min="166" max="166" width="4.3984375" style="256" customWidth="1"/>
    <col min="167" max="167" width="7.86328125" style="256" customWidth="1"/>
    <col min="168" max="168" width="9.59765625" style="256" customWidth="1"/>
    <col min="169" max="169" width="7.86328125" style="256" customWidth="1"/>
    <col min="170" max="170" width="11.265625" style="256" customWidth="1"/>
    <col min="171" max="176" width="7.86328125" style="256" customWidth="1"/>
    <col min="177" max="177" width="4.86328125" style="256" customWidth="1"/>
    <col min="178" max="187" width="7.86328125" style="256" customWidth="1"/>
    <col min="188" max="188" width="7.73046875" style="256" customWidth="1"/>
    <col min="189" max="189" width="5.1328125" style="256" customWidth="1"/>
    <col min="190" max="190" width="7.3984375" style="256" customWidth="1"/>
    <col min="191" max="191" width="7.1328125" style="256" customWidth="1"/>
    <col min="192" max="192" width="4.265625" style="256" customWidth="1"/>
    <col min="193" max="193" width="9.1328125" style="256"/>
    <col min="194" max="194" width="5.1328125" style="256" customWidth="1"/>
    <col min="195" max="195" width="12.265625" style="256" customWidth="1"/>
    <col min="196" max="196" width="7.73046875" style="256" customWidth="1"/>
    <col min="197" max="198" width="9.1328125" style="256"/>
    <col min="199" max="199" width="6.73046875" style="256" customWidth="1"/>
    <col min="200" max="200" width="7.59765625" style="256" customWidth="1"/>
    <col min="201" max="201" width="6.265625" style="256" customWidth="1"/>
    <col min="202" max="202" width="8.1328125" style="256" customWidth="1"/>
    <col min="203" max="203" width="7.1328125" style="256" customWidth="1"/>
    <col min="204" max="204" width="4.3984375" style="256" customWidth="1"/>
    <col min="205" max="205" width="9.1328125" style="256"/>
    <col min="206" max="206" width="3.86328125" style="256" customWidth="1"/>
    <col min="207" max="207" width="12.265625" style="256" customWidth="1"/>
    <col min="208" max="208" width="8.3984375" style="256" customWidth="1"/>
    <col min="209" max="210" width="9.1328125" style="256"/>
    <col min="211" max="211" width="8.1328125" style="256" customWidth="1"/>
    <col min="212" max="212" width="8.3984375" style="256" customWidth="1"/>
    <col min="213" max="213" width="7" style="256" customWidth="1"/>
    <col min="214" max="214" width="8.3984375" style="256" customWidth="1"/>
    <col min="215" max="215" width="9.1328125" style="256"/>
    <col min="216" max="216" width="6.1328125" style="256" customWidth="1"/>
    <col min="217" max="217" width="9.1328125" style="256"/>
    <col min="218" max="218" width="6.73046875" style="256" customWidth="1"/>
    <col min="219" max="235" width="9.1328125" style="256"/>
    <col min="236" max="236" width="5.59765625" style="256" customWidth="1"/>
    <col min="237" max="237" width="5.73046875" style="256" customWidth="1"/>
    <col min="238" max="238" width="8.1328125" style="256" customWidth="1"/>
    <col min="239" max="240" width="7.59765625" style="256" customWidth="1"/>
    <col min="241" max="241" width="6.73046875" style="256" customWidth="1"/>
    <col min="242" max="242" width="4" style="256" customWidth="1"/>
    <col min="243" max="243" width="7.265625" style="256" customWidth="1"/>
    <col min="244" max="244" width="4" style="256" customWidth="1"/>
    <col min="245" max="245" width="13" style="256" customWidth="1"/>
    <col min="246" max="246" width="8" style="256" customWidth="1"/>
    <col min="247" max="247" width="5.59765625" style="256" customWidth="1"/>
    <col min="248" max="248" width="5.73046875" style="256" customWidth="1"/>
    <col min="249" max="249" width="8.1328125" style="256" customWidth="1"/>
    <col min="250" max="251" width="7.59765625" style="256" customWidth="1"/>
    <col min="252" max="252" width="6.73046875" style="256" customWidth="1"/>
    <col min="253" max="253" width="4" style="256" customWidth="1"/>
    <col min="254" max="254" width="7.265625" style="256" customWidth="1"/>
    <col min="255" max="255" width="4" style="256" customWidth="1"/>
    <col min="256" max="256" width="13" style="256" customWidth="1"/>
    <col min="257" max="257" width="7.73046875" style="256" customWidth="1"/>
    <col min="258" max="258" width="5.59765625" style="256" customWidth="1"/>
    <col min="259" max="259" width="5.73046875" style="256" customWidth="1"/>
    <col min="260" max="260" width="8.1328125" style="256" customWidth="1"/>
    <col min="261" max="262" width="7.59765625" style="256" customWidth="1"/>
    <col min="263" max="263" width="6.73046875" style="256" customWidth="1"/>
    <col min="264" max="264" width="4" style="256" customWidth="1"/>
    <col min="265" max="265" width="7.265625" style="256" customWidth="1"/>
    <col min="266" max="266" width="4" style="256" customWidth="1"/>
    <col min="267" max="267" width="13" style="256" customWidth="1"/>
    <col min="268" max="268" width="7.73046875" style="256" customWidth="1"/>
    <col min="269" max="269" width="5.59765625" style="256" customWidth="1"/>
    <col min="270" max="270" width="5.73046875" style="256" customWidth="1"/>
    <col min="271" max="271" width="8.1328125" style="256" customWidth="1"/>
    <col min="272" max="273" width="7.59765625" style="256" customWidth="1"/>
    <col min="274" max="274" width="6.73046875" style="256" customWidth="1"/>
    <col min="275" max="275" width="4" style="256" customWidth="1"/>
    <col min="276" max="276" width="7.265625" style="256" customWidth="1"/>
    <col min="277" max="277" width="4" style="256" customWidth="1"/>
    <col min="278" max="278" width="13" style="256" customWidth="1"/>
    <col min="279" max="279" width="7.73046875" style="256" customWidth="1"/>
    <col min="280" max="280" width="5.59765625" style="256" customWidth="1"/>
    <col min="281" max="281" width="5.73046875" style="256" customWidth="1"/>
    <col min="282" max="282" width="8.1328125" style="256" customWidth="1"/>
    <col min="283" max="284" width="7.59765625" style="256" customWidth="1"/>
    <col min="285" max="285" width="6.73046875" style="256" customWidth="1"/>
    <col min="286" max="286" width="4" style="256" customWidth="1"/>
    <col min="287" max="287" width="7.265625" style="256" customWidth="1"/>
    <col min="288" max="288" width="4" style="256" customWidth="1"/>
    <col min="289" max="289" width="13" style="256" customWidth="1"/>
    <col min="290" max="290" width="7.73046875" style="256" customWidth="1"/>
    <col min="291" max="291" width="5.59765625" style="256" customWidth="1"/>
    <col min="292" max="292" width="5.73046875" style="256" customWidth="1"/>
    <col min="293" max="293" width="8.1328125" style="256" customWidth="1"/>
    <col min="294" max="295" width="7.59765625" style="256" customWidth="1"/>
    <col min="296" max="296" width="6.73046875" style="256" customWidth="1"/>
    <col min="297" max="297" width="4" style="256" customWidth="1"/>
    <col min="298" max="298" width="7.265625" style="256" customWidth="1"/>
    <col min="299" max="299" width="4" style="256" customWidth="1"/>
    <col min="300" max="300" width="13" style="256" customWidth="1"/>
    <col min="301" max="301" width="7.73046875" style="256" customWidth="1"/>
    <col min="302" max="302" width="5.59765625" style="256" customWidth="1"/>
    <col min="303" max="303" width="5.73046875" style="256" customWidth="1"/>
    <col min="304" max="304" width="8.1328125" style="256" customWidth="1"/>
    <col min="305" max="306" width="7.59765625" style="256" customWidth="1"/>
    <col min="307" max="307" width="6.73046875" style="256" customWidth="1"/>
    <col min="308" max="308" width="4" style="256" customWidth="1"/>
    <col min="309" max="309" width="7.265625" style="256" customWidth="1"/>
    <col min="310" max="310" width="4" style="256" customWidth="1"/>
    <col min="311" max="311" width="13" style="256" customWidth="1"/>
    <col min="312" max="312" width="7.73046875" style="256" customWidth="1"/>
    <col min="313" max="313" width="5.59765625" style="256" customWidth="1"/>
    <col min="314" max="314" width="5.73046875" style="256" customWidth="1"/>
    <col min="315" max="315" width="8.1328125" style="256" customWidth="1"/>
    <col min="316" max="317" width="7.59765625" style="256" customWidth="1"/>
    <col min="318" max="318" width="6.73046875" style="256" customWidth="1"/>
    <col min="319" max="319" width="4" style="256" customWidth="1"/>
    <col min="320" max="320" width="7.265625" style="256" customWidth="1"/>
    <col min="321" max="321" width="4.3984375" style="256" customWidth="1"/>
    <col min="322" max="322" width="13" style="256" customWidth="1"/>
    <col min="323" max="323" width="7.73046875" style="256" customWidth="1"/>
    <col min="324" max="324" width="5.59765625" style="256" customWidth="1"/>
    <col min="325" max="325" width="5.73046875" style="256" customWidth="1"/>
    <col min="326" max="326" width="8.1328125" style="256" customWidth="1"/>
    <col min="327" max="328" width="7.59765625" style="256" customWidth="1"/>
    <col min="329" max="329" width="6.73046875" style="256" customWidth="1"/>
    <col min="330" max="330" width="4" style="256" customWidth="1"/>
    <col min="331" max="331" width="7.265625" style="256" customWidth="1"/>
    <col min="332" max="332" width="4" style="256" customWidth="1"/>
    <col min="333" max="333" width="13" style="256" customWidth="1"/>
    <col min="334" max="334" width="7.73046875" style="256" customWidth="1"/>
    <col min="335" max="335" width="5.59765625" style="256" customWidth="1"/>
    <col min="336" max="336" width="5.73046875" style="256" customWidth="1"/>
    <col min="337" max="337" width="8.1328125" style="256" customWidth="1"/>
    <col min="338" max="339" width="7.59765625" style="256" customWidth="1"/>
    <col min="340" max="340" width="6.73046875" style="256" customWidth="1"/>
    <col min="341" max="341" width="4" style="256" customWidth="1"/>
    <col min="342" max="342" width="7.265625" style="256" customWidth="1"/>
    <col min="343" max="343" width="4" style="256" customWidth="1"/>
    <col min="344" max="344" width="13" style="256" customWidth="1"/>
    <col min="345" max="345" width="7.73046875" style="256" customWidth="1"/>
    <col min="346" max="346" width="5.59765625" style="256" customWidth="1"/>
    <col min="347" max="347" width="5.73046875" style="256" customWidth="1"/>
    <col min="348" max="348" width="8.1328125" style="256" customWidth="1"/>
    <col min="349" max="350" width="7.59765625" style="256" customWidth="1"/>
    <col min="351" max="351" width="6.73046875" style="256" customWidth="1"/>
    <col min="352" max="352" width="4" style="256" customWidth="1"/>
    <col min="353" max="353" width="7.265625" style="256" customWidth="1"/>
    <col min="354" max="354" width="4" style="256" customWidth="1"/>
    <col min="355" max="355" width="13" style="256" customWidth="1"/>
    <col min="356" max="356" width="7.73046875" style="256" customWidth="1"/>
    <col min="357" max="357" width="5.59765625" style="256" customWidth="1"/>
    <col min="358" max="358" width="5.73046875" style="256" customWidth="1"/>
    <col min="359" max="359" width="8.1328125" style="256" customWidth="1"/>
    <col min="360" max="361" width="7.59765625" style="256" customWidth="1"/>
    <col min="362" max="362" width="6.73046875" style="256" customWidth="1"/>
    <col min="363" max="363" width="4" style="256" customWidth="1"/>
    <col min="364" max="364" width="7.265625" style="256" customWidth="1"/>
    <col min="365" max="365" width="4" style="256" customWidth="1"/>
    <col min="366" max="366" width="13" style="256" customWidth="1"/>
    <col min="367" max="367" width="7.73046875" style="256" customWidth="1"/>
    <col min="368" max="368" width="5.59765625" style="256" customWidth="1"/>
    <col min="369" max="369" width="5.73046875" style="256" customWidth="1"/>
    <col min="370" max="370" width="8.1328125" style="256" customWidth="1"/>
    <col min="371" max="372" width="7.59765625" style="256" customWidth="1"/>
    <col min="373" max="373" width="6.73046875" style="256" customWidth="1"/>
    <col min="374" max="374" width="4" style="256" customWidth="1"/>
    <col min="375" max="375" width="7.265625" style="256" customWidth="1"/>
    <col min="376" max="376" width="4" style="256" customWidth="1"/>
    <col min="377" max="377" width="13" style="256" customWidth="1"/>
    <col min="378" max="378" width="7.73046875" style="256" customWidth="1"/>
    <col min="379" max="379" width="5.59765625" style="256" customWidth="1"/>
    <col min="380" max="380" width="5.73046875" style="256" customWidth="1"/>
    <col min="381" max="381" width="8.1328125" style="256" customWidth="1"/>
    <col min="382" max="383" width="7.59765625" style="256" customWidth="1"/>
    <col min="384" max="384" width="6.73046875" style="256" customWidth="1"/>
    <col min="385" max="385" width="4" style="256" customWidth="1"/>
    <col min="386" max="386" width="7.265625" style="256" customWidth="1"/>
    <col min="387" max="387" width="4" style="256" customWidth="1"/>
    <col min="388" max="388" width="13" style="256" customWidth="1"/>
    <col min="389" max="389" width="7.73046875" style="256" customWidth="1"/>
    <col min="390" max="390" width="5.59765625" style="256" customWidth="1"/>
    <col min="391" max="391" width="5.73046875" style="256" customWidth="1"/>
    <col min="392" max="392" width="8.1328125" style="256" customWidth="1"/>
    <col min="393" max="394" width="7.59765625" style="256" customWidth="1"/>
    <col min="395" max="395" width="6.73046875" style="256" customWidth="1"/>
    <col min="396" max="396" width="4" style="256" customWidth="1"/>
    <col min="397" max="397" width="7.265625" style="256" customWidth="1"/>
    <col min="398" max="398" width="4" style="256" customWidth="1"/>
    <col min="399" max="399" width="13" style="256" customWidth="1"/>
    <col min="400" max="400" width="7.73046875" style="256" customWidth="1"/>
    <col min="401" max="401" width="5.59765625" style="256" customWidth="1"/>
    <col min="402" max="403" width="9.1328125" style="256"/>
    <col min="404" max="404" width="6.59765625" style="256" customWidth="1"/>
    <col min="405" max="405" width="8.73046875" style="256" customWidth="1"/>
    <col min="406" max="406" width="7.3984375" style="256" customWidth="1"/>
    <col min="407" max="407" width="7.265625" style="256" customWidth="1"/>
    <col min="408" max="408" width="7.73046875" style="256" customWidth="1"/>
    <col min="409" max="409" width="4.3984375" style="256" customWidth="1"/>
    <col min="410" max="410" width="9.1328125" style="256"/>
    <col min="411" max="411" width="6" style="256" customWidth="1"/>
    <col min="412" max="412" width="12.265625" style="256" customWidth="1"/>
    <col min="413" max="413" width="8" style="256" customWidth="1"/>
    <col min="414" max="416" width="9.1328125" style="256"/>
    <col min="417" max="417" width="7.73046875" style="256" customWidth="1"/>
    <col min="418" max="418" width="8.265625" style="256" customWidth="1"/>
    <col min="419" max="419" width="7.1328125" style="256" customWidth="1"/>
    <col min="420" max="420" width="7.59765625" style="256" customWidth="1"/>
    <col min="421" max="421" width="7.3984375" style="256" customWidth="1"/>
    <col min="422" max="422" width="4.86328125" style="256" customWidth="1"/>
    <col min="423" max="423" width="9.1328125" style="256"/>
    <col min="424" max="424" width="5" style="256" customWidth="1"/>
    <col min="425" max="425" width="12.265625" style="256" customWidth="1"/>
    <col min="426" max="426" width="7.86328125" style="256" customWidth="1"/>
    <col min="427" max="429" width="9.1328125" style="256"/>
    <col min="430" max="430" width="7.265625" style="256" customWidth="1"/>
    <col min="431" max="431" width="8.1328125" style="256" customWidth="1"/>
    <col min="432" max="432" width="6.86328125" style="256" customWidth="1"/>
    <col min="433" max="433" width="8" style="256" customWidth="1"/>
    <col min="434" max="434" width="7.3984375" style="256" customWidth="1"/>
    <col min="435" max="435" width="4.59765625" style="256" customWidth="1"/>
    <col min="436" max="436" width="9.1328125" style="256"/>
    <col min="437" max="437" width="4.1328125" style="256" customWidth="1"/>
    <col min="438" max="438" width="12" style="256" customWidth="1"/>
    <col min="439" max="439" width="8.1328125" style="256" customWidth="1"/>
    <col min="440" max="442" width="9.1328125" style="256"/>
    <col min="443" max="443" width="5.3984375" style="256" customWidth="1"/>
    <col min="444" max="444" width="7.73046875" style="256" customWidth="1"/>
    <col min="445" max="445" width="5.1328125" style="256" customWidth="1"/>
    <col min="446" max="446" width="7.3984375" style="256" customWidth="1"/>
    <col min="447" max="447" width="7.1328125" style="256" customWidth="1"/>
    <col min="448" max="448" width="4.265625" style="256" customWidth="1"/>
    <col min="449" max="449" width="9.1328125" style="256"/>
    <col min="450" max="450" width="5.1328125" style="256" customWidth="1"/>
    <col min="451" max="451" width="12.265625" style="256" customWidth="1"/>
    <col min="452" max="452" width="7.73046875" style="256" customWidth="1"/>
    <col min="453" max="454" width="9.1328125" style="256"/>
    <col min="455" max="455" width="6.73046875" style="256" customWidth="1"/>
    <col min="456" max="456" width="7.59765625" style="256" customWidth="1"/>
    <col min="457" max="457" width="6.265625" style="256" customWidth="1"/>
    <col min="458" max="458" width="8.1328125" style="256" customWidth="1"/>
    <col min="459" max="459" width="7.1328125" style="256" customWidth="1"/>
    <col min="460" max="460" width="4.3984375" style="256" customWidth="1"/>
    <col min="461" max="461" width="9.1328125" style="256"/>
    <col min="462" max="462" width="3.86328125" style="256" customWidth="1"/>
    <col min="463" max="463" width="12.265625" style="256" customWidth="1"/>
    <col min="464" max="464" width="8.3984375" style="256" customWidth="1"/>
    <col min="465" max="466" width="9.1328125" style="256"/>
    <col min="467" max="467" width="8.1328125" style="256" customWidth="1"/>
    <col min="468" max="468" width="8.3984375" style="256" customWidth="1"/>
    <col min="469" max="469" width="7" style="256" customWidth="1"/>
    <col min="470" max="470" width="8.3984375" style="256" customWidth="1"/>
    <col min="471" max="471" width="9.1328125" style="256"/>
    <col min="472" max="472" width="6.1328125" style="256" customWidth="1"/>
    <col min="473" max="473" width="9.1328125" style="256"/>
    <col min="474" max="474" width="6.73046875" style="256" customWidth="1"/>
    <col min="475" max="491" width="9.1328125" style="256"/>
    <col min="492" max="492" width="5.59765625" style="256" customWidth="1"/>
    <col min="493" max="493" width="5.73046875" style="256" customWidth="1"/>
    <col min="494" max="494" width="8.1328125" style="256" customWidth="1"/>
    <col min="495" max="496" width="7.59765625" style="256" customWidth="1"/>
    <col min="497" max="497" width="6.73046875" style="256" customWidth="1"/>
    <col min="498" max="498" width="4" style="256" customWidth="1"/>
    <col min="499" max="499" width="7.265625" style="256" customWidth="1"/>
    <col min="500" max="500" width="4" style="256" customWidth="1"/>
    <col min="501" max="501" width="13" style="256" customWidth="1"/>
    <col min="502" max="502" width="8" style="256" customWidth="1"/>
    <col min="503" max="503" width="5.59765625" style="256" customWidth="1"/>
    <col min="504" max="504" width="5.73046875" style="256" customWidth="1"/>
    <col min="505" max="505" width="8.1328125" style="256" customWidth="1"/>
    <col min="506" max="507" width="7.59765625" style="256" customWidth="1"/>
    <col min="508" max="508" width="6.73046875" style="256" customWidth="1"/>
    <col min="509" max="509" width="4" style="256" customWidth="1"/>
    <col min="510" max="510" width="7.265625" style="256" customWidth="1"/>
    <col min="511" max="511" width="4" style="256" customWidth="1"/>
    <col min="512" max="512" width="13" style="256" customWidth="1"/>
    <col min="513" max="513" width="7.73046875" style="256" customWidth="1"/>
    <col min="514" max="514" width="5.59765625" style="256" customWidth="1"/>
    <col min="515" max="515" width="5.73046875" style="256" customWidth="1"/>
    <col min="516" max="516" width="8.1328125" style="256" customWidth="1"/>
    <col min="517" max="518" width="7.59765625" style="256" customWidth="1"/>
    <col min="519" max="519" width="6.73046875" style="256" customWidth="1"/>
    <col min="520" max="520" width="4" style="256" customWidth="1"/>
    <col min="521" max="521" width="7.265625" style="256" customWidth="1"/>
    <col min="522" max="522" width="4" style="256" customWidth="1"/>
    <col min="523" max="523" width="13" style="256" customWidth="1"/>
    <col min="524" max="524" width="7.73046875" style="256" customWidth="1"/>
    <col min="525" max="525" width="5.59765625" style="256" customWidth="1"/>
    <col min="526" max="526" width="5.73046875" style="256" customWidth="1"/>
    <col min="527" max="527" width="8.1328125" style="256" customWidth="1"/>
    <col min="528" max="529" width="7.59765625" style="256" customWidth="1"/>
    <col min="530" max="530" width="6.73046875" style="256" customWidth="1"/>
    <col min="531" max="531" width="4" style="256" customWidth="1"/>
    <col min="532" max="532" width="7.265625" style="256" customWidth="1"/>
    <col min="533" max="533" width="4" style="256" customWidth="1"/>
    <col min="534" max="534" width="13" style="256" customWidth="1"/>
    <col min="535" max="535" width="7.73046875" style="256" customWidth="1"/>
    <col min="536" max="536" width="5.59765625" style="256" customWidth="1"/>
    <col min="537" max="537" width="5.73046875" style="256" customWidth="1"/>
    <col min="538" max="538" width="8.1328125" style="256" customWidth="1"/>
    <col min="539" max="540" width="7.59765625" style="256" customWidth="1"/>
    <col min="541" max="541" width="6.73046875" style="256" customWidth="1"/>
    <col min="542" max="542" width="4" style="256" customWidth="1"/>
    <col min="543" max="543" width="7.265625" style="256" customWidth="1"/>
    <col min="544" max="544" width="4" style="256" customWidth="1"/>
    <col min="545" max="545" width="13" style="256" customWidth="1"/>
    <col min="546" max="546" width="7.73046875" style="256" customWidth="1"/>
    <col min="547" max="547" width="5.59765625" style="256" customWidth="1"/>
    <col min="548" max="548" width="5.73046875" style="256" customWidth="1"/>
    <col min="549" max="549" width="8.1328125" style="256" customWidth="1"/>
    <col min="550" max="551" width="7.59765625" style="256" customWidth="1"/>
    <col min="552" max="552" width="6.73046875" style="256" customWidth="1"/>
    <col min="553" max="553" width="4" style="256" customWidth="1"/>
    <col min="554" max="554" width="7.265625" style="256" customWidth="1"/>
    <col min="555" max="555" width="4" style="256" customWidth="1"/>
    <col min="556" max="556" width="13" style="256" customWidth="1"/>
    <col min="557" max="557" width="7.73046875" style="256" customWidth="1"/>
    <col min="558" max="558" width="5.59765625" style="256" customWidth="1"/>
    <col min="559" max="559" width="5.73046875" style="256" customWidth="1"/>
    <col min="560" max="560" width="8.1328125" style="256" customWidth="1"/>
    <col min="561" max="562" width="7.59765625" style="256" customWidth="1"/>
    <col min="563" max="563" width="6.73046875" style="256" customWidth="1"/>
    <col min="564" max="564" width="4" style="256" customWidth="1"/>
    <col min="565" max="565" width="7.265625" style="256" customWidth="1"/>
    <col min="566" max="566" width="4" style="256" customWidth="1"/>
    <col min="567" max="567" width="13" style="256" customWidth="1"/>
    <col min="568" max="568" width="7.73046875" style="256" customWidth="1"/>
    <col min="569" max="569" width="5.59765625" style="256" customWidth="1"/>
    <col min="570" max="570" width="5.73046875" style="256" customWidth="1"/>
    <col min="571" max="571" width="8.1328125" style="256" customWidth="1"/>
    <col min="572" max="573" width="7.59765625" style="256" customWidth="1"/>
    <col min="574" max="574" width="6.73046875" style="256" customWidth="1"/>
    <col min="575" max="575" width="4" style="256" customWidth="1"/>
    <col min="576" max="576" width="7.265625" style="256" customWidth="1"/>
    <col min="577" max="577" width="4.3984375" style="256" customWidth="1"/>
    <col min="578" max="578" width="13" style="256" customWidth="1"/>
    <col min="579" max="579" width="7.73046875" style="256" customWidth="1"/>
    <col min="580" max="580" width="5.59765625" style="256" customWidth="1"/>
    <col min="581" max="581" width="5.73046875" style="256" customWidth="1"/>
    <col min="582" max="582" width="8.1328125" style="256" customWidth="1"/>
    <col min="583" max="584" width="7.59765625" style="256" customWidth="1"/>
    <col min="585" max="585" width="6.73046875" style="256" customWidth="1"/>
    <col min="586" max="586" width="4" style="256" customWidth="1"/>
    <col min="587" max="587" width="7.265625" style="256" customWidth="1"/>
    <col min="588" max="588" width="4" style="256" customWidth="1"/>
    <col min="589" max="589" width="13" style="256" customWidth="1"/>
    <col min="590" max="590" width="7.73046875" style="256" customWidth="1"/>
    <col min="591" max="591" width="5.59765625" style="256" customWidth="1"/>
    <col min="592" max="592" width="5.73046875" style="256" customWidth="1"/>
    <col min="593" max="593" width="8.1328125" style="256" customWidth="1"/>
    <col min="594" max="595" width="7.59765625" style="256" customWidth="1"/>
    <col min="596" max="596" width="6.73046875" style="256" customWidth="1"/>
    <col min="597" max="597" width="4" style="256" customWidth="1"/>
    <col min="598" max="598" width="7.265625" style="256" customWidth="1"/>
    <col min="599" max="599" width="4" style="256" customWidth="1"/>
    <col min="600" max="600" width="13" style="256" customWidth="1"/>
    <col min="601" max="601" width="7.73046875" style="256" customWidth="1"/>
    <col min="602" max="602" width="5.59765625" style="256" customWidth="1"/>
    <col min="603" max="603" width="5.73046875" style="256" customWidth="1"/>
    <col min="604" max="604" width="8.1328125" style="256" customWidth="1"/>
    <col min="605" max="606" width="7.59765625" style="256" customWidth="1"/>
    <col min="607" max="607" width="6.73046875" style="256" customWidth="1"/>
    <col min="608" max="608" width="4" style="256" customWidth="1"/>
    <col min="609" max="609" width="7.265625" style="256" customWidth="1"/>
    <col min="610" max="610" width="4" style="256" customWidth="1"/>
    <col min="611" max="611" width="13" style="256" customWidth="1"/>
    <col min="612" max="612" width="7.73046875" style="256" customWidth="1"/>
    <col min="613" max="613" width="5.59765625" style="256" customWidth="1"/>
    <col min="614" max="614" width="5.73046875" style="256" customWidth="1"/>
    <col min="615" max="615" width="8.1328125" style="256" customWidth="1"/>
    <col min="616" max="617" width="7.59765625" style="256" customWidth="1"/>
    <col min="618" max="618" width="6.73046875" style="256" customWidth="1"/>
    <col min="619" max="619" width="4" style="256" customWidth="1"/>
    <col min="620" max="620" width="7.265625" style="256" customWidth="1"/>
    <col min="621" max="621" width="4" style="256" customWidth="1"/>
    <col min="622" max="622" width="13" style="256" customWidth="1"/>
    <col min="623" max="623" width="7.73046875" style="256" customWidth="1"/>
    <col min="624" max="624" width="5.59765625" style="256" customWidth="1"/>
    <col min="625" max="625" width="5.73046875" style="256" customWidth="1"/>
    <col min="626" max="626" width="8.1328125" style="256" customWidth="1"/>
    <col min="627" max="628" width="7.59765625" style="256" customWidth="1"/>
    <col min="629" max="629" width="6.73046875" style="256" customWidth="1"/>
    <col min="630" max="630" width="4" style="256" customWidth="1"/>
    <col min="631" max="631" width="7.265625" style="256" customWidth="1"/>
    <col min="632" max="632" width="4" style="256" customWidth="1"/>
    <col min="633" max="633" width="13" style="256" customWidth="1"/>
    <col min="634" max="634" width="7.73046875" style="256" customWidth="1"/>
    <col min="635" max="635" width="5.59765625" style="256" customWidth="1"/>
    <col min="636" max="636" width="5.73046875" style="256" customWidth="1"/>
    <col min="637" max="637" width="8.1328125" style="256" customWidth="1"/>
    <col min="638" max="639" width="7.59765625" style="256" customWidth="1"/>
    <col min="640" max="640" width="6.73046875" style="256" customWidth="1"/>
    <col min="641" max="641" width="4" style="256" customWidth="1"/>
    <col min="642" max="642" width="7.265625" style="256" customWidth="1"/>
    <col min="643" max="643" width="4" style="256" customWidth="1"/>
    <col min="644" max="644" width="13" style="256" customWidth="1"/>
    <col min="645" max="645" width="7.73046875" style="256" customWidth="1"/>
    <col min="646" max="646" width="5.59765625" style="256" customWidth="1"/>
    <col min="647" max="647" width="5.73046875" style="256" customWidth="1"/>
    <col min="648" max="648" width="8.1328125" style="256" customWidth="1"/>
    <col min="649" max="650" width="7.59765625" style="256" customWidth="1"/>
    <col min="651" max="651" width="6.73046875" style="256" customWidth="1"/>
    <col min="652" max="652" width="4" style="256" customWidth="1"/>
    <col min="653" max="653" width="7.265625" style="256" customWidth="1"/>
    <col min="654" max="654" width="4" style="256" customWidth="1"/>
    <col min="655" max="655" width="13" style="256" customWidth="1"/>
    <col min="656" max="656" width="7.73046875" style="256" customWidth="1"/>
    <col min="657" max="657" width="5.59765625" style="256" customWidth="1"/>
    <col min="658" max="659" width="9.1328125" style="256"/>
    <col min="660" max="660" width="6.59765625" style="256" customWidth="1"/>
    <col min="661" max="661" width="8.73046875" style="256" customWidth="1"/>
    <col min="662" max="662" width="7.3984375" style="256" customWidth="1"/>
    <col min="663" max="663" width="7.265625" style="256" customWidth="1"/>
    <col min="664" max="664" width="7.73046875" style="256" customWidth="1"/>
    <col min="665" max="665" width="4.3984375" style="256" customWidth="1"/>
    <col min="666" max="666" width="9.1328125" style="256"/>
    <col min="667" max="667" width="6" style="256" customWidth="1"/>
    <col min="668" max="668" width="12.265625" style="256" customWidth="1"/>
    <col min="669" max="669" width="8" style="256" customWidth="1"/>
    <col min="670" max="672" width="9.1328125" style="256"/>
    <col min="673" max="673" width="7.73046875" style="256" customWidth="1"/>
    <col min="674" max="674" width="8.265625" style="256" customWidth="1"/>
    <col min="675" max="675" width="7.1328125" style="256" customWidth="1"/>
    <col min="676" max="676" width="7.59765625" style="256" customWidth="1"/>
    <col min="677" max="677" width="7.3984375" style="256" customWidth="1"/>
    <col min="678" max="678" width="4.86328125" style="256" customWidth="1"/>
    <col min="679" max="679" width="9.1328125" style="256"/>
    <col min="680" max="680" width="5" style="256" customWidth="1"/>
    <col min="681" max="681" width="12.265625" style="256" customWidth="1"/>
    <col min="682" max="682" width="7.86328125" style="256" customWidth="1"/>
    <col min="683" max="685" width="9.1328125" style="256"/>
    <col min="686" max="686" width="7.265625" style="256" customWidth="1"/>
    <col min="687" max="687" width="8.1328125" style="256" customWidth="1"/>
    <col min="688" max="688" width="6.86328125" style="256" customWidth="1"/>
    <col min="689" max="689" width="8" style="256" customWidth="1"/>
    <col min="690" max="690" width="7.3984375" style="256" customWidth="1"/>
    <col min="691" max="691" width="4.59765625" style="256" customWidth="1"/>
    <col min="692" max="692" width="9.1328125" style="256"/>
    <col min="693" max="693" width="4.1328125" style="256" customWidth="1"/>
    <col min="694" max="694" width="12" style="256" customWidth="1"/>
    <col min="695" max="695" width="8.1328125" style="256" customWidth="1"/>
    <col min="696" max="698" width="9.1328125" style="256"/>
    <col min="699" max="699" width="5.3984375" style="256" customWidth="1"/>
    <col min="700" max="700" width="7.73046875" style="256" customWidth="1"/>
    <col min="701" max="701" width="5.1328125" style="256" customWidth="1"/>
    <col min="702" max="702" width="7.3984375" style="256" customWidth="1"/>
    <col min="703" max="703" width="7.1328125" style="256" customWidth="1"/>
    <col min="704" max="704" width="4.265625" style="256" customWidth="1"/>
    <col min="705" max="705" width="9.1328125" style="256"/>
    <col min="706" max="706" width="5.1328125" style="256" customWidth="1"/>
    <col min="707" max="707" width="12.265625" style="256" customWidth="1"/>
    <col min="708" max="708" width="7.73046875" style="256" customWidth="1"/>
    <col min="709" max="710" width="9.1328125" style="256"/>
    <col min="711" max="711" width="6.73046875" style="256" customWidth="1"/>
    <col min="712" max="712" width="7.59765625" style="256" customWidth="1"/>
    <col min="713" max="713" width="6.265625" style="256" customWidth="1"/>
    <col min="714" max="714" width="8.1328125" style="256" customWidth="1"/>
    <col min="715" max="715" width="7.1328125" style="256" customWidth="1"/>
    <col min="716" max="716" width="4.3984375" style="256" customWidth="1"/>
    <col min="717" max="717" width="9.1328125" style="256"/>
    <col min="718" max="718" width="3.86328125" style="256" customWidth="1"/>
    <col min="719" max="719" width="12.265625" style="256" customWidth="1"/>
    <col min="720" max="720" width="8.3984375" style="256" customWidth="1"/>
    <col min="721" max="722" width="9.1328125" style="256"/>
    <col min="723" max="723" width="8.1328125" style="256" customWidth="1"/>
    <col min="724" max="724" width="8.3984375" style="256" customWidth="1"/>
    <col min="725" max="725" width="7" style="256" customWidth="1"/>
    <col min="726" max="726" width="8.3984375" style="256" customWidth="1"/>
    <col min="727" max="727" width="9.1328125" style="256"/>
    <col min="728" max="728" width="6.1328125" style="256" customWidth="1"/>
    <col min="729" max="729" width="9.1328125" style="256"/>
    <col min="730" max="730" width="6.73046875" style="256" customWidth="1"/>
    <col min="731" max="747" width="9.1328125" style="256"/>
    <col min="748" max="748" width="5.59765625" style="256" customWidth="1"/>
    <col min="749" max="749" width="5.73046875" style="256" customWidth="1"/>
    <col min="750" max="750" width="8.1328125" style="256" customWidth="1"/>
    <col min="751" max="752" width="7.59765625" style="256" customWidth="1"/>
    <col min="753" max="753" width="6.73046875" style="256" customWidth="1"/>
    <col min="754" max="754" width="4" style="256" customWidth="1"/>
    <col min="755" max="755" width="7.265625" style="256" customWidth="1"/>
    <col min="756" max="756" width="4" style="256" customWidth="1"/>
    <col min="757" max="757" width="13" style="256" customWidth="1"/>
    <col min="758" max="758" width="8" style="256" customWidth="1"/>
    <col min="759" max="759" width="5.59765625" style="256" customWidth="1"/>
    <col min="760" max="760" width="5.73046875" style="256" customWidth="1"/>
    <col min="761" max="761" width="8.1328125" style="256" customWidth="1"/>
    <col min="762" max="763" width="7.59765625" style="256" customWidth="1"/>
    <col min="764" max="764" width="6.73046875" style="256" customWidth="1"/>
    <col min="765" max="765" width="4" style="256" customWidth="1"/>
    <col min="766" max="766" width="7.265625" style="256" customWidth="1"/>
    <col min="767" max="767" width="4" style="256" customWidth="1"/>
    <col min="768" max="768" width="13" style="256" customWidth="1"/>
    <col min="769" max="769" width="7.73046875" style="256" customWidth="1"/>
    <col min="770" max="770" width="5.59765625" style="256" customWidth="1"/>
    <col min="771" max="771" width="5.73046875" style="256" customWidth="1"/>
    <col min="772" max="772" width="8.1328125" style="256" customWidth="1"/>
    <col min="773" max="774" width="7.59765625" style="256" customWidth="1"/>
    <col min="775" max="775" width="6.73046875" style="256" customWidth="1"/>
    <col min="776" max="776" width="4" style="256" customWidth="1"/>
    <col min="777" max="777" width="7.265625" style="256" customWidth="1"/>
    <col min="778" max="778" width="4" style="256" customWidth="1"/>
    <col min="779" max="779" width="13" style="256" customWidth="1"/>
    <col min="780" max="780" width="7.73046875" style="256" customWidth="1"/>
    <col min="781" max="781" width="5.59765625" style="256" customWidth="1"/>
    <col min="782" max="782" width="5.73046875" style="256" customWidth="1"/>
    <col min="783" max="783" width="8.1328125" style="256" customWidth="1"/>
    <col min="784" max="785" width="7.59765625" style="256" customWidth="1"/>
    <col min="786" max="786" width="6.73046875" style="256" customWidth="1"/>
    <col min="787" max="787" width="4" style="256" customWidth="1"/>
    <col min="788" max="788" width="7.265625" style="256" customWidth="1"/>
    <col min="789" max="789" width="4" style="256" customWidth="1"/>
    <col min="790" max="790" width="13" style="256" customWidth="1"/>
    <col min="791" max="791" width="7.73046875" style="256" customWidth="1"/>
    <col min="792" max="792" width="5.59765625" style="256" customWidth="1"/>
    <col min="793" max="793" width="5.73046875" style="256" customWidth="1"/>
    <col min="794" max="794" width="8.1328125" style="256" customWidth="1"/>
    <col min="795" max="796" width="7.59765625" style="256" customWidth="1"/>
    <col min="797" max="797" width="6.73046875" style="256" customWidth="1"/>
    <col min="798" max="798" width="4" style="256" customWidth="1"/>
    <col min="799" max="799" width="7.265625" style="256" customWidth="1"/>
    <col min="800" max="800" width="4" style="256" customWidth="1"/>
    <col min="801" max="801" width="13" style="256" customWidth="1"/>
    <col min="802" max="802" width="7.73046875" style="256" customWidth="1"/>
    <col min="803" max="803" width="5.59765625" style="256" customWidth="1"/>
    <col min="804" max="804" width="5.73046875" style="256" customWidth="1"/>
    <col min="805" max="805" width="8.1328125" style="256" customWidth="1"/>
    <col min="806" max="807" width="7.59765625" style="256" customWidth="1"/>
    <col min="808" max="808" width="6.73046875" style="256" customWidth="1"/>
    <col min="809" max="809" width="4" style="256" customWidth="1"/>
    <col min="810" max="810" width="7.265625" style="256" customWidth="1"/>
    <col min="811" max="811" width="4" style="256" customWidth="1"/>
    <col min="812" max="812" width="13" style="256" customWidth="1"/>
    <col min="813" max="813" width="7.73046875" style="256" customWidth="1"/>
    <col min="814" max="814" width="5.59765625" style="256" customWidth="1"/>
    <col min="815" max="815" width="5.73046875" style="256" customWidth="1"/>
    <col min="816" max="816" width="8.1328125" style="256" customWidth="1"/>
    <col min="817" max="818" width="7.59765625" style="256" customWidth="1"/>
    <col min="819" max="819" width="6.73046875" style="256" customWidth="1"/>
    <col min="820" max="820" width="4" style="256" customWidth="1"/>
    <col min="821" max="821" width="7.265625" style="256" customWidth="1"/>
    <col min="822" max="822" width="4" style="256" customWidth="1"/>
    <col min="823" max="823" width="13" style="256" customWidth="1"/>
    <col min="824" max="824" width="7.73046875" style="256" customWidth="1"/>
    <col min="825" max="825" width="5.59765625" style="256" customWidth="1"/>
    <col min="826" max="826" width="5.73046875" style="256" customWidth="1"/>
    <col min="827" max="827" width="8.1328125" style="256" customWidth="1"/>
    <col min="828" max="829" width="7.59765625" style="256" customWidth="1"/>
    <col min="830" max="830" width="6.73046875" style="256" customWidth="1"/>
    <col min="831" max="831" width="4" style="256" customWidth="1"/>
    <col min="832" max="832" width="7.265625" style="256" customWidth="1"/>
    <col min="833" max="833" width="4.3984375" style="256" customWidth="1"/>
    <col min="834" max="834" width="13" style="256" customWidth="1"/>
    <col min="835" max="835" width="7.73046875" style="256" customWidth="1"/>
    <col min="836" max="836" width="5.59765625" style="256" customWidth="1"/>
    <col min="837" max="837" width="5.73046875" style="256" customWidth="1"/>
    <col min="838" max="838" width="8.1328125" style="256" customWidth="1"/>
    <col min="839" max="840" width="7.59765625" style="256" customWidth="1"/>
    <col min="841" max="841" width="6.73046875" style="256" customWidth="1"/>
    <col min="842" max="842" width="4" style="256" customWidth="1"/>
    <col min="843" max="843" width="7.265625" style="256" customWidth="1"/>
    <col min="844" max="844" width="4" style="256" customWidth="1"/>
    <col min="845" max="845" width="13" style="256" customWidth="1"/>
    <col min="846" max="846" width="7.73046875" style="256" customWidth="1"/>
    <col min="847" max="847" width="5.59765625" style="256" customWidth="1"/>
    <col min="848" max="848" width="5.73046875" style="256" customWidth="1"/>
    <col min="849" max="849" width="8.1328125" style="256" customWidth="1"/>
    <col min="850" max="851" width="7.59765625" style="256" customWidth="1"/>
    <col min="852" max="852" width="6.73046875" style="256" customWidth="1"/>
    <col min="853" max="853" width="4" style="256" customWidth="1"/>
    <col min="854" max="854" width="7.265625" style="256" customWidth="1"/>
    <col min="855" max="855" width="4" style="256" customWidth="1"/>
    <col min="856" max="856" width="13" style="256" customWidth="1"/>
    <col min="857" max="857" width="7.73046875" style="256" customWidth="1"/>
    <col min="858" max="858" width="5.59765625" style="256" customWidth="1"/>
    <col min="859" max="859" width="5.73046875" style="256" customWidth="1"/>
    <col min="860" max="860" width="8.1328125" style="256" customWidth="1"/>
    <col min="861" max="862" width="7.59765625" style="256" customWidth="1"/>
    <col min="863" max="863" width="6.73046875" style="256" customWidth="1"/>
    <col min="864" max="864" width="4" style="256" customWidth="1"/>
    <col min="865" max="865" width="7.265625" style="256" customWidth="1"/>
    <col min="866" max="866" width="4" style="256" customWidth="1"/>
    <col min="867" max="867" width="13" style="256" customWidth="1"/>
    <col min="868" max="868" width="7.73046875" style="256" customWidth="1"/>
    <col min="869" max="869" width="5.59765625" style="256" customWidth="1"/>
    <col min="870" max="870" width="5.73046875" style="256" customWidth="1"/>
    <col min="871" max="871" width="8.1328125" style="256" customWidth="1"/>
    <col min="872" max="873" width="7.59765625" style="256" customWidth="1"/>
    <col min="874" max="874" width="6.73046875" style="256" customWidth="1"/>
    <col min="875" max="875" width="4" style="256" customWidth="1"/>
    <col min="876" max="876" width="7.265625" style="256" customWidth="1"/>
    <col min="877" max="877" width="4" style="256" customWidth="1"/>
    <col min="878" max="878" width="13" style="256" customWidth="1"/>
    <col min="879" max="879" width="7.73046875" style="256" customWidth="1"/>
    <col min="880" max="880" width="5.59765625" style="256" customWidth="1"/>
    <col min="881" max="881" width="5.73046875" style="256" customWidth="1"/>
    <col min="882" max="882" width="8.1328125" style="256" customWidth="1"/>
    <col min="883" max="884" width="7.59765625" style="256" customWidth="1"/>
    <col min="885" max="885" width="6.73046875" style="256" customWidth="1"/>
    <col min="886" max="886" width="4" style="256" customWidth="1"/>
    <col min="887" max="887" width="7.265625" style="256" customWidth="1"/>
    <col min="888" max="888" width="4" style="256" customWidth="1"/>
    <col min="889" max="889" width="13" style="256" customWidth="1"/>
    <col min="890" max="890" width="7.73046875" style="256" customWidth="1"/>
    <col min="891" max="891" width="5.59765625" style="256" customWidth="1"/>
    <col min="892" max="892" width="5.73046875" style="256" customWidth="1"/>
    <col min="893" max="893" width="8.1328125" style="256" customWidth="1"/>
    <col min="894" max="895" width="7.59765625" style="256" customWidth="1"/>
    <col min="896" max="896" width="6.73046875" style="256" customWidth="1"/>
    <col min="897" max="897" width="4" style="256" customWidth="1"/>
    <col min="898" max="898" width="7.265625" style="256" customWidth="1"/>
    <col min="899" max="899" width="4" style="256" customWidth="1"/>
    <col min="900" max="900" width="13" style="256" customWidth="1"/>
    <col min="901" max="901" width="7.73046875" style="256" customWidth="1"/>
    <col min="902" max="902" width="5.59765625" style="256" customWidth="1"/>
    <col min="903" max="903" width="5.73046875" style="256" customWidth="1"/>
    <col min="904" max="904" width="8.1328125" style="256" customWidth="1"/>
    <col min="905" max="906" width="7.59765625" style="256" customWidth="1"/>
    <col min="907" max="907" width="6.73046875" style="256" customWidth="1"/>
    <col min="908" max="908" width="4" style="256" customWidth="1"/>
    <col min="909" max="909" width="7.265625" style="256" customWidth="1"/>
    <col min="910" max="910" width="4" style="256" customWidth="1"/>
    <col min="911" max="911" width="13" style="256" customWidth="1"/>
    <col min="912" max="912" width="7.73046875" style="256" customWidth="1"/>
    <col min="913" max="913" width="5.59765625" style="256" customWidth="1"/>
    <col min="914" max="915" width="9.1328125" style="256"/>
    <col min="916" max="916" width="6.59765625" style="256" customWidth="1"/>
    <col min="917" max="917" width="8.73046875" style="256" customWidth="1"/>
    <col min="918" max="918" width="7.3984375" style="256" customWidth="1"/>
    <col min="919" max="919" width="7.265625" style="256" customWidth="1"/>
    <col min="920" max="920" width="7.73046875" style="256" customWidth="1"/>
    <col min="921" max="921" width="4.3984375" style="256" customWidth="1"/>
    <col min="922" max="922" width="9.1328125" style="256"/>
    <col min="923" max="923" width="6" style="256" customWidth="1"/>
    <col min="924" max="924" width="12.265625" style="256" customWidth="1"/>
    <col min="925" max="925" width="8" style="256" customWidth="1"/>
    <col min="926" max="928" width="9.1328125" style="256"/>
    <col min="929" max="929" width="7.73046875" style="256" customWidth="1"/>
    <col min="930" max="930" width="8.265625" style="256" customWidth="1"/>
    <col min="931" max="931" width="7.1328125" style="256" customWidth="1"/>
    <col min="932" max="932" width="7.59765625" style="256" customWidth="1"/>
    <col min="933" max="933" width="7.3984375" style="256" customWidth="1"/>
    <col min="934" max="934" width="4.86328125" style="256" customWidth="1"/>
    <col min="935" max="935" width="9.1328125" style="256"/>
    <col min="936" max="936" width="5" style="256" customWidth="1"/>
    <col min="937" max="937" width="12.265625" style="256" customWidth="1"/>
    <col min="938" max="938" width="7.86328125" style="256" customWidth="1"/>
    <col min="939" max="941" width="9.1328125" style="256"/>
    <col min="942" max="942" width="7.265625" style="256" customWidth="1"/>
    <col min="943" max="943" width="8.1328125" style="256" customWidth="1"/>
    <col min="944" max="944" width="6.86328125" style="256" customWidth="1"/>
    <col min="945" max="945" width="8" style="256" customWidth="1"/>
    <col min="946" max="946" width="7.3984375" style="256" customWidth="1"/>
    <col min="947" max="947" width="4.59765625" style="256" customWidth="1"/>
    <col min="948" max="948" width="9.1328125" style="256"/>
    <col min="949" max="949" width="4.1328125" style="256" customWidth="1"/>
    <col min="950" max="950" width="12" style="256" customWidth="1"/>
    <col min="951" max="951" width="8.1328125" style="256" customWidth="1"/>
    <col min="952" max="954" width="9.1328125" style="256"/>
    <col min="955" max="955" width="5.3984375" style="256" customWidth="1"/>
    <col min="956" max="956" width="7.73046875" style="256" customWidth="1"/>
    <col min="957" max="957" width="5.1328125" style="256" customWidth="1"/>
    <col min="958" max="958" width="7.3984375" style="256" customWidth="1"/>
    <col min="959" max="959" width="7.1328125" style="256" customWidth="1"/>
    <col min="960" max="960" width="4.265625" style="256" customWidth="1"/>
    <col min="961" max="961" width="9.1328125" style="256"/>
    <col min="962" max="962" width="5.1328125" style="256" customWidth="1"/>
    <col min="963" max="963" width="12.265625" style="256" customWidth="1"/>
    <col min="964" max="964" width="7.73046875" style="256" customWidth="1"/>
    <col min="965" max="966" width="9.1328125" style="256"/>
    <col min="967" max="967" width="6.73046875" style="256" customWidth="1"/>
    <col min="968" max="968" width="7.59765625" style="256" customWidth="1"/>
    <col min="969" max="969" width="6.265625" style="256" customWidth="1"/>
    <col min="970" max="970" width="8.1328125" style="256" customWidth="1"/>
    <col min="971" max="971" width="7.1328125" style="256" customWidth="1"/>
    <col min="972" max="972" width="4.3984375" style="256" customWidth="1"/>
    <col min="973" max="973" width="9.1328125" style="256"/>
    <col min="974" max="974" width="3.86328125" style="256" customWidth="1"/>
    <col min="975" max="975" width="12.265625" style="256" customWidth="1"/>
    <col min="976" max="976" width="8.3984375" style="256" customWidth="1"/>
    <col min="977" max="978" width="9.1328125" style="256"/>
    <col min="979" max="979" width="8.1328125" style="256" customWidth="1"/>
    <col min="980" max="980" width="8.3984375" style="256" customWidth="1"/>
    <col min="981" max="981" width="7" style="256" customWidth="1"/>
    <col min="982" max="982" width="8.3984375" style="256" customWidth="1"/>
    <col min="983" max="983" width="9.1328125" style="256"/>
    <col min="984" max="984" width="6.1328125" style="256" customWidth="1"/>
    <col min="985" max="985" width="9.1328125" style="256"/>
    <col min="986" max="986" width="6.73046875" style="256" customWidth="1"/>
    <col min="987" max="1003" width="9.1328125" style="256"/>
    <col min="1004" max="1004" width="5.59765625" style="256" customWidth="1"/>
    <col min="1005" max="1005" width="5.73046875" style="256" customWidth="1"/>
    <col min="1006" max="1006" width="8.1328125" style="256" customWidth="1"/>
    <col min="1007" max="1008" width="7.59765625" style="256" customWidth="1"/>
    <col min="1009" max="1009" width="6.73046875" style="256" customWidth="1"/>
    <col min="1010" max="1010" width="4" style="256" customWidth="1"/>
    <col min="1011" max="1011" width="7.265625" style="256" customWidth="1"/>
    <col min="1012" max="1012" width="4" style="256" customWidth="1"/>
    <col min="1013" max="1013" width="13" style="256" customWidth="1"/>
    <col min="1014" max="1014" width="8" style="256" customWidth="1"/>
    <col min="1015" max="1015" width="5.59765625" style="256" customWidth="1"/>
    <col min="1016" max="1016" width="5.73046875" style="256" customWidth="1"/>
    <col min="1017" max="1017" width="8.1328125" style="256" customWidth="1"/>
    <col min="1018" max="1019" width="7.59765625" style="256" customWidth="1"/>
    <col min="1020" max="1020" width="6.73046875" style="256" customWidth="1"/>
    <col min="1021" max="1021" width="4" style="256" customWidth="1"/>
    <col min="1022" max="1022" width="7.265625" style="256" customWidth="1"/>
    <col min="1023" max="1023" width="4" style="256" customWidth="1"/>
    <col min="1024" max="1024" width="13" style="256" customWidth="1"/>
    <col min="1025" max="1025" width="7.73046875" style="256" customWidth="1"/>
    <col min="1026" max="1026" width="5.59765625" style="256" customWidth="1"/>
    <col min="1027" max="1027" width="5.73046875" style="256" customWidth="1"/>
    <col min="1028" max="1028" width="8.1328125" style="256" customWidth="1"/>
    <col min="1029" max="1030" width="7.59765625" style="256" customWidth="1"/>
    <col min="1031" max="1031" width="6.73046875" style="256" customWidth="1"/>
    <col min="1032" max="1032" width="4" style="256" customWidth="1"/>
    <col min="1033" max="1033" width="7.265625" style="256" customWidth="1"/>
    <col min="1034" max="1034" width="4" style="256" customWidth="1"/>
    <col min="1035" max="1035" width="13" style="256" customWidth="1"/>
    <col min="1036" max="1036" width="7.73046875" style="256" customWidth="1"/>
    <col min="1037" max="1037" width="5.59765625" style="256" customWidth="1"/>
    <col min="1038" max="1038" width="5.73046875" style="256" customWidth="1"/>
    <col min="1039" max="1039" width="8.1328125" style="256" customWidth="1"/>
    <col min="1040" max="1041" width="7.59765625" style="256" customWidth="1"/>
    <col min="1042" max="1042" width="6.73046875" style="256" customWidth="1"/>
    <col min="1043" max="1043" width="4" style="256" customWidth="1"/>
    <col min="1044" max="1044" width="7.265625" style="256" customWidth="1"/>
    <col min="1045" max="1045" width="4" style="256" customWidth="1"/>
    <col min="1046" max="1046" width="13" style="256" customWidth="1"/>
    <col min="1047" max="1047" width="7.73046875" style="256" customWidth="1"/>
    <col min="1048" max="1048" width="5.59765625" style="256" customWidth="1"/>
    <col min="1049" max="1049" width="5.73046875" style="256" customWidth="1"/>
    <col min="1050" max="1050" width="8.1328125" style="256" customWidth="1"/>
    <col min="1051" max="1052" width="7.59765625" style="256" customWidth="1"/>
    <col min="1053" max="1053" width="6.73046875" style="256" customWidth="1"/>
    <col min="1054" max="1054" width="4" style="256" customWidth="1"/>
    <col min="1055" max="1055" width="7.265625" style="256" customWidth="1"/>
    <col min="1056" max="1056" width="4" style="256" customWidth="1"/>
    <col min="1057" max="1057" width="13" style="256" customWidth="1"/>
    <col min="1058" max="1058" width="7.73046875" style="256" customWidth="1"/>
    <col min="1059" max="1059" width="5.59765625" style="256" customWidth="1"/>
    <col min="1060" max="1060" width="5.73046875" style="256" customWidth="1"/>
    <col min="1061" max="1061" width="8.1328125" style="256" customWidth="1"/>
    <col min="1062" max="1063" width="7.59765625" style="256" customWidth="1"/>
    <col min="1064" max="1064" width="6.73046875" style="256" customWidth="1"/>
    <col min="1065" max="1065" width="4" style="256" customWidth="1"/>
    <col min="1066" max="1066" width="7.265625" style="256" customWidth="1"/>
    <col min="1067" max="1067" width="4" style="256" customWidth="1"/>
    <col min="1068" max="1068" width="13" style="256" customWidth="1"/>
    <col min="1069" max="1069" width="7.73046875" style="256" customWidth="1"/>
    <col min="1070" max="1070" width="5.59765625" style="256" customWidth="1"/>
    <col min="1071" max="1071" width="5.73046875" style="256" customWidth="1"/>
    <col min="1072" max="1072" width="8.1328125" style="256" customWidth="1"/>
    <col min="1073" max="1074" width="7.59765625" style="256" customWidth="1"/>
    <col min="1075" max="1075" width="6.73046875" style="256" customWidth="1"/>
    <col min="1076" max="1076" width="4" style="256" customWidth="1"/>
    <col min="1077" max="1077" width="7.265625" style="256" customWidth="1"/>
    <col min="1078" max="1078" width="4" style="256" customWidth="1"/>
    <col min="1079" max="1079" width="13" style="256" customWidth="1"/>
    <col min="1080" max="1080" width="7.73046875" style="256" customWidth="1"/>
    <col min="1081" max="1081" width="5.59765625" style="256" customWidth="1"/>
    <col min="1082" max="1082" width="5.73046875" style="256" customWidth="1"/>
    <col min="1083" max="1083" width="8.1328125" style="256" customWidth="1"/>
    <col min="1084" max="1085" width="7.59765625" style="256" customWidth="1"/>
    <col min="1086" max="1086" width="6.73046875" style="256" customWidth="1"/>
    <col min="1087" max="1087" width="4" style="256" customWidth="1"/>
    <col min="1088" max="1088" width="7.265625" style="256" customWidth="1"/>
    <col min="1089" max="1089" width="4.3984375" style="256" customWidth="1"/>
    <col min="1090" max="1090" width="13" style="256" customWidth="1"/>
    <col min="1091" max="1091" width="7.73046875" style="256" customWidth="1"/>
    <col min="1092" max="1092" width="5.59765625" style="256" customWidth="1"/>
    <col min="1093" max="1093" width="5.73046875" style="256" customWidth="1"/>
    <col min="1094" max="1094" width="8.1328125" style="256" customWidth="1"/>
    <col min="1095" max="1096" width="7.59765625" style="256" customWidth="1"/>
    <col min="1097" max="1097" width="6.73046875" style="256" customWidth="1"/>
    <col min="1098" max="1098" width="4" style="256" customWidth="1"/>
    <col min="1099" max="1099" width="7.265625" style="256" customWidth="1"/>
    <col min="1100" max="1100" width="4" style="256" customWidth="1"/>
    <col min="1101" max="1101" width="13" style="256" customWidth="1"/>
    <col min="1102" max="1102" width="7.73046875" style="256" customWidth="1"/>
    <col min="1103" max="1103" width="5.59765625" style="256" customWidth="1"/>
    <col min="1104" max="1104" width="5.73046875" style="256" customWidth="1"/>
    <col min="1105" max="1105" width="8.1328125" style="256" customWidth="1"/>
    <col min="1106" max="1107" width="7.59765625" style="256" customWidth="1"/>
    <col min="1108" max="1108" width="6.73046875" style="256" customWidth="1"/>
    <col min="1109" max="1109" width="4" style="256" customWidth="1"/>
    <col min="1110" max="1110" width="7.265625" style="256" customWidth="1"/>
    <col min="1111" max="1111" width="4" style="256" customWidth="1"/>
    <col min="1112" max="1112" width="13" style="256" customWidth="1"/>
    <col min="1113" max="1113" width="7.73046875" style="256" customWidth="1"/>
    <col min="1114" max="1114" width="5.59765625" style="256" customWidth="1"/>
    <col min="1115" max="1115" width="5.73046875" style="256" customWidth="1"/>
    <col min="1116" max="1116" width="8.1328125" style="256" customWidth="1"/>
    <col min="1117" max="1118" width="7.59765625" style="256" customWidth="1"/>
    <col min="1119" max="1119" width="6.73046875" style="256" customWidth="1"/>
    <col min="1120" max="1120" width="4" style="256" customWidth="1"/>
    <col min="1121" max="1121" width="7.265625" style="256" customWidth="1"/>
    <col min="1122" max="1122" width="4" style="256" customWidth="1"/>
    <col min="1123" max="1123" width="13" style="256" customWidth="1"/>
    <col min="1124" max="1124" width="7.73046875" style="256" customWidth="1"/>
    <col min="1125" max="1125" width="5.59765625" style="256" customWidth="1"/>
    <col min="1126" max="1126" width="5.73046875" style="256" customWidth="1"/>
    <col min="1127" max="1127" width="8.1328125" style="256" customWidth="1"/>
    <col min="1128" max="1129" width="7.59765625" style="256" customWidth="1"/>
    <col min="1130" max="1130" width="6.73046875" style="256" customWidth="1"/>
    <col min="1131" max="1131" width="4" style="256" customWidth="1"/>
    <col min="1132" max="1132" width="7.265625" style="256" customWidth="1"/>
    <col min="1133" max="1133" width="4" style="256" customWidth="1"/>
    <col min="1134" max="1134" width="13" style="256" customWidth="1"/>
    <col min="1135" max="1135" width="7.73046875" style="256" customWidth="1"/>
    <col min="1136" max="1136" width="5.59765625" style="256" customWidth="1"/>
    <col min="1137" max="1137" width="5.73046875" style="256" customWidth="1"/>
    <col min="1138" max="1138" width="8.1328125" style="256" customWidth="1"/>
    <col min="1139" max="1140" width="7.59765625" style="256" customWidth="1"/>
    <col min="1141" max="1141" width="6.73046875" style="256" customWidth="1"/>
    <col min="1142" max="1142" width="4" style="256" customWidth="1"/>
    <col min="1143" max="1143" width="7.265625" style="256" customWidth="1"/>
    <col min="1144" max="1144" width="4" style="256" customWidth="1"/>
    <col min="1145" max="1145" width="13" style="256" customWidth="1"/>
    <col min="1146" max="1146" width="7.73046875" style="256" customWidth="1"/>
    <col min="1147" max="1147" width="5.59765625" style="256" customWidth="1"/>
    <col min="1148" max="1148" width="5.73046875" style="256" customWidth="1"/>
    <col min="1149" max="1149" width="8.1328125" style="256" customWidth="1"/>
    <col min="1150" max="1151" width="7.59765625" style="256" customWidth="1"/>
    <col min="1152" max="1152" width="6.73046875" style="256" customWidth="1"/>
    <col min="1153" max="1153" width="4" style="256" customWidth="1"/>
    <col min="1154" max="1154" width="7.265625" style="256" customWidth="1"/>
    <col min="1155" max="1155" width="4" style="256" customWidth="1"/>
    <col min="1156" max="1156" width="13" style="256" customWidth="1"/>
    <col min="1157" max="1157" width="7.73046875" style="256" customWidth="1"/>
    <col min="1158" max="1158" width="5.59765625" style="256" customWidth="1"/>
    <col min="1159" max="1159" width="5.73046875" style="256" customWidth="1"/>
    <col min="1160" max="1160" width="8.1328125" style="256" customWidth="1"/>
    <col min="1161" max="1162" width="7.59765625" style="256" customWidth="1"/>
    <col min="1163" max="1163" width="6.73046875" style="256" customWidth="1"/>
    <col min="1164" max="1164" width="4" style="256" customWidth="1"/>
    <col min="1165" max="1165" width="7.265625" style="256" customWidth="1"/>
    <col min="1166" max="1166" width="4" style="256" customWidth="1"/>
    <col min="1167" max="1167" width="13" style="256" customWidth="1"/>
    <col min="1168" max="1168" width="7.73046875" style="256" customWidth="1"/>
    <col min="1169" max="1169" width="5.59765625" style="256" customWidth="1"/>
    <col min="1170" max="1171" width="9.1328125" style="256"/>
    <col min="1172" max="1172" width="6.59765625" style="256" customWidth="1"/>
    <col min="1173" max="1173" width="8.73046875" style="256" customWidth="1"/>
    <col min="1174" max="1174" width="7.3984375" style="256" customWidth="1"/>
    <col min="1175" max="1175" width="7.265625" style="256" customWidth="1"/>
    <col min="1176" max="1176" width="7.73046875" style="256" customWidth="1"/>
    <col min="1177" max="1177" width="4.3984375" style="256" customWidth="1"/>
    <col min="1178" max="1178" width="9.1328125" style="256"/>
    <col min="1179" max="1179" width="6" style="256" customWidth="1"/>
    <col min="1180" max="1180" width="12.265625" style="256" customWidth="1"/>
    <col min="1181" max="1181" width="8" style="256" customWidth="1"/>
    <col min="1182" max="1184" width="9.1328125" style="256"/>
    <col min="1185" max="1185" width="7.73046875" style="256" customWidth="1"/>
    <col min="1186" max="1186" width="8.265625" style="256" customWidth="1"/>
    <col min="1187" max="1187" width="7.1328125" style="256" customWidth="1"/>
    <col min="1188" max="1188" width="7.59765625" style="256" customWidth="1"/>
    <col min="1189" max="1189" width="7.3984375" style="256" customWidth="1"/>
    <col min="1190" max="1190" width="4.86328125" style="256" customWidth="1"/>
    <col min="1191" max="1191" width="9.1328125" style="256"/>
    <col min="1192" max="1192" width="5" style="256" customWidth="1"/>
    <col min="1193" max="1193" width="12.265625" style="256" customWidth="1"/>
    <col min="1194" max="1194" width="7.86328125" style="256" customWidth="1"/>
    <col min="1195" max="1197" width="9.1328125" style="256"/>
    <col min="1198" max="1198" width="7.265625" style="256" customWidth="1"/>
    <col min="1199" max="1199" width="8.1328125" style="256" customWidth="1"/>
    <col min="1200" max="1200" width="6.86328125" style="256" customWidth="1"/>
    <col min="1201" max="1201" width="8" style="256" customWidth="1"/>
    <col min="1202" max="1202" width="7.3984375" style="256" customWidth="1"/>
    <col min="1203" max="1203" width="4.59765625" style="256" customWidth="1"/>
    <col min="1204" max="1204" width="9.1328125" style="256"/>
    <col min="1205" max="1205" width="4.1328125" style="256" customWidth="1"/>
    <col min="1206" max="1206" width="12" style="256" customWidth="1"/>
    <col min="1207" max="1207" width="8.1328125" style="256" customWidth="1"/>
    <col min="1208" max="1210" width="9.1328125" style="256"/>
    <col min="1211" max="1211" width="5.3984375" style="256" customWidth="1"/>
    <col min="1212" max="1212" width="7.73046875" style="256" customWidth="1"/>
    <col min="1213" max="1213" width="5.1328125" style="256" customWidth="1"/>
    <col min="1214" max="1214" width="7.3984375" style="256" customWidth="1"/>
    <col min="1215" max="1215" width="7.1328125" style="256" customWidth="1"/>
    <col min="1216" max="1216" width="4.265625" style="256" customWidth="1"/>
    <col min="1217" max="1217" width="9.1328125" style="256"/>
    <col min="1218" max="1218" width="5.1328125" style="256" customWidth="1"/>
    <col min="1219" max="1219" width="12.265625" style="256" customWidth="1"/>
    <col min="1220" max="1220" width="7.73046875" style="256" customWidth="1"/>
    <col min="1221" max="1222" width="9.1328125" style="256"/>
    <col min="1223" max="1223" width="6.73046875" style="256" customWidth="1"/>
    <col min="1224" max="1224" width="7.59765625" style="256" customWidth="1"/>
    <col min="1225" max="1225" width="6.265625" style="256" customWidth="1"/>
    <col min="1226" max="1226" width="8.1328125" style="256" customWidth="1"/>
    <col min="1227" max="1227" width="7.1328125" style="256" customWidth="1"/>
    <col min="1228" max="1228" width="4.3984375" style="256" customWidth="1"/>
    <col min="1229" max="1229" width="9.1328125" style="256"/>
    <col min="1230" max="1230" width="3.86328125" style="256" customWidth="1"/>
    <col min="1231" max="1231" width="12.265625" style="256" customWidth="1"/>
    <col min="1232" max="1232" width="8.3984375" style="256" customWidth="1"/>
    <col min="1233" max="1234" width="9.1328125" style="256"/>
    <col min="1235" max="1235" width="8.1328125" style="256" customWidth="1"/>
    <col min="1236" max="1236" width="8.3984375" style="256" customWidth="1"/>
    <col min="1237" max="1237" width="7" style="256" customWidth="1"/>
    <col min="1238" max="1238" width="8.3984375" style="256" customWidth="1"/>
    <col min="1239" max="1239" width="9.1328125" style="256"/>
    <col min="1240" max="1240" width="6.1328125" style="256" customWidth="1"/>
    <col min="1241" max="1241" width="9.1328125" style="256"/>
    <col min="1242" max="1242" width="6.73046875" style="256" customWidth="1"/>
    <col min="1243" max="1259" width="9.1328125" style="256"/>
    <col min="1260" max="1260" width="5.59765625" style="256" customWidth="1"/>
    <col min="1261" max="1261" width="5.73046875" style="256" customWidth="1"/>
    <col min="1262" max="1262" width="8.1328125" style="256" customWidth="1"/>
    <col min="1263" max="1264" width="7.59765625" style="256" customWidth="1"/>
    <col min="1265" max="1265" width="6.73046875" style="256" customWidth="1"/>
    <col min="1266" max="1266" width="4" style="256" customWidth="1"/>
    <col min="1267" max="1267" width="7.265625" style="256" customWidth="1"/>
    <col min="1268" max="1268" width="4" style="256" customWidth="1"/>
    <col min="1269" max="1269" width="13" style="256" customWidth="1"/>
    <col min="1270" max="1270" width="8" style="256" customWidth="1"/>
    <col min="1271" max="1271" width="5.59765625" style="256" customWidth="1"/>
    <col min="1272" max="1272" width="5.73046875" style="256" customWidth="1"/>
    <col min="1273" max="1273" width="8.1328125" style="256" customWidth="1"/>
    <col min="1274" max="1275" width="7.59765625" style="256" customWidth="1"/>
    <col min="1276" max="1276" width="6.73046875" style="256" customWidth="1"/>
    <col min="1277" max="1277" width="4" style="256" customWidth="1"/>
    <col min="1278" max="1278" width="7.265625" style="256" customWidth="1"/>
    <col min="1279" max="1279" width="4" style="256" customWidth="1"/>
    <col min="1280" max="1280" width="13" style="256" customWidth="1"/>
    <col min="1281" max="1281" width="7.73046875" style="256" customWidth="1"/>
    <col min="1282" max="1282" width="5.59765625" style="256" customWidth="1"/>
    <col min="1283" max="1283" width="5.73046875" style="256" customWidth="1"/>
    <col min="1284" max="1284" width="8.1328125" style="256" customWidth="1"/>
    <col min="1285" max="1286" width="7.59765625" style="256" customWidth="1"/>
    <col min="1287" max="1287" width="6.73046875" style="256" customWidth="1"/>
    <col min="1288" max="1288" width="4" style="256" customWidth="1"/>
    <col min="1289" max="1289" width="7.265625" style="256" customWidth="1"/>
    <col min="1290" max="1290" width="4" style="256" customWidth="1"/>
    <col min="1291" max="1291" width="13" style="256" customWidth="1"/>
    <col min="1292" max="1292" width="7.73046875" style="256" customWidth="1"/>
    <col min="1293" max="1293" width="5.59765625" style="256" customWidth="1"/>
    <col min="1294" max="1294" width="5.73046875" style="256" customWidth="1"/>
    <col min="1295" max="1295" width="8.1328125" style="256" customWidth="1"/>
    <col min="1296" max="1297" width="7.59765625" style="256" customWidth="1"/>
    <col min="1298" max="1298" width="6.73046875" style="256" customWidth="1"/>
    <col min="1299" max="1299" width="4" style="256" customWidth="1"/>
    <col min="1300" max="1300" width="7.265625" style="256" customWidth="1"/>
    <col min="1301" max="1301" width="4" style="256" customWidth="1"/>
    <col min="1302" max="1302" width="13" style="256" customWidth="1"/>
    <col min="1303" max="1303" width="7.73046875" style="256" customWidth="1"/>
    <col min="1304" max="1304" width="5.59765625" style="256" customWidth="1"/>
    <col min="1305" max="1305" width="5.73046875" style="256" customWidth="1"/>
    <col min="1306" max="1306" width="8.1328125" style="256" customWidth="1"/>
    <col min="1307" max="1308" width="7.59765625" style="256" customWidth="1"/>
    <col min="1309" max="1309" width="6.73046875" style="256" customWidth="1"/>
    <col min="1310" max="1310" width="4" style="256" customWidth="1"/>
    <col min="1311" max="1311" width="7.265625" style="256" customWidth="1"/>
    <col min="1312" max="1312" width="4" style="256" customWidth="1"/>
    <col min="1313" max="1313" width="13" style="256" customWidth="1"/>
    <col min="1314" max="1314" width="7.73046875" style="256" customWidth="1"/>
    <col min="1315" max="1315" width="5.59765625" style="256" customWidth="1"/>
    <col min="1316" max="1316" width="5.73046875" style="256" customWidth="1"/>
    <col min="1317" max="1317" width="8.1328125" style="256" customWidth="1"/>
    <col min="1318" max="1319" width="7.59765625" style="256" customWidth="1"/>
    <col min="1320" max="1320" width="6.73046875" style="256" customWidth="1"/>
    <col min="1321" max="1321" width="4" style="256" customWidth="1"/>
    <col min="1322" max="1322" width="7.265625" style="256" customWidth="1"/>
    <col min="1323" max="1323" width="4" style="256" customWidth="1"/>
    <col min="1324" max="1324" width="13" style="256" customWidth="1"/>
    <col min="1325" max="1325" width="7.73046875" style="256" customWidth="1"/>
    <col min="1326" max="1326" width="5.59765625" style="256" customWidth="1"/>
    <col min="1327" max="1327" width="5.73046875" style="256" customWidth="1"/>
    <col min="1328" max="1328" width="8.1328125" style="256" customWidth="1"/>
    <col min="1329" max="1330" width="7.59765625" style="256" customWidth="1"/>
    <col min="1331" max="1331" width="6.73046875" style="256" customWidth="1"/>
    <col min="1332" max="1332" width="4" style="256" customWidth="1"/>
    <col min="1333" max="1333" width="7.265625" style="256" customWidth="1"/>
    <col min="1334" max="1334" width="4" style="256" customWidth="1"/>
    <col min="1335" max="1335" width="13" style="256" customWidth="1"/>
    <col min="1336" max="1336" width="7.73046875" style="256" customWidth="1"/>
    <col min="1337" max="1337" width="5.59765625" style="256" customWidth="1"/>
    <col min="1338" max="1338" width="5.73046875" style="256" customWidth="1"/>
    <col min="1339" max="1339" width="8.1328125" style="256" customWidth="1"/>
    <col min="1340" max="1341" width="7.59765625" style="256" customWidth="1"/>
    <col min="1342" max="1342" width="6.73046875" style="256" customWidth="1"/>
    <col min="1343" max="1343" width="4" style="256" customWidth="1"/>
    <col min="1344" max="1344" width="7.265625" style="256" customWidth="1"/>
    <col min="1345" max="1345" width="4.3984375" style="256" customWidth="1"/>
    <col min="1346" max="1346" width="13" style="256" customWidth="1"/>
    <col min="1347" max="1347" width="7.73046875" style="256" customWidth="1"/>
    <col min="1348" max="1348" width="5.59765625" style="256" customWidth="1"/>
    <col min="1349" max="1349" width="5.73046875" style="256" customWidth="1"/>
    <col min="1350" max="1350" width="8.1328125" style="256" customWidth="1"/>
    <col min="1351" max="1352" width="7.59765625" style="256" customWidth="1"/>
    <col min="1353" max="1353" width="6.73046875" style="256" customWidth="1"/>
    <col min="1354" max="1354" width="4" style="256" customWidth="1"/>
    <col min="1355" max="1355" width="7.265625" style="256" customWidth="1"/>
    <col min="1356" max="1356" width="4" style="256" customWidth="1"/>
    <col min="1357" max="1357" width="13" style="256" customWidth="1"/>
    <col min="1358" max="1358" width="7.73046875" style="256" customWidth="1"/>
    <col min="1359" max="1359" width="5.59765625" style="256" customWidth="1"/>
    <col min="1360" max="1360" width="5.73046875" style="256" customWidth="1"/>
    <col min="1361" max="1361" width="8.1328125" style="256" customWidth="1"/>
    <col min="1362" max="1363" width="7.59765625" style="256" customWidth="1"/>
    <col min="1364" max="1364" width="6.73046875" style="256" customWidth="1"/>
    <col min="1365" max="1365" width="4" style="256" customWidth="1"/>
    <col min="1366" max="1366" width="7.265625" style="256" customWidth="1"/>
    <col min="1367" max="1367" width="4" style="256" customWidth="1"/>
    <col min="1368" max="1368" width="13" style="256" customWidth="1"/>
    <col min="1369" max="1369" width="7.73046875" style="256" customWidth="1"/>
    <col min="1370" max="1370" width="5.59765625" style="256" customWidth="1"/>
    <col min="1371" max="1371" width="5.73046875" style="256" customWidth="1"/>
    <col min="1372" max="1372" width="8.1328125" style="256" customWidth="1"/>
    <col min="1373" max="1374" width="7.59765625" style="256" customWidth="1"/>
    <col min="1375" max="1375" width="6.73046875" style="256" customWidth="1"/>
    <col min="1376" max="1376" width="4" style="256" customWidth="1"/>
    <col min="1377" max="1377" width="7.265625" style="256" customWidth="1"/>
    <col min="1378" max="1378" width="4" style="256" customWidth="1"/>
    <col min="1379" max="1379" width="13" style="256" customWidth="1"/>
    <col min="1380" max="1380" width="7.73046875" style="256" customWidth="1"/>
    <col min="1381" max="1381" width="5.59765625" style="256" customWidth="1"/>
    <col min="1382" max="1382" width="5.73046875" style="256" customWidth="1"/>
    <col min="1383" max="1383" width="8.1328125" style="256" customWidth="1"/>
    <col min="1384" max="1385" width="7.59765625" style="256" customWidth="1"/>
    <col min="1386" max="1386" width="6.73046875" style="256" customWidth="1"/>
    <col min="1387" max="1387" width="4" style="256" customWidth="1"/>
    <col min="1388" max="1388" width="7.265625" style="256" customWidth="1"/>
    <col min="1389" max="1389" width="4" style="256" customWidth="1"/>
    <col min="1390" max="1390" width="13" style="256" customWidth="1"/>
    <col min="1391" max="1391" width="7.73046875" style="256" customWidth="1"/>
    <col min="1392" max="1392" width="5.59765625" style="256" customWidth="1"/>
    <col min="1393" max="1393" width="5.73046875" style="256" customWidth="1"/>
    <col min="1394" max="1394" width="8.1328125" style="256" customWidth="1"/>
    <col min="1395" max="1396" width="7.59765625" style="256" customWidth="1"/>
    <col min="1397" max="1397" width="6.73046875" style="256" customWidth="1"/>
    <col min="1398" max="1398" width="4" style="256" customWidth="1"/>
    <col min="1399" max="1399" width="7.265625" style="256" customWidth="1"/>
    <col min="1400" max="1400" width="4" style="256" customWidth="1"/>
    <col min="1401" max="1401" width="13" style="256" customWidth="1"/>
    <col min="1402" max="1402" width="7.73046875" style="256" customWidth="1"/>
    <col min="1403" max="1403" width="5.59765625" style="256" customWidth="1"/>
    <col min="1404" max="1404" width="5.73046875" style="256" customWidth="1"/>
    <col min="1405" max="1405" width="8.1328125" style="256" customWidth="1"/>
    <col min="1406" max="1407" width="7.59765625" style="256" customWidth="1"/>
    <col min="1408" max="1408" width="6.73046875" style="256" customWidth="1"/>
    <col min="1409" max="1409" width="4" style="256" customWidth="1"/>
    <col min="1410" max="1410" width="7.265625" style="256" customWidth="1"/>
    <col min="1411" max="1411" width="4" style="256" customWidth="1"/>
    <col min="1412" max="1412" width="13" style="256" customWidth="1"/>
    <col min="1413" max="1413" width="7.73046875" style="256" customWidth="1"/>
    <col min="1414" max="1414" width="5.59765625" style="256" customWidth="1"/>
    <col min="1415" max="1415" width="5.73046875" style="256" customWidth="1"/>
    <col min="1416" max="1416" width="8.1328125" style="256" customWidth="1"/>
    <col min="1417" max="1418" width="7.59765625" style="256" customWidth="1"/>
    <col min="1419" max="1419" width="6.73046875" style="256" customWidth="1"/>
    <col min="1420" max="1420" width="4" style="256" customWidth="1"/>
    <col min="1421" max="1421" width="7.265625" style="256" customWidth="1"/>
    <col min="1422" max="1422" width="4" style="256" customWidth="1"/>
    <col min="1423" max="1423" width="13" style="256" customWidth="1"/>
    <col min="1424" max="1424" width="7.73046875" style="256" customWidth="1"/>
    <col min="1425" max="1425" width="5.59765625" style="256" customWidth="1"/>
    <col min="1426" max="1427" width="9.1328125" style="256"/>
    <col min="1428" max="1428" width="6.59765625" style="256" customWidth="1"/>
    <col min="1429" max="1429" width="8.73046875" style="256" customWidth="1"/>
    <col min="1430" max="1430" width="7.3984375" style="256" customWidth="1"/>
    <col min="1431" max="1431" width="7.265625" style="256" customWidth="1"/>
    <col min="1432" max="1432" width="7.73046875" style="256" customWidth="1"/>
    <col min="1433" max="1433" width="4.3984375" style="256" customWidth="1"/>
    <col min="1434" max="1434" width="9.1328125" style="256"/>
    <col min="1435" max="1435" width="6" style="256" customWidth="1"/>
    <col min="1436" max="1436" width="12.265625" style="256" customWidth="1"/>
    <col min="1437" max="1437" width="8" style="256" customWidth="1"/>
    <col min="1438" max="1440" width="9.1328125" style="256"/>
    <col min="1441" max="1441" width="7.73046875" style="256" customWidth="1"/>
    <col min="1442" max="1442" width="8.265625" style="256" customWidth="1"/>
    <col min="1443" max="1443" width="7.1328125" style="256" customWidth="1"/>
    <col min="1444" max="1444" width="7.59765625" style="256" customWidth="1"/>
    <col min="1445" max="1445" width="7.3984375" style="256" customWidth="1"/>
    <col min="1446" max="1446" width="4.86328125" style="256" customWidth="1"/>
    <col min="1447" max="1447" width="9.1328125" style="256"/>
    <col min="1448" max="1448" width="5" style="256" customWidth="1"/>
    <col min="1449" max="1449" width="12.265625" style="256" customWidth="1"/>
    <col min="1450" max="1450" width="7.86328125" style="256" customWidth="1"/>
    <col min="1451" max="1453" width="9.1328125" style="256"/>
    <col min="1454" max="1454" width="7.265625" style="256" customWidth="1"/>
    <col min="1455" max="1455" width="8.1328125" style="256" customWidth="1"/>
    <col min="1456" max="1456" width="6.86328125" style="256" customWidth="1"/>
    <col min="1457" max="1457" width="8" style="256" customWidth="1"/>
    <col min="1458" max="1458" width="7.3984375" style="256" customWidth="1"/>
    <col min="1459" max="1459" width="4.59765625" style="256" customWidth="1"/>
    <col min="1460" max="1460" width="9.1328125" style="256"/>
    <col min="1461" max="1461" width="4.1328125" style="256" customWidth="1"/>
    <col min="1462" max="1462" width="12" style="256" customWidth="1"/>
    <col min="1463" max="1463" width="8.1328125" style="256" customWidth="1"/>
    <col min="1464" max="1466" width="9.1328125" style="256"/>
    <col min="1467" max="1467" width="5.3984375" style="256" customWidth="1"/>
    <col min="1468" max="1468" width="7.73046875" style="256" customWidth="1"/>
    <col min="1469" max="1469" width="5.1328125" style="256" customWidth="1"/>
    <col min="1470" max="1470" width="7.3984375" style="256" customWidth="1"/>
    <col min="1471" max="1471" width="7.1328125" style="256" customWidth="1"/>
    <col min="1472" max="1472" width="4.265625" style="256" customWidth="1"/>
    <col min="1473" max="1473" width="9.1328125" style="256"/>
    <col min="1474" max="1474" width="5.1328125" style="256" customWidth="1"/>
    <col min="1475" max="1475" width="12.265625" style="256" customWidth="1"/>
    <col min="1476" max="1476" width="7.73046875" style="256" customWidth="1"/>
    <col min="1477" max="1478" width="9.1328125" style="256"/>
    <col min="1479" max="1479" width="6.73046875" style="256" customWidth="1"/>
    <col min="1480" max="1480" width="7.59765625" style="256" customWidth="1"/>
    <col min="1481" max="1481" width="6.265625" style="256" customWidth="1"/>
    <col min="1482" max="1482" width="8.1328125" style="256" customWidth="1"/>
    <col min="1483" max="1483" width="7.1328125" style="256" customWidth="1"/>
    <col min="1484" max="1484" width="4.3984375" style="256" customWidth="1"/>
    <col min="1485" max="1485" width="9.1328125" style="256"/>
    <col min="1486" max="1486" width="3.86328125" style="256" customWidth="1"/>
    <col min="1487" max="1487" width="12.265625" style="256" customWidth="1"/>
    <col min="1488" max="1488" width="8.3984375" style="256" customWidth="1"/>
    <col min="1489" max="1490" width="9.1328125" style="256"/>
    <col min="1491" max="1491" width="8.1328125" style="256" customWidth="1"/>
    <col min="1492" max="1492" width="8.3984375" style="256" customWidth="1"/>
    <col min="1493" max="1493" width="7" style="256" customWidth="1"/>
    <col min="1494" max="1494" width="8.3984375" style="256" customWidth="1"/>
    <col min="1495" max="1495" width="9.1328125" style="256"/>
    <col min="1496" max="1496" width="6.1328125" style="256" customWidth="1"/>
    <col min="1497" max="1497" width="9.1328125" style="256"/>
    <col min="1498" max="1498" width="6.73046875" style="256" customWidth="1"/>
    <col min="1499" max="1515" width="9.1328125" style="256"/>
    <col min="1516" max="1516" width="5.59765625" style="256" customWidth="1"/>
    <col min="1517" max="1517" width="5.73046875" style="256" customWidth="1"/>
    <col min="1518" max="1518" width="8.1328125" style="256" customWidth="1"/>
    <col min="1519" max="1520" width="7.59765625" style="256" customWidth="1"/>
    <col min="1521" max="1521" width="6.73046875" style="256" customWidth="1"/>
    <col min="1522" max="1522" width="4" style="256" customWidth="1"/>
    <col min="1523" max="1523" width="7.265625" style="256" customWidth="1"/>
    <col min="1524" max="1524" width="4" style="256" customWidth="1"/>
    <col min="1525" max="1525" width="13" style="256" customWidth="1"/>
    <col min="1526" max="1526" width="8" style="256" customWidth="1"/>
    <col min="1527" max="1527" width="5.59765625" style="256" customWidth="1"/>
    <col min="1528" max="1528" width="5.73046875" style="256" customWidth="1"/>
    <col min="1529" max="1529" width="8.1328125" style="256" customWidth="1"/>
    <col min="1530" max="1531" width="7.59765625" style="256" customWidth="1"/>
    <col min="1532" max="1532" width="6.73046875" style="256" customWidth="1"/>
    <col min="1533" max="1533" width="4" style="256" customWidth="1"/>
    <col min="1534" max="1534" width="7.265625" style="256" customWidth="1"/>
    <col min="1535" max="1535" width="4" style="256" customWidth="1"/>
    <col min="1536" max="1536" width="13" style="256" customWidth="1"/>
    <col min="1537" max="1537" width="7.73046875" style="256" customWidth="1"/>
    <col min="1538" max="1538" width="5.59765625" style="256" customWidth="1"/>
    <col min="1539" max="1539" width="5.73046875" style="256" customWidth="1"/>
    <col min="1540" max="1540" width="8.1328125" style="256" customWidth="1"/>
    <col min="1541" max="1542" width="7.59765625" style="256" customWidth="1"/>
    <col min="1543" max="1543" width="6.73046875" style="256" customWidth="1"/>
    <col min="1544" max="1544" width="4" style="256" customWidth="1"/>
    <col min="1545" max="1545" width="7.265625" style="256" customWidth="1"/>
    <col min="1546" max="1546" width="4" style="256" customWidth="1"/>
    <col min="1547" max="1547" width="13" style="256" customWidth="1"/>
    <col min="1548" max="1548" width="7.73046875" style="256" customWidth="1"/>
    <col min="1549" max="1549" width="5.59765625" style="256" customWidth="1"/>
    <col min="1550" max="1550" width="5.73046875" style="256" customWidth="1"/>
    <col min="1551" max="1551" width="8.1328125" style="256" customWidth="1"/>
    <col min="1552" max="1553" width="7.59765625" style="256" customWidth="1"/>
    <col min="1554" max="1554" width="6.73046875" style="256" customWidth="1"/>
    <col min="1555" max="1555" width="4" style="256" customWidth="1"/>
    <col min="1556" max="1556" width="7.265625" style="256" customWidth="1"/>
    <col min="1557" max="1557" width="4" style="256" customWidth="1"/>
    <col min="1558" max="1558" width="13" style="256" customWidth="1"/>
    <col min="1559" max="1559" width="7.73046875" style="256" customWidth="1"/>
    <col min="1560" max="1560" width="5.59765625" style="256" customWidth="1"/>
    <col min="1561" max="1561" width="5.73046875" style="256" customWidth="1"/>
    <col min="1562" max="1562" width="8.1328125" style="256" customWidth="1"/>
    <col min="1563" max="1564" width="7.59765625" style="256" customWidth="1"/>
    <col min="1565" max="1565" width="6.73046875" style="256" customWidth="1"/>
    <col min="1566" max="1566" width="4" style="256" customWidth="1"/>
    <col min="1567" max="1567" width="7.265625" style="256" customWidth="1"/>
    <col min="1568" max="1568" width="4" style="256" customWidth="1"/>
    <col min="1569" max="1569" width="13" style="256" customWidth="1"/>
    <col min="1570" max="1570" width="7.73046875" style="256" customWidth="1"/>
    <col min="1571" max="1571" width="5.59765625" style="256" customWidth="1"/>
    <col min="1572" max="1572" width="5.73046875" style="256" customWidth="1"/>
    <col min="1573" max="1573" width="8.1328125" style="256" customWidth="1"/>
    <col min="1574" max="1575" width="7.59765625" style="256" customWidth="1"/>
    <col min="1576" max="1576" width="6.73046875" style="256" customWidth="1"/>
    <col min="1577" max="1577" width="4" style="256" customWidth="1"/>
    <col min="1578" max="1578" width="7.265625" style="256" customWidth="1"/>
    <col min="1579" max="1579" width="4" style="256" customWidth="1"/>
    <col min="1580" max="1580" width="13" style="256" customWidth="1"/>
    <col min="1581" max="1581" width="7.73046875" style="256" customWidth="1"/>
    <col min="1582" max="1582" width="5.59765625" style="256" customWidth="1"/>
    <col min="1583" max="1583" width="5.73046875" style="256" customWidth="1"/>
    <col min="1584" max="1584" width="8.1328125" style="256" customWidth="1"/>
    <col min="1585" max="1586" width="7.59765625" style="256" customWidth="1"/>
    <col min="1587" max="1587" width="6.73046875" style="256" customWidth="1"/>
    <col min="1588" max="1588" width="4" style="256" customWidth="1"/>
    <col min="1589" max="1589" width="7.265625" style="256" customWidth="1"/>
    <col min="1590" max="1590" width="4" style="256" customWidth="1"/>
    <col min="1591" max="1591" width="13" style="256" customWidth="1"/>
    <col min="1592" max="1592" width="7.73046875" style="256" customWidth="1"/>
    <col min="1593" max="1593" width="5.59765625" style="256" customWidth="1"/>
    <col min="1594" max="1594" width="5.73046875" style="256" customWidth="1"/>
    <col min="1595" max="1595" width="8.1328125" style="256" customWidth="1"/>
    <col min="1596" max="1597" width="7.59765625" style="256" customWidth="1"/>
    <col min="1598" max="1598" width="6.73046875" style="256" customWidth="1"/>
    <col min="1599" max="1599" width="4" style="256" customWidth="1"/>
    <col min="1600" max="1600" width="7.265625" style="256" customWidth="1"/>
    <col min="1601" max="1601" width="4.3984375" style="256" customWidth="1"/>
    <col min="1602" max="1602" width="13" style="256" customWidth="1"/>
    <col min="1603" max="1603" width="7.73046875" style="256" customWidth="1"/>
    <col min="1604" max="1604" width="5.59765625" style="256" customWidth="1"/>
    <col min="1605" max="1605" width="5.73046875" style="256" customWidth="1"/>
    <col min="1606" max="1606" width="8.1328125" style="256" customWidth="1"/>
    <col min="1607" max="1608" width="7.59765625" style="256" customWidth="1"/>
    <col min="1609" max="1609" width="6.73046875" style="256" customWidth="1"/>
    <col min="1610" max="1610" width="4" style="256" customWidth="1"/>
    <col min="1611" max="1611" width="7.265625" style="256" customWidth="1"/>
    <col min="1612" max="1612" width="4" style="256" customWidth="1"/>
    <col min="1613" max="1613" width="13" style="256" customWidth="1"/>
    <col min="1614" max="1614" width="7.73046875" style="256" customWidth="1"/>
    <col min="1615" max="1615" width="5.59765625" style="256" customWidth="1"/>
    <col min="1616" max="1616" width="5.73046875" style="256" customWidth="1"/>
    <col min="1617" max="1617" width="8.1328125" style="256" customWidth="1"/>
    <col min="1618" max="1619" width="7.59765625" style="256" customWidth="1"/>
    <col min="1620" max="1620" width="6.73046875" style="256" customWidth="1"/>
    <col min="1621" max="1621" width="4" style="256" customWidth="1"/>
    <col min="1622" max="1622" width="7.265625" style="256" customWidth="1"/>
    <col min="1623" max="1623" width="4" style="256" customWidth="1"/>
    <col min="1624" max="1624" width="13" style="256" customWidth="1"/>
    <col min="1625" max="1625" width="7.73046875" style="256" customWidth="1"/>
    <col min="1626" max="1626" width="5.59765625" style="256" customWidth="1"/>
    <col min="1627" max="1627" width="5.73046875" style="256" customWidth="1"/>
    <col min="1628" max="1628" width="8.1328125" style="256" customWidth="1"/>
    <col min="1629" max="1630" width="7.59765625" style="256" customWidth="1"/>
    <col min="1631" max="1631" width="6.73046875" style="256" customWidth="1"/>
    <col min="1632" max="1632" width="4" style="256" customWidth="1"/>
    <col min="1633" max="1633" width="7.265625" style="256" customWidth="1"/>
    <col min="1634" max="1634" width="4" style="256" customWidth="1"/>
    <col min="1635" max="1635" width="13" style="256" customWidth="1"/>
    <col min="1636" max="1636" width="7.73046875" style="256" customWidth="1"/>
    <col min="1637" max="1637" width="5.59765625" style="256" customWidth="1"/>
    <col min="1638" max="1638" width="5.73046875" style="256" customWidth="1"/>
    <col min="1639" max="1639" width="8.1328125" style="256" customWidth="1"/>
    <col min="1640" max="1641" width="7.59765625" style="256" customWidth="1"/>
    <col min="1642" max="1642" width="6.73046875" style="256" customWidth="1"/>
    <col min="1643" max="1643" width="4" style="256" customWidth="1"/>
    <col min="1644" max="1644" width="7.265625" style="256" customWidth="1"/>
    <col min="1645" max="1645" width="4" style="256" customWidth="1"/>
    <col min="1646" max="1646" width="13" style="256" customWidth="1"/>
    <col min="1647" max="1647" width="7.73046875" style="256" customWidth="1"/>
    <col min="1648" max="1648" width="5.59765625" style="256" customWidth="1"/>
    <col min="1649" max="1649" width="5.73046875" style="256" customWidth="1"/>
    <col min="1650" max="1650" width="8.1328125" style="256" customWidth="1"/>
    <col min="1651" max="1652" width="7.59765625" style="256" customWidth="1"/>
    <col min="1653" max="1653" width="6.73046875" style="256" customWidth="1"/>
    <col min="1654" max="1654" width="4" style="256" customWidth="1"/>
    <col min="1655" max="1655" width="7.265625" style="256" customWidth="1"/>
    <col min="1656" max="1656" width="4" style="256" customWidth="1"/>
    <col min="1657" max="1657" width="13" style="256" customWidth="1"/>
    <col min="1658" max="1658" width="7.73046875" style="256" customWidth="1"/>
    <col min="1659" max="1659" width="5.59765625" style="256" customWidth="1"/>
    <col min="1660" max="1660" width="5.73046875" style="256" customWidth="1"/>
    <col min="1661" max="1661" width="8.1328125" style="256" customWidth="1"/>
    <col min="1662" max="1663" width="7.59765625" style="256" customWidth="1"/>
    <col min="1664" max="1664" width="6.73046875" style="256" customWidth="1"/>
    <col min="1665" max="1665" width="4" style="256" customWidth="1"/>
    <col min="1666" max="1666" width="7.265625" style="256" customWidth="1"/>
    <col min="1667" max="1667" width="4" style="256" customWidth="1"/>
    <col min="1668" max="1668" width="13" style="256" customWidth="1"/>
    <col min="1669" max="1669" width="7.73046875" style="256" customWidth="1"/>
    <col min="1670" max="1670" width="5.59765625" style="256" customWidth="1"/>
    <col min="1671" max="1671" width="5.73046875" style="256" customWidth="1"/>
    <col min="1672" max="1672" width="8.1328125" style="256" customWidth="1"/>
    <col min="1673" max="1674" width="7.59765625" style="256" customWidth="1"/>
    <col min="1675" max="1675" width="6.73046875" style="256" customWidth="1"/>
    <col min="1676" max="1676" width="4" style="256" customWidth="1"/>
    <col min="1677" max="1677" width="7.265625" style="256" customWidth="1"/>
    <col min="1678" max="1678" width="4" style="256" customWidth="1"/>
    <col min="1679" max="1679" width="13" style="256" customWidth="1"/>
    <col min="1680" max="1680" width="7.73046875" style="256" customWidth="1"/>
    <col min="1681" max="1681" width="5.59765625" style="256" customWidth="1"/>
    <col min="1682" max="1683" width="9.1328125" style="256"/>
    <col min="1684" max="1684" width="6.59765625" style="256" customWidth="1"/>
    <col min="1685" max="1685" width="8.73046875" style="256" customWidth="1"/>
    <col min="1686" max="1686" width="7.3984375" style="256" customWidth="1"/>
    <col min="1687" max="1687" width="7.265625" style="256" customWidth="1"/>
    <col min="1688" max="1688" width="7.73046875" style="256" customWidth="1"/>
    <col min="1689" max="1689" width="4.3984375" style="256" customWidth="1"/>
    <col min="1690" max="1690" width="9.1328125" style="256"/>
    <col min="1691" max="1691" width="6" style="256" customWidth="1"/>
    <col min="1692" max="1692" width="12.265625" style="256" customWidth="1"/>
    <col min="1693" max="1693" width="8" style="256" customWidth="1"/>
    <col min="1694" max="1696" width="9.1328125" style="256"/>
    <col min="1697" max="1697" width="7.73046875" style="256" customWidth="1"/>
    <col min="1698" max="1698" width="8.265625" style="256" customWidth="1"/>
    <col min="1699" max="1699" width="7.1328125" style="256" customWidth="1"/>
    <col min="1700" max="1700" width="7.59765625" style="256" customWidth="1"/>
    <col min="1701" max="1701" width="7.3984375" style="256" customWidth="1"/>
    <col min="1702" max="1702" width="4.86328125" style="256" customWidth="1"/>
    <col min="1703" max="1703" width="9.1328125" style="256"/>
    <col min="1704" max="1704" width="5" style="256" customWidth="1"/>
    <col min="1705" max="1705" width="12.265625" style="256" customWidth="1"/>
    <col min="1706" max="1706" width="7.86328125" style="256" customWidth="1"/>
    <col min="1707" max="1709" width="9.1328125" style="256"/>
    <col min="1710" max="1710" width="7.265625" style="256" customWidth="1"/>
    <col min="1711" max="1711" width="8.1328125" style="256" customWidth="1"/>
    <col min="1712" max="1712" width="6.86328125" style="256" customWidth="1"/>
    <col min="1713" max="1713" width="8" style="256" customWidth="1"/>
    <col min="1714" max="1714" width="7.3984375" style="256" customWidth="1"/>
    <col min="1715" max="1715" width="4.59765625" style="256" customWidth="1"/>
    <col min="1716" max="1716" width="9.1328125" style="256"/>
    <col min="1717" max="1717" width="4.1328125" style="256" customWidth="1"/>
    <col min="1718" max="1718" width="12" style="256" customWidth="1"/>
    <col min="1719" max="1719" width="8.1328125" style="256" customWidth="1"/>
    <col min="1720" max="1722" width="9.1328125" style="256"/>
    <col min="1723" max="1723" width="5.3984375" style="256" customWidth="1"/>
    <col min="1724" max="1724" width="7.73046875" style="256" customWidth="1"/>
    <col min="1725" max="1725" width="5.1328125" style="256" customWidth="1"/>
    <col min="1726" max="1726" width="7.3984375" style="256" customWidth="1"/>
    <col min="1727" max="1727" width="7.1328125" style="256" customWidth="1"/>
    <col min="1728" max="1728" width="4.265625" style="256" customWidth="1"/>
    <col min="1729" max="1729" width="9.1328125" style="256"/>
    <col min="1730" max="1730" width="5.1328125" style="256" customWidth="1"/>
    <col min="1731" max="1731" width="12.265625" style="256" customWidth="1"/>
    <col min="1732" max="1732" width="7.73046875" style="256" customWidth="1"/>
    <col min="1733" max="1734" width="9.1328125" style="256"/>
    <col min="1735" max="1735" width="6.73046875" style="256" customWidth="1"/>
    <col min="1736" max="1736" width="7.59765625" style="256" customWidth="1"/>
    <col min="1737" max="1737" width="6.265625" style="256" customWidth="1"/>
    <col min="1738" max="1738" width="8.1328125" style="256" customWidth="1"/>
    <col min="1739" max="1739" width="7.1328125" style="256" customWidth="1"/>
    <col min="1740" max="1740" width="4.3984375" style="256" customWidth="1"/>
    <col min="1741" max="1741" width="9.1328125" style="256"/>
    <col min="1742" max="1742" width="3.86328125" style="256" customWidth="1"/>
    <col min="1743" max="1743" width="12.265625" style="256" customWidth="1"/>
    <col min="1744" max="1744" width="8.3984375" style="256" customWidth="1"/>
    <col min="1745" max="1746" width="9.1328125" style="256"/>
    <col min="1747" max="1747" width="8.1328125" style="256" customWidth="1"/>
    <col min="1748" max="1748" width="8.3984375" style="256" customWidth="1"/>
    <col min="1749" max="1749" width="7" style="256" customWidth="1"/>
    <col min="1750" max="1750" width="8.3984375" style="256" customWidth="1"/>
    <col min="1751" max="1751" width="9.1328125" style="256"/>
    <col min="1752" max="1752" width="6.1328125" style="256" customWidth="1"/>
    <col min="1753" max="1753" width="9.1328125" style="256"/>
    <col min="1754" max="1754" width="6.73046875" style="256" customWidth="1"/>
    <col min="1755" max="1771" width="9.1328125" style="256"/>
    <col min="1772" max="1772" width="5.59765625" style="256" customWidth="1"/>
    <col min="1773" max="1773" width="5.73046875" style="256" customWidth="1"/>
    <col min="1774" max="1774" width="8.1328125" style="256" customWidth="1"/>
    <col min="1775" max="1776" width="7.59765625" style="256" customWidth="1"/>
    <col min="1777" max="1777" width="6.73046875" style="256" customWidth="1"/>
    <col min="1778" max="1778" width="4" style="256" customWidth="1"/>
    <col min="1779" max="1779" width="7.265625" style="256" customWidth="1"/>
    <col min="1780" max="1780" width="4" style="256" customWidth="1"/>
    <col min="1781" max="1781" width="13" style="256" customWidth="1"/>
    <col min="1782" max="1782" width="8" style="256" customWidth="1"/>
    <col min="1783" max="1783" width="5.59765625" style="256" customWidth="1"/>
    <col min="1784" max="1784" width="5.73046875" style="256" customWidth="1"/>
    <col min="1785" max="1785" width="8.1328125" style="256" customWidth="1"/>
    <col min="1786" max="1787" width="7.59765625" style="256" customWidth="1"/>
    <col min="1788" max="1788" width="6.73046875" style="256" customWidth="1"/>
    <col min="1789" max="1789" width="4" style="256" customWidth="1"/>
    <col min="1790" max="1790" width="7.265625" style="256" customWidth="1"/>
    <col min="1791" max="1791" width="4" style="256" customWidth="1"/>
    <col min="1792" max="1792" width="13" style="256" customWidth="1"/>
    <col min="1793" max="1793" width="7.73046875" style="256" customWidth="1"/>
    <col min="1794" max="1794" width="5.59765625" style="256" customWidth="1"/>
    <col min="1795" max="1795" width="5.73046875" style="256" customWidth="1"/>
    <col min="1796" max="1796" width="8.1328125" style="256" customWidth="1"/>
    <col min="1797" max="1798" width="7.59765625" style="256" customWidth="1"/>
    <col min="1799" max="1799" width="6.73046875" style="256" customWidth="1"/>
    <col min="1800" max="1800" width="4" style="256" customWidth="1"/>
    <col min="1801" max="1801" width="7.265625" style="256" customWidth="1"/>
    <col min="1802" max="1802" width="4" style="256" customWidth="1"/>
    <col min="1803" max="1803" width="13" style="256" customWidth="1"/>
    <col min="1804" max="1804" width="7.73046875" style="256" customWidth="1"/>
    <col min="1805" max="1805" width="5.59765625" style="256" customWidth="1"/>
    <col min="1806" max="1806" width="5.73046875" style="256" customWidth="1"/>
    <col min="1807" max="1807" width="8.1328125" style="256" customWidth="1"/>
    <col min="1808" max="1809" width="7.59765625" style="256" customWidth="1"/>
    <col min="1810" max="1810" width="6.73046875" style="256" customWidth="1"/>
    <col min="1811" max="1811" width="4" style="256" customWidth="1"/>
    <col min="1812" max="1812" width="7.265625" style="256" customWidth="1"/>
    <col min="1813" max="1813" width="4" style="256" customWidth="1"/>
    <col min="1814" max="1814" width="13" style="256" customWidth="1"/>
    <col min="1815" max="1815" width="7.73046875" style="256" customWidth="1"/>
    <col min="1816" max="1816" width="5.59765625" style="256" customWidth="1"/>
    <col min="1817" max="1817" width="5.73046875" style="256" customWidth="1"/>
    <col min="1818" max="1818" width="8.1328125" style="256" customWidth="1"/>
    <col min="1819" max="1820" width="7.59765625" style="256" customWidth="1"/>
    <col min="1821" max="1821" width="6.73046875" style="256" customWidth="1"/>
    <col min="1822" max="1822" width="4" style="256" customWidth="1"/>
    <col min="1823" max="1823" width="7.265625" style="256" customWidth="1"/>
    <col min="1824" max="1824" width="4" style="256" customWidth="1"/>
    <col min="1825" max="1825" width="13" style="256" customWidth="1"/>
    <col min="1826" max="1826" width="7.73046875" style="256" customWidth="1"/>
    <col min="1827" max="1827" width="5.59765625" style="256" customWidth="1"/>
    <col min="1828" max="1828" width="5.73046875" style="256" customWidth="1"/>
    <col min="1829" max="1829" width="8.1328125" style="256" customWidth="1"/>
    <col min="1830" max="1831" width="7.59765625" style="256" customWidth="1"/>
    <col min="1832" max="1832" width="6.73046875" style="256" customWidth="1"/>
    <col min="1833" max="1833" width="4" style="256" customWidth="1"/>
    <col min="1834" max="1834" width="7.265625" style="256" customWidth="1"/>
    <col min="1835" max="1835" width="4" style="256" customWidth="1"/>
    <col min="1836" max="1836" width="13" style="256" customWidth="1"/>
    <col min="1837" max="1837" width="7.73046875" style="256" customWidth="1"/>
    <col min="1838" max="1838" width="5.59765625" style="256" customWidth="1"/>
    <col min="1839" max="1839" width="5.73046875" style="256" customWidth="1"/>
    <col min="1840" max="1840" width="8.1328125" style="256" customWidth="1"/>
    <col min="1841" max="1842" width="7.59765625" style="256" customWidth="1"/>
    <col min="1843" max="1843" width="6.73046875" style="256" customWidth="1"/>
    <col min="1844" max="1844" width="4" style="256" customWidth="1"/>
    <col min="1845" max="1845" width="7.265625" style="256" customWidth="1"/>
    <col min="1846" max="1846" width="4" style="256" customWidth="1"/>
    <col min="1847" max="1847" width="13" style="256" customWidth="1"/>
    <col min="1848" max="1848" width="7.73046875" style="256" customWidth="1"/>
    <col min="1849" max="1849" width="5.59765625" style="256" customWidth="1"/>
    <col min="1850" max="1850" width="5.73046875" style="256" customWidth="1"/>
    <col min="1851" max="1851" width="8.1328125" style="256" customWidth="1"/>
    <col min="1852" max="1853" width="7.59765625" style="256" customWidth="1"/>
    <col min="1854" max="1854" width="6.73046875" style="256" customWidth="1"/>
    <col min="1855" max="1855" width="4" style="256" customWidth="1"/>
    <col min="1856" max="1856" width="7.265625" style="256" customWidth="1"/>
    <col min="1857" max="1857" width="4.3984375" style="256" customWidth="1"/>
    <col min="1858" max="1858" width="13" style="256" customWidth="1"/>
    <col min="1859" max="1859" width="7.73046875" style="256" customWidth="1"/>
    <col min="1860" max="1860" width="5.59765625" style="256" customWidth="1"/>
    <col min="1861" max="1861" width="5.73046875" style="256" customWidth="1"/>
    <col min="1862" max="1862" width="8.1328125" style="256" customWidth="1"/>
    <col min="1863" max="1864" width="7.59765625" style="256" customWidth="1"/>
    <col min="1865" max="1865" width="6.73046875" style="256" customWidth="1"/>
    <col min="1866" max="1866" width="4" style="256" customWidth="1"/>
    <col min="1867" max="1867" width="7.265625" style="256" customWidth="1"/>
    <col min="1868" max="1868" width="4" style="256" customWidth="1"/>
    <col min="1869" max="1869" width="13" style="256" customWidth="1"/>
    <col min="1870" max="1870" width="7.73046875" style="256" customWidth="1"/>
    <col min="1871" max="1871" width="5.59765625" style="256" customWidth="1"/>
    <col min="1872" max="1872" width="5.73046875" style="256" customWidth="1"/>
    <col min="1873" max="1873" width="8.1328125" style="256" customWidth="1"/>
    <col min="1874" max="1875" width="7.59765625" style="256" customWidth="1"/>
    <col min="1876" max="1876" width="6.73046875" style="256" customWidth="1"/>
    <col min="1877" max="1877" width="4" style="256" customWidth="1"/>
    <col min="1878" max="1878" width="7.265625" style="256" customWidth="1"/>
    <col min="1879" max="1879" width="4" style="256" customWidth="1"/>
    <col min="1880" max="1880" width="13" style="256" customWidth="1"/>
    <col min="1881" max="1881" width="7.73046875" style="256" customWidth="1"/>
    <col min="1882" max="1882" width="5.59765625" style="256" customWidth="1"/>
    <col min="1883" max="1883" width="5.73046875" style="256" customWidth="1"/>
    <col min="1884" max="1884" width="8.1328125" style="256" customWidth="1"/>
    <col min="1885" max="1886" width="7.59765625" style="256" customWidth="1"/>
    <col min="1887" max="1887" width="6.73046875" style="256" customWidth="1"/>
    <col min="1888" max="1888" width="4" style="256" customWidth="1"/>
    <col min="1889" max="1889" width="7.265625" style="256" customWidth="1"/>
    <col min="1890" max="1890" width="4" style="256" customWidth="1"/>
    <col min="1891" max="1891" width="13" style="256" customWidth="1"/>
    <col min="1892" max="1892" width="7.73046875" style="256" customWidth="1"/>
    <col min="1893" max="1893" width="5.59765625" style="256" customWidth="1"/>
    <col min="1894" max="1894" width="5.73046875" style="256" customWidth="1"/>
    <col min="1895" max="1895" width="8.1328125" style="256" customWidth="1"/>
    <col min="1896" max="1897" width="7.59765625" style="256" customWidth="1"/>
    <col min="1898" max="1898" width="6.73046875" style="256" customWidth="1"/>
    <col min="1899" max="1899" width="4" style="256" customWidth="1"/>
    <col min="1900" max="1900" width="7.265625" style="256" customWidth="1"/>
    <col min="1901" max="1901" width="4" style="256" customWidth="1"/>
    <col min="1902" max="1902" width="13" style="256" customWidth="1"/>
    <col min="1903" max="1903" width="7.73046875" style="256" customWidth="1"/>
    <col min="1904" max="1904" width="5.59765625" style="256" customWidth="1"/>
    <col min="1905" max="1905" width="5.73046875" style="256" customWidth="1"/>
    <col min="1906" max="1906" width="8.1328125" style="256" customWidth="1"/>
    <col min="1907" max="1908" width="7.59765625" style="256" customWidth="1"/>
    <col min="1909" max="1909" width="6.73046875" style="256" customWidth="1"/>
    <col min="1910" max="1910" width="4" style="256" customWidth="1"/>
    <col min="1911" max="1911" width="7.265625" style="256" customWidth="1"/>
    <col min="1912" max="1912" width="4" style="256" customWidth="1"/>
    <col min="1913" max="1913" width="13" style="256" customWidth="1"/>
    <col min="1914" max="1914" width="7.73046875" style="256" customWidth="1"/>
    <col min="1915" max="1915" width="5.59765625" style="256" customWidth="1"/>
    <col min="1916" max="1916" width="5.73046875" style="256" customWidth="1"/>
    <col min="1917" max="1917" width="8.1328125" style="256" customWidth="1"/>
    <col min="1918" max="1919" width="7.59765625" style="256" customWidth="1"/>
    <col min="1920" max="1920" width="6.73046875" style="256" customWidth="1"/>
    <col min="1921" max="1921" width="4" style="256" customWidth="1"/>
    <col min="1922" max="1922" width="7.265625" style="256" customWidth="1"/>
    <col min="1923" max="1923" width="4" style="256" customWidth="1"/>
    <col min="1924" max="1924" width="13" style="256" customWidth="1"/>
    <col min="1925" max="1925" width="7.73046875" style="256" customWidth="1"/>
    <col min="1926" max="1926" width="5.59765625" style="256" customWidth="1"/>
    <col min="1927" max="1927" width="5.73046875" style="256" customWidth="1"/>
    <col min="1928" max="1928" width="8.1328125" style="256" customWidth="1"/>
    <col min="1929" max="1930" width="7.59765625" style="256" customWidth="1"/>
    <col min="1931" max="1931" width="6.73046875" style="256" customWidth="1"/>
    <col min="1932" max="1932" width="4" style="256" customWidth="1"/>
    <col min="1933" max="1933" width="7.265625" style="256" customWidth="1"/>
    <col min="1934" max="1934" width="4" style="256" customWidth="1"/>
    <col min="1935" max="1935" width="13" style="256" customWidth="1"/>
    <col min="1936" max="1936" width="7.73046875" style="256" customWidth="1"/>
    <col min="1937" max="1937" width="5.59765625" style="256" customWidth="1"/>
    <col min="1938" max="1939" width="9.1328125" style="256"/>
    <col min="1940" max="1940" width="6.59765625" style="256" customWidth="1"/>
    <col min="1941" max="1941" width="8.73046875" style="256" customWidth="1"/>
    <col min="1942" max="1942" width="7.3984375" style="256" customWidth="1"/>
    <col min="1943" max="1943" width="7.265625" style="256" customWidth="1"/>
    <col min="1944" max="1944" width="7.73046875" style="256" customWidth="1"/>
    <col min="1945" max="1945" width="4.3984375" style="256" customWidth="1"/>
    <col min="1946" max="1946" width="9.1328125" style="256"/>
    <col min="1947" max="1947" width="6" style="256" customWidth="1"/>
    <col min="1948" max="1948" width="12.265625" style="256" customWidth="1"/>
    <col min="1949" max="1949" width="8" style="256" customWidth="1"/>
    <col min="1950" max="1952" width="9.1328125" style="256"/>
    <col min="1953" max="1953" width="7.73046875" style="256" customWidth="1"/>
    <col min="1954" max="1954" width="8.265625" style="256" customWidth="1"/>
    <col min="1955" max="1955" width="7.1328125" style="256" customWidth="1"/>
    <col min="1956" max="1956" width="7.59765625" style="256" customWidth="1"/>
    <col min="1957" max="1957" width="7.3984375" style="256" customWidth="1"/>
    <col min="1958" max="1958" width="4.86328125" style="256" customWidth="1"/>
    <col min="1959" max="1959" width="9.1328125" style="256"/>
    <col min="1960" max="1960" width="5" style="256" customWidth="1"/>
    <col min="1961" max="1961" width="12.265625" style="256" customWidth="1"/>
    <col min="1962" max="1962" width="7.86328125" style="256" customWidth="1"/>
    <col min="1963" max="1965" width="9.1328125" style="256"/>
    <col min="1966" max="1966" width="7.265625" style="256" customWidth="1"/>
    <col min="1967" max="1967" width="8.1328125" style="256" customWidth="1"/>
    <col min="1968" max="1968" width="6.86328125" style="256" customWidth="1"/>
    <col min="1969" max="1969" width="8" style="256" customWidth="1"/>
    <col min="1970" max="1970" width="7.3984375" style="256" customWidth="1"/>
    <col min="1971" max="1971" width="4.59765625" style="256" customWidth="1"/>
    <col min="1972" max="1972" width="9.1328125" style="256"/>
    <col min="1973" max="1973" width="4.1328125" style="256" customWidth="1"/>
    <col min="1974" max="1974" width="12" style="256" customWidth="1"/>
    <col min="1975" max="1975" width="8.1328125" style="256" customWidth="1"/>
    <col min="1976" max="1978" width="9.1328125" style="256"/>
    <col min="1979" max="1979" width="5.3984375" style="256" customWidth="1"/>
    <col min="1980" max="1980" width="7.73046875" style="256" customWidth="1"/>
    <col min="1981" max="1981" width="5.1328125" style="256" customWidth="1"/>
    <col min="1982" max="1982" width="7.3984375" style="256" customWidth="1"/>
    <col min="1983" max="1983" width="7.1328125" style="256" customWidth="1"/>
    <col min="1984" max="1984" width="4.265625" style="256" customWidth="1"/>
    <col min="1985" max="1985" width="9.1328125" style="256"/>
    <col min="1986" max="1986" width="5.1328125" style="256" customWidth="1"/>
    <col min="1987" max="1987" width="12.265625" style="256" customWidth="1"/>
    <col min="1988" max="1988" width="7.73046875" style="256" customWidth="1"/>
    <col min="1989" max="1990" width="9.1328125" style="256"/>
    <col min="1991" max="1991" width="6.73046875" style="256" customWidth="1"/>
    <col min="1992" max="1992" width="7.59765625" style="256" customWidth="1"/>
    <col min="1993" max="1993" width="6.265625" style="256" customWidth="1"/>
    <col min="1994" max="1994" width="8.1328125" style="256" customWidth="1"/>
    <col min="1995" max="1995" width="7.1328125" style="256" customWidth="1"/>
    <col min="1996" max="1996" width="4.3984375" style="256" customWidth="1"/>
    <col min="1997" max="1997" width="9.1328125" style="256"/>
    <col min="1998" max="1998" width="3.86328125" style="256" customWidth="1"/>
    <col min="1999" max="1999" width="12.265625" style="256" customWidth="1"/>
    <col min="2000" max="2000" width="8.3984375" style="256" customWidth="1"/>
    <col min="2001" max="2002" width="9.1328125" style="256"/>
    <col min="2003" max="2003" width="8.1328125" style="256" customWidth="1"/>
    <col min="2004" max="2004" width="8.3984375" style="256" customWidth="1"/>
    <col min="2005" max="2005" width="7" style="256" customWidth="1"/>
    <col min="2006" max="2006" width="8.3984375" style="256" customWidth="1"/>
    <col min="2007" max="2007" width="9.1328125" style="256"/>
    <col min="2008" max="2008" width="6.1328125" style="256" customWidth="1"/>
    <col min="2009" max="2009" width="9.1328125" style="256"/>
    <col min="2010" max="2010" width="6.73046875" style="256" customWidth="1"/>
    <col min="2011" max="2027" width="9.1328125" style="256"/>
    <col min="2028" max="2028" width="5.59765625" style="256" customWidth="1"/>
    <col min="2029" max="2029" width="5.73046875" style="256" customWidth="1"/>
    <col min="2030" max="2030" width="8.1328125" style="256" customWidth="1"/>
    <col min="2031" max="2032" width="7.59765625" style="256" customWidth="1"/>
    <col min="2033" max="2033" width="6.73046875" style="256" customWidth="1"/>
    <col min="2034" max="2034" width="4" style="256" customWidth="1"/>
    <col min="2035" max="2035" width="7.265625" style="256" customWidth="1"/>
    <col min="2036" max="2036" width="4" style="256" customWidth="1"/>
    <col min="2037" max="2037" width="13" style="256" customWidth="1"/>
    <col min="2038" max="2038" width="8" style="256" customWidth="1"/>
    <col min="2039" max="2039" width="5.59765625" style="256" customWidth="1"/>
    <col min="2040" max="2040" width="5.73046875" style="256" customWidth="1"/>
    <col min="2041" max="2041" width="8.1328125" style="256" customWidth="1"/>
    <col min="2042" max="2043" width="7.59765625" style="256" customWidth="1"/>
    <col min="2044" max="2044" width="6.73046875" style="256" customWidth="1"/>
    <col min="2045" max="2045" width="4" style="256" customWidth="1"/>
    <col min="2046" max="2046" width="7.265625" style="256" customWidth="1"/>
    <col min="2047" max="2047" width="4" style="256" customWidth="1"/>
    <col min="2048" max="2048" width="13" style="256" customWidth="1"/>
    <col min="2049" max="2049" width="7.73046875" style="256" customWidth="1"/>
    <col min="2050" max="2050" width="5.59765625" style="256" customWidth="1"/>
    <col min="2051" max="2051" width="5.73046875" style="256" customWidth="1"/>
    <col min="2052" max="2052" width="8.1328125" style="256" customWidth="1"/>
    <col min="2053" max="2054" width="7.59765625" style="256" customWidth="1"/>
    <col min="2055" max="2055" width="6.73046875" style="256" customWidth="1"/>
    <col min="2056" max="2056" width="4" style="256" customWidth="1"/>
    <col min="2057" max="2057" width="7.265625" style="256" customWidth="1"/>
    <col min="2058" max="2058" width="4" style="256" customWidth="1"/>
    <col min="2059" max="2059" width="13" style="256" customWidth="1"/>
    <col min="2060" max="2060" width="7.73046875" style="256" customWidth="1"/>
    <col min="2061" max="2061" width="5.59765625" style="256" customWidth="1"/>
    <col min="2062" max="2062" width="5.73046875" style="256" customWidth="1"/>
    <col min="2063" max="2063" width="8.1328125" style="256" customWidth="1"/>
    <col min="2064" max="2065" width="7.59765625" style="256" customWidth="1"/>
    <col min="2066" max="2066" width="6.73046875" style="256" customWidth="1"/>
    <col min="2067" max="2067" width="4" style="256" customWidth="1"/>
    <col min="2068" max="2068" width="7.265625" style="256" customWidth="1"/>
    <col min="2069" max="2069" width="4" style="256" customWidth="1"/>
    <col min="2070" max="2070" width="13" style="256" customWidth="1"/>
    <col min="2071" max="2071" width="7.73046875" style="256" customWidth="1"/>
    <col min="2072" max="2072" width="5.59765625" style="256" customWidth="1"/>
    <col min="2073" max="2073" width="5.73046875" style="256" customWidth="1"/>
    <col min="2074" max="2074" width="8.1328125" style="256" customWidth="1"/>
    <col min="2075" max="2076" width="7.59765625" style="256" customWidth="1"/>
    <col min="2077" max="2077" width="6.73046875" style="256" customWidth="1"/>
    <col min="2078" max="2078" width="4" style="256" customWidth="1"/>
    <col min="2079" max="2079" width="7.265625" style="256" customWidth="1"/>
    <col min="2080" max="2080" width="4" style="256" customWidth="1"/>
    <col min="2081" max="2081" width="13" style="256" customWidth="1"/>
    <col min="2082" max="2082" width="7.73046875" style="256" customWidth="1"/>
    <col min="2083" max="2083" width="5.59765625" style="256" customWidth="1"/>
    <col min="2084" max="2084" width="5.73046875" style="256" customWidth="1"/>
    <col min="2085" max="2085" width="8.1328125" style="256" customWidth="1"/>
    <col min="2086" max="2087" width="7.59765625" style="256" customWidth="1"/>
    <col min="2088" max="2088" width="6.73046875" style="256" customWidth="1"/>
    <col min="2089" max="2089" width="4" style="256" customWidth="1"/>
    <col min="2090" max="2090" width="7.265625" style="256" customWidth="1"/>
    <col min="2091" max="2091" width="4" style="256" customWidth="1"/>
    <col min="2092" max="2092" width="13" style="256" customWidth="1"/>
    <col min="2093" max="2093" width="7.73046875" style="256" customWidth="1"/>
    <col min="2094" max="2094" width="5.59765625" style="256" customWidth="1"/>
    <col min="2095" max="2095" width="5.73046875" style="256" customWidth="1"/>
    <col min="2096" max="2096" width="8.1328125" style="256" customWidth="1"/>
    <col min="2097" max="2098" width="7.59765625" style="256" customWidth="1"/>
    <col min="2099" max="2099" width="6.73046875" style="256" customWidth="1"/>
    <col min="2100" max="2100" width="4" style="256" customWidth="1"/>
    <col min="2101" max="2101" width="7.265625" style="256" customWidth="1"/>
    <col min="2102" max="2102" width="4" style="256" customWidth="1"/>
    <col min="2103" max="2103" width="13" style="256" customWidth="1"/>
    <col min="2104" max="2104" width="7.73046875" style="256" customWidth="1"/>
    <col min="2105" max="2105" width="5.59765625" style="256" customWidth="1"/>
    <col min="2106" max="2106" width="5.73046875" style="256" customWidth="1"/>
    <col min="2107" max="2107" width="8.1328125" style="256" customWidth="1"/>
    <col min="2108" max="2109" width="7.59765625" style="256" customWidth="1"/>
    <col min="2110" max="2110" width="6.73046875" style="256" customWidth="1"/>
    <col min="2111" max="2111" width="4" style="256" customWidth="1"/>
    <col min="2112" max="2112" width="7.265625" style="256" customWidth="1"/>
    <col min="2113" max="2113" width="4.3984375" style="256" customWidth="1"/>
    <col min="2114" max="2114" width="13" style="256" customWidth="1"/>
    <col min="2115" max="2115" width="7.73046875" style="256" customWidth="1"/>
    <col min="2116" max="2116" width="5.59765625" style="256" customWidth="1"/>
    <col min="2117" max="2117" width="5.73046875" style="256" customWidth="1"/>
    <col min="2118" max="2118" width="8.1328125" style="256" customWidth="1"/>
    <col min="2119" max="2120" width="7.59765625" style="256" customWidth="1"/>
    <col min="2121" max="2121" width="6.73046875" style="256" customWidth="1"/>
    <col min="2122" max="2122" width="4" style="256" customWidth="1"/>
    <col min="2123" max="2123" width="7.265625" style="256" customWidth="1"/>
    <col min="2124" max="2124" width="4" style="256" customWidth="1"/>
    <col min="2125" max="2125" width="13" style="256" customWidth="1"/>
    <col min="2126" max="2126" width="7.73046875" style="256" customWidth="1"/>
    <col min="2127" max="2127" width="5.59765625" style="256" customWidth="1"/>
    <col min="2128" max="2128" width="5.73046875" style="256" customWidth="1"/>
    <col min="2129" max="2129" width="8.1328125" style="256" customWidth="1"/>
    <col min="2130" max="2131" width="7.59765625" style="256" customWidth="1"/>
    <col min="2132" max="2132" width="6.73046875" style="256" customWidth="1"/>
    <col min="2133" max="2133" width="4" style="256" customWidth="1"/>
    <col min="2134" max="2134" width="7.265625" style="256" customWidth="1"/>
    <col min="2135" max="2135" width="4" style="256" customWidth="1"/>
    <col min="2136" max="2136" width="13" style="256" customWidth="1"/>
    <col min="2137" max="2137" width="7.73046875" style="256" customWidth="1"/>
    <col min="2138" max="2138" width="5.59765625" style="256" customWidth="1"/>
    <col min="2139" max="2139" width="5.73046875" style="256" customWidth="1"/>
    <col min="2140" max="2140" width="8.1328125" style="256" customWidth="1"/>
    <col min="2141" max="2142" width="7.59765625" style="256" customWidth="1"/>
    <col min="2143" max="2143" width="6.73046875" style="256" customWidth="1"/>
    <col min="2144" max="2144" width="4" style="256" customWidth="1"/>
    <col min="2145" max="2145" width="7.265625" style="256" customWidth="1"/>
    <col min="2146" max="2146" width="4" style="256" customWidth="1"/>
    <col min="2147" max="2147" width="13" style="256" customWidth="1"/>
    <col min="2148" max="2148" width="7.73046875" style="256" customWidth="1"/>
    <col min="2149" max="2149" width="5.59765625" style="256" customWidth="1"/>
    <col min="2150" max="2150" width="5.73046875" style="256" customWidth="1"/>
    <col min="2151" max="2151" width="8.1328125" style="256" customWidth="1"/>
    <col min="2152" max="2153" width="7.59765625" style="256" customWidth="1"/>
    <col min="2154" max="2154" width="6.73046875" style="256" customWidth="1"/>
    <col min="2155" max="2155" width="4" style="256" customWidth="1"/>
    <col min="2156" max="2156" width="7.265625" style="256" customWidth="1"/>
    <col min="2157" max="2157" width="4" style="256" customWidth="1"/>
    <col min="2158" max="2158" width="13" style="256" customWidth="1"/>
    <col min="2159" max="2159" width="7.73046875" style="256" customWidth="1"/>
    <col min="2160" max="2160" width="5.59765625" style="256" customWidth="1"/>
    <col min="2161" max="2161" width="5.73046875" style="256" customWidth="1"/>
    <col min="2162" max="2162" width="8.1328125" style="256" customWidth="1"/>
    <col min="2163" max="2164" width="7.59765625" style="256" customWidth="1"/>
    <col min="2165" max="2165" width="6.73046875" style="256" customWidth="1"/>
    <col min="2166" max="2166" width="4" style="256" customWidth="1"/>
    <col min="2167" max="2167" width="7.265625" style="256" customWidth="1"/>
    <col min="2168" max="2168" width="4" style="256" customWidth="1"/>
    <col min="2169" max="2169" width="13" style="256" customWidth="1"/>
    <col min="2170" max="2170" width="7.73046875" style="256" customWidth="1"/>
    <col min="2171" max="2171" width="5.59765625" style="256" customWidth="1"/>
    <col min="2172" max="2172" width="5.73046875" style="256" customWidth="1"/>
    <col min="2173" max="2173" width="8.1328125" style="256" customWidth="1"/>
    <col min="2174" max="2175" width="7.59765625" style="256" customWidth="1"/>
    <col min="2176" max="2176" width="6.73046875" style="256" customWidth="1"/>
    <col min="2177" max="2177" width="4" style="256" customWidth="1"/>
    <col min="2178" max="2178" width="7.265625" style="256" customWidth="1"/>
    <col min="2179" max="2179" width="4" style="256" customWidth="1"/>
    <col min="2180" max="2180" width="13" style="256" customWidth="1"/>
    <col min="2181" max="2181" width="7.73046875" style="256" customWidth="1"/>
    <col min="2182" max="2182" width="5.59765625" style="256" customWidth="1"/>
    <col min="2183" max="2183" width="5.73046875" style="256" customWidth="1"/>
    <col min="2184" max="2184" width="8.1328125" style="256" customWidth="1"/>
    <col min="2185" max="2186" width="7.59765625" style="256" customWidth="1"/>
    <col min="2187" max="2187" width="6.73046875" style="256" customWidth="1"/>
    <col min="2188" max="2188" width="4" style="256" customWidth="1"/>
    <col min="2189" max="2189" width="7.265625" style="256" customWidth="1"/>
    <col min="2190" max="2190" width="4" style="256" customWidth="1"/>
    <col min="2191" max="2191" width="13" style="256" customWidth="1"/>
    <col min="2192" max="2192" width="7.73046875" style="256" customWidth="1"/>
    <col min="2193" max="2193" width="5.59765625" style="256" customWidth="1"/>
    <col min="2194" max="2195" width="9.1328125" style="256"/>
    <col min="2196" max="2196" width="6.59765625" style="256" customWidth="1"/>
    <col min="2197" max="2197" width="8.73046875" style="256" customWidth="1"/>
    <col min="2198" max="2198" width="7.3984375" style="256" customWidth="1"/>
    <col min="2199" max="2199" width="7.265625" style="256" customWidth="1"/>
    <col min="2200" max="2200" width="7.73046875" style="256" customWidth="1"/>
    <col min="2201" max="2201" width="4.3984375" style="256" customWidth="1"/>
    <col min="2202" max="2202" width="9.1328125" style="256"/>
    <col min="2203" max="2203" width="6" style="256" customWidth="1"/>
    <col min="2204" max="2204" width="12.265625" style="256" customWidth="1"/>
    <col min="2205" max="2205" width="8" style="256" customWidth="1"/>
    <col min="2206" max="2208" width="9.1328125" style="256"/>
    <col min="2209" max="2209" width="7.73046875" style="256" customWidth="1"/>
    <col min="2210" max="2210" width="8.265625" style="256" customWidth="1"/>
    <col min="2211" max="2211" width="7.1328125" style="256" customWidth="1"/>
    <col min="2212" max="2212" width="7.59765625" style="256" customWidth="1"/>
    <col min="2213" max="2213" width="7.3984375" style="256" customWidth="1"/>
    <col min="2214" max="2214" width="4.86328125" style="256" customWidth="1"/>
    <col min="2215" max="2215" width="9.1328125" style="256"/>
    <col min="2216" max="2216" width="5" style="256" customWidth="1"/>
    <col min="2217" max="2217" width="12.265625" style="256" customWidth="1"/>
    <col min="2218" max="2218" width="7.86328125" style="256" customWidth="1"/>
    <col min="2219" max="2221" width="9.1328125" style="256"/>
    <col min="2222" max="2222" width="7.265625" style="256" customWidth="1"/>
    <col min="2223" max="2223" width="8.1328125" style="256" customWidth="1"/>
    <col min="2224" max="2224" width="6.86328125" style="256" customWidth="1"/>
    <col min="2225" max="2225" width="8" style="256" customWidth="1"/>
    <col min="2226" max="2226" width="7.3984375" style="256" customWidth="1"/>
    <col min="2227" max="2227" width="4.59765625" style="256" customWidth="1"/>
    <col min="2228" max="2228" width="9.1328125" style="256"/>
    <col min="2229" max="2229" width="4.1328125" style="256" customWidth="1"/>
    <col min="2230" max="2230" width="12" style="256" customWidth="1"/>
    <col min="2231" max="2231" width="8.1328125" style="256" customWidth="1"/>
    <col min="2232" max="2234" width="9.1328125" style="256"/>
    <col min="2235" max="2235" width="5.3984375" style="256" customWidth="1"/>
    <col min="2236" max="2236" width="7.73046875" style="256" customWidth="1"/>
    <col min="2237" max="2237" width="5.1328125" style="256" customWidth="1"/>
    <col min="2238" max="2238" width="7.3984375" style="256" customWidth="1"/>
    <col min="2239" max="2239" width="7.1328125" style="256" customWidth="1"/>
    <col min="2240" max="2240" width="4.265625" style="256" customWidth="1"/>
    <col min="2241" max="2241" width="9.1328125" style="256"/>
    <col min="2242" max="2242" width="5.1328125" style="256" customWidth="1"/>
    <col min="2243" max="2243" width="12.265625" style="256" customWidth="1"/>
    <col min="2244" max="2244" width="7.73046875" style="256" customWidth="1"/>
    <col min="2245" max="2246" width="9.1328125" style="256"/>
    <col min="2247" max="2247" width="6.73046875" style="256" customWidth="1"/>
    <col min="2248" max="2248" width="7.59765625" style="256" customWidth="1"/>
    <col min="2249" max="2249" width="6.265625" style="256" customWidth="1"/>
    <col min="2250" max="2250" width="8.1328125" style="256" customWidth="1"/>
    <col min="2251" max="2251" width="7.1328125" style="256" customWidth="1"/>
    <col min="2252" max="2252" width="4.3984375" style="256" customWidth="1"/>
    <col min="2253" max="2253" width="9.1328125" style="256"/>
    <col min="2254" max="2254" width="3.86328125" style="256" customWidth="1"/>
    <col min="2255" max="2255" width="12.265625" style="256" customWidth="1"/>
    <col min="2256" max="2256" width="8.3984375" style="256" customWidth="1"/>
    <col min="2257" max="2258" width="9.1328125" style="256"/>
    <col min="2259" max="2259" width="8.1328125" style="256" customWidth="1"/>
    <col min="2260" max="2260" width="8.3984375" style="256" customWidth="1"/>
    <col min="2261" max="2261" width="7" style="256" customWidth="1"/>
    <col min="2262" max="2262" width="8.3984375" style="256" customWidth="1"/>
    <col min="2263" max="2263" width="9.1328125" style="256"/>
    <col min="2264" max="2264" width="6.1328125" style="256" customWidth="1"/>
    <col min="2265" max="2265" width="9.1328125" style="256"/>
    <col min="2266" max="2266" width="6.73046875" style="256" customWidth="1"/>
    <col min="2267" max="2283" width="9.1328125" style="256"/>
    <col min="2284" max="2284" width="5.59765625" style="256" customWidth="1"/>
    <col min="2285" max="2285" width="5.73046875" style="256" customWidth="1"/>
    <col min="2286" max="2286" width="8.1328125" style="256" customWidth="1"/>
    <col min="2287" max="2288" width="7.59765625" style="256" customWidth="1"/>
    <col min="2289" max="2289" width="6.73046875" style="256" customWidth="1"/>
    <col min="2290" max="2290" width="4" style="256" customWidth="1"/>
    <col min="2291" max="2291" width="7.265625" style="256" customWidth="1"/>
    <col min="2292" max="2292" width="4" style="256" customWidth="1"/>
    <col min="2293" max="2293" width="13" style="256" customWidth="1"/>
    <col min="2294" max="2294" width="8" style="256" customWidth="1"/>
    <col min="2295" max="2295" width="5.59765625" style="256" customWidth="1"/>
    <col min="2296" max="2296" width="5.73046875" style="256" customWidth="1"/>
    <col min="2297" max="2297" width="8.1328125" style="256" customWidth="1"/>
    <col min="2298" max="2299" width="7.59765625" style="256" customWidth="1"/>
    <col min="2300" max="2300" width="6.73046875" style="256" customWidth="1"/>
    <col min="2301" max="2301" width="4" style="256" customWidth="1"/>
    <col min="2302" max="2302" width="7.265625" style="256" customWidth="1"/>
    <col min="2303" max="2303" width="4" style="256" customWidth="1"/>
    <col min="2304" max="2304" width="13" style="256" customWidth="1"/>
    <col min="2305" max="2305" width="7.73046875" style="256" customWidth="1"/>
    <col min="2306" max="2306" width="5.59765625" style="256" customWidth="1"/>
    <col min="2307" max="2307" width="5.73046875" style="256" customWidth="1"/>
    <col min="2308" max="2308" width="8.1328125" style="256" customWidth="1"/>
    <col min="2309" max="2310" width="7.59765625" style="256" customWidth="1"/>
    <col min="2311" max="2311" width="6.73046875" style="256" customWidth="1"/>
    <col min="2312" max="2312" width="4" style="256" customWidth="1"/>
    <col min="2313" max="2313" width="7.265625" style="256" customWidth="1"/>
    <col min="2314" max="2314" width="4" style="256" customWidth="1"/>
    <col min="2315" max="2315" width="13" style="256" customWidth="1"/>
    <col min="2316" max="2316" width="7.73046875" style="256" customWidth="1"/>
    <col min="2317" max="2317" width="5.59765625" style="256" customWidth="1"/>
    <col min="2318" max="2318" width="5.73046875" style="256" customWidth="1"/>
    <col min="2319" max="2319" width="8.1328125" style="256" customWidth="1"/>
    <col min="2320" max="2321" width="7.59765625" style="256" customWidth="1"/>
    <col min="2322" max="2322" width="6.73046875" style="256" customWidth="1"/>
    <col min="2323" max="2323" width="4" style="256" customWidth="1"/>
    <col min="2324" max="2324" width="7.265625" style="256" customWidth="1"/>
    <col min="2325" max="2325" width="4" style="256" customWidth="1"/>
    <col min="2326" max="2326" width="13" style="256" customWidth="1"/>
    <col min="2327" max="2327" width="7.73046875" style="256" customWidth="1"/>
    <col min="2328" max="2328" width="5.59765625" style="256" customWidth="1"/>
    <col min="2329" max="2329" width="5.73046875" style="256" customWidth="1"/>
    <col min="2330" max="2330" width="8.1328125" style="256" customWidth="1"/>
    <col min="2331" max="2332" width="7.59765625" style="256" customWidth="1"/>
    <col min="2333" max="2333" width="6.73046875" style="256" customWidth="1"/>
    <col min="2334" max="2334" width="4" style="256" customWidth="1"/>
    <col min="2335" max="2335" width="7.265625" style="256" customWidth="1"/>
    <col min="2336" max="2336" width="4" style="256" customWidth="1"/>
    <col min="2337" max="2337" width="13" style="256" customWidth="1"/>
    <col min="2338" max="2338" width="7.73046875" style="256" customWidth="1"/>
    <col min="2339" max="2339" width="5.59765625" style="256" customWidth="1"/>
    <col min="2340" max="2340" width="5.73046875" style="256" customWidth="1"/>
    <col min="2341" max="2341" width="8.1328125" style="256" customWidth="1"/>
    <col min="2342" max="2343" width="7.59765625" style="256" customWidth="1"/>
    <col min="2344" max="2344" width="6.73046875" style="256" customWidth="1"/>
    <col min="2345" max="2345" width="4" style="256" customWidth="1"/>
    <col min="2346" max="2346" width="7.265625" style="256" customWidth="1"/>
    <col min="2347" max="2347" width="4" style="256" customWidth="1"/>
    <col min="2348" max="2348" width="13" style="256" customWidth="1"/>
    <col min="2349" max="2349" width="7.73046875" style="256" customWidth="1"/>
    <col min="2350" max="2350" width="5.59765625" style="256" customWidth="1"/>
    <col min="2351" max="2351" width="5.73046875" style="256" customWidth="1"/>
    <col min="2352" max="2352" width="8.1328125" style="256" customWidth="1"/>
    <col min="2353" max="2354" width="7.59765625" style="256" customWidth="1"/>
    <col min="2355" max="2355" width="6.73046875" style="256" customWidth="1"/>
    <col min="2356" max="2356" width="4" style="256" customWidth="1"/>
    <col min="2357" max="2357" width="7.265625" style="256" customWidth="1"/>
    <col min="2358" max="2358" width="4" style="256" customWidth="1"/>
    <col min="2359" max="2359" width="13" style="256" customWidth="1"/>
    <col min="2360" max="2360" width="7.73046875" style="256" customWidth="1"/>
    <col min="2361" max="2361" width="5.59765625" style="256" customWidth="1"/>
    <col min="2362" max="2362" width="5.73046875" style="256" customWidth="1"/>
    <col min="2363" max="2363" width="8.1328125" style="256" customWidth="1"/>
    <col min="2364" max="2365" width="7.59765625" style="256" customWidth="1"/>
    <col min="2366" max="2366" width="6.73046875" style="256" customWidth="1"/>
    <col min="2367" max="2367" width="4" style="256" customWidth="1"/>
    <col min="2368" max="2368" width="7.265625" style="256" customWidth="1"/>
    <col min="2369" max="2369" width="4.3984375" style="256" customWidth="1"/>
    <col min="2370" max="2370" width="13" style="256" customWidth="1"/>
    <col min="2371" max="2371" width="7.73046875" style="256" customWidth="1"/>
    <col min="2372" max="2372" width="5.59765625" style="256" customWidth="1"/>
    <col min="2373" max="2373" width="5.73046875" style="256" customWidth="1"/>
    <col min="2374" max="2374" width="8.1328125" style="256" customWidth="1"/>
    <col min="2375" max="2376" width="7.59765625" style="256" customWidth="1"/>
    <col min="2377" max="2377" width="6.73046875" style="256" customWidth="1"/>
    <col min="2378" max="2378" width="4" style="256" customWidth="1"/>
    <col min="2379" max="2379" width="7.265625" style="256" customWidth="1"/>
    <col min="2380" max="2380" width="4" style="256" customWidth="1"/>
    <col min="2381" max="2381" width="13" style="256" customWidth="1"/>
    <col min="2382" max="2382" width="7.73046875" style="256" customWidth="1"/>
    <col min="2383" max="2383" width="5.59765625" style="256" customWidth="1"/>
    <col min="2384" max="2384" width="5.73046875" style="256" customWidth="1"/>
    <col min="2385" max="2385" width="8.1328125" style="256" customWidth="1"/>
    <col min="2386" max="2387" width="7.59765625" style="256" customWidth="1"/>
    <col min="2388" max="2388" width="6.73046875" style="256" customWidth="1"/>
    <col min="2389" max="2389" width="4" style="256" customWidth="1"/>
    <col min="2390" max="2390" width="7.265625" style="256" customWidth="1"/>
    <col min="2391" max="2391" width="4" style="256" customWidth="1"/>
    <col min="2392" max="2392" width="13" style="256" customWidth="1"/>
    <col min="2393" max="2393" width="7.73046875" style="256" customWidth="1"/>
    <col min="2394" max="2394" width="5.59765625" style="256" customWidth="1"/>
    <col min="2395" max="2395" width="5.73046875" style="256" customWidth="1"/>
    <col min="2396" max="2396" width="8.1328125" style="256" customWidth="1"/>
    <col min="2397" max="2398" width="7.59765625" style="256" customWidth="1"/>
    <col min="2399" max="2399" width="6.73046875" style="256" customWidth="1"/>
    <col min="2400" max="2400" width="4" style="256" customWidth="1"/>
    <col min="2401" max="2401" width="7.265625" style="256" customWidth="1"/>
    <col min="2402" max="2402" width="4" style="256" customWidth="1"/>
    <col min="2403" max="2403" width="13" style="256" customWidth="1"/>
    <col min="2404" max="2404" width="7.73046875" style="256" customWidth="1"/>
    <col min="2405" max="2405" width="5.59765625" style="256" customWidth="1"/>
    <col min="2406" max="2406" width="5.73046875" style="256" customWidth="1"/>
    <col min="2407" max="2407" width="8.1328125" style="256" customWidth="1"/>
    <col min="2408" max="2409" width="7.59765625" style="256" customWidth="1"/>
    <col min="2410" max="2410" width="6.73046875" style="256" customWidth="1"/>
    <col min="2411" max="2411" width="4" style="256" customWidth="1"/>
    <col min="2412" max="2412" width="7.265625" style="256" customWidth="1"/>
    <col min="2413" max="2413" width="4" style="256" customWidth="1"/>
    <col min="2414" max="2414" width="13" style="256" customWidth="1"/>
    <col min="2415" max="2415" width="7.73046875" style="256" customWidth="1"/>
    <col min="2416" max="2416" width="5.59765625" style="256" customWidth="1"/>
    <col min="2417" max="2417" width="5.73046875" style="256" customWidth="1"/>
    <col min="2418" max="2418" width="8.1328125" style="256" customWidth="1"/>
    <col min="2419" max="2420" width="7.59765625" style="256" customWidth="1"/>
    <col min="2421" max="2421" width="6.73046875" style="256" customWidth="1"/>
    <col min="2422" max="2422" width="4" style="256" customWidth="1"/>
    <col min="2423" max="2423" width="7.265625" style="256" customWidth="1"/>
    <col min="2424" max="2424" width="4" style="256" customWidth="1"/>
    <col min="2425" max="2425" width="13" style="256" customWidth="1"/>
    <col min="2426" max="2426" width="7.73046875" style="256" customWidth="1"/>
    <col min="2427" max="2427" width="5.59765625" style="256" customWidth="1"/>
    <col min="2428" max="2428" width="5.73046875" style="256" customWidth="1"/>
    <col min="2429" max="2429" width="8.1328125" style="256" customWidth="1"/>
    <col min="2430" max="2431" width="7.59765625" style="256" customWidth="1"/>
    <col min="2432" max="2432" width="6.73046875" style="256" customWidth="1"/>
    <col min="2433" max="2433" width="4" style="256" customWidth="1"/>
    <col min="2434" max="2434" width="7.265625" style="256" customWidth="1"/>
    <col min="2435" max="2435" width="4" style="256" customWidth="1"/>
    <col min="2436" max="2436" width="13" style="256" customWidth="1"/>
    <col min="2437" max="2437" width="7.73046875" style="256" customWidth="1"/>
    <col min="2438" max="2438" width="5.59765625" style="256" customWidth="1"/>
    <col min="2439" max="2439" width="5.73046875" style="256" customWidth="1"/>
    <col min="2440" max="2440" width="8.1328125" style="256" customWidth="1"/>
    <col min="2441" max="2442" width="7.59765625" style="256" customWidth="1"/>
    <col min="2443" max="2443" width="6.73046875" style="256" customWidth="1"/>
    <col min="2444" max="2444" width="4" style="256" customWidth="1"/>
    <col min="2445" max="2445" width="7.265625" style="256" customWidth="1"/>
    <col min="2446" max="2446" width="4" style="256" customWidth="1"/>
    <col min="2447" max="2447" width="13" style="256" customWidth="1"/>
    <col min="2448" max="2448" width="7.73046875" style="256" customWidth="1"/>
    <col min="2449" max="2449" width="5.59765625" style="256" customWidth="1"/>
    <col min="2450" max="2451" width="9.1328125" style="256"/>
    <col min="2452" max="2452" width="6.59765625" style="256" customWidth="1"/>
    <col min="2453" max="2453" width="8.73046875" style="256" customWidth="1"/>
    <col min="2454" max="2454" width="7.3984375" style="256" customWidth="1"/>
    <col min="2455" max="2455" width="7.265625" style="256" customWidth="1"/>
    <col min="2456" max="2456" width="7.73046875" style="256" customWidth="1"/>
    <col min="2457" max="2457" width="4.3984375" style="256" customWidth="1"/>
    <col min="2458" max="2458" width="9.1328125" style="256"/>
    <col min="2459" max="2459" width="6" style="256" customWidth="1"/>
    <col min="2460" max="2460" width="12.265625" style="256" customWidth="1"/>
    <col min="2461" max="2461" width="8" style="256" customWidth="1"/>
    <col min="2462" max="2464" width="9.1328125" style="256"/>
    <col min="2465" max="2465" width="7.73046875" style="256" customWidth="1"/>
    <col min="2466" max="2466" width="8.265625" style="256" customWidth="1"/>
    <col min="2467" max="2467" width="7.1328125" style="256" customWidth="1"/>
    <col min="2468" max="2468" width="7.59765625" style="256" customWidth="1"/>
    <col min="2469" max="2469" width="7.3984375" style="256" customWidth="1"/>
    <col min="2470" max="2470" width="4.86328125" style="256" customWidth="1"/>
    <col min="2471" max="2471" width="9.1328125" style="256"/>
    <col min="2472" max="2472" width="5" style="256" customWidth="1"/>
    <col min="2473" max="2473" width="12.265625" style="256" customWidth="1"/>
    <col min="2474" max="2474" width="7.86328125" style="256" customWidth="1"/>
    <col min="2475" max="2477" width="9.1328125" style="256"/>
    <col min="2478" max="2478" width="7.265625" style="256" customWidth="1"/>
    <col min="2479" max="2479" width="8.1328125" style="256" customWidth="1"/>
    <col min="2480" max="2480" width="6.86328125" style="256" customWidth="1"/>
    <col min="2481" max="2481" width="8" style="256" customWidth="1"/>
    <col min="2482" max="2482" width="7.3984375" style="256" customWidth="1"/>
    <col min="2483" max="2483" width="4.59765625" style="256" customWidth="1"/>
    <col min="2484" max="2484" width="9.1328125" style="256"/>
    <col min="2485" max="2485" width="4.1328125" style="256" customWidth="1"/>
    <col min="2486" max="2486" width="12" style="256" customWidth="1"/>
    <col min="2487" max="2487" width="8.1328125" style="256" customWidth="1"/>
    <col min="2488" max="2490" width="9.1328125" style="256"/>
    <col min="2491" max="2491" width="5.3984375" style="256" customWidth="1"/>
    <col min="2492" max="2492" width="7.73046875" style="256" customWidth="1"/>
    <col min="2493" max="2493" width="5.1328125" style="256" customWidth="1"/>
    <col min="2494" max="2494" width="7.3984375" style="256" customWidth="1"/>
    <col min="2495" max="2495" width="7.1328125" style="256" customWidth="1"/>
    <col min="2496" max="2496" width="4.265625" style="256" customWidth="1"/>
    <col min="2497" max="2497" width="9.1328125" style="256"/>
    <col min="2498" max="2498" width="5.1328125" style="256" customWidth="1"/>
    <col min="2499" max="2499" width="12.265625" style="256" customWidth="1"/>
    <col min="2500" max="2500" width="7.73046875" style="256" customWidth="1"/>
    <col min="2501" max="2502" width="9.1328125" style="256"/>
    <col min="2503" max="2503" width="6.73046875" style="256" customWidth="1"/>
    <col min="2504" max="2504" width="7.59765625" style="256" customWidth="1"/>
    <col min="2505" max="2505" width="6.265625" style="256" customWidth="1"/>
    <col min="2506" max="2506" width="8.1328125" style="256" customWidth="1"/>
    <col min="2507" max="2507" width="7.1328125" style="256" customWidth="1"/>
    <col min="2508" max="2508" width="4.3984375" style="256" customWidth="1"/>
    <col min="2509" max="2509" width="9.1328125" style="256"/>
    <col min="2510" max="2510" width="3.86328125" style="256" customWidth="1"/>
    <col min="2511" max="2511" width="12.265625" style="256" customWidth="1"/>
    <col min="2512" max="2512" width="8.3984375" style="256" customWidth="1"/>
    <col min="2513" max="2514" width="9.1328125" style="256"/>
    <col min="2515" max="2515" width="8.1328125" style="256" customWidth="1"/>
    <col min="2516" max="2516" width="8.3984375" style="256" customWidth="1"/>
    <col min="2517" max="2517" width="7" style="256" customWidth="1"/>
    <col min="2518" max="2518" width="8.3984375" style="256" customWidth="1"/>
    <col min="2519" max="2519" width="9.1328125" style="256"/>
    <col min="2520" max="2520" width="6.1328125" style="256" customWidth="1"/>
    <col min="2521" max="2521" width="9.1328125" style="256"/>
    <col min="2522" max="2522" width="6.73046875" style="256" customWidth="1"/>
    <col min="2523" max="2539" width="9.1328125" style="256"/>
    <col min="2540" max="2540" width="5.59765625" style="256" customWidth="1"/>
    <col min="2541" max="2541" width="5.73046875" style="256" customWidth="1"/>
    <col min="2542" max="2542" width="8.1328125" style="256" customWidth="1"/>
    <col min="2543" max="2544" width="7.59765625" style="256" customWidth="1"/>
    <col min="2545" max="2545" width="6.73046875" style="256" customWidth="1"/>
    <col min="2546" max="2546" width="4" style="256" customWidth="1"/>
    <col min="2547" max="2547" width="7.265625" style="256" customWidth="1"/>
    <col min="2548" max="2548" width="4" style="256" customWidth="1"/>
    <col min="2549" max="2549" width="13" style="256" customWidth="1"/>
    <col min="2550" max="2550" width="8" style="256" customWidth="1"/>
    <col min="2551" max="2551" width="5.59765625" style="256" customWidth="1"/>
    <col min="2552" max="2552" width="5.73046875" style="256" customWidth="1"/>
    <col min="2553" max="2553" width="8.1328125" style="256" customWidth="1"/>
    <col min="2554" max="2555" width="7.59765625" style="256" customWidth="1"/>
    <col min="2556" max="2556" width="6.73046875" style="256" customWidth="1"/>
    <col min="2557" max="2557" width="4" style="256" customWidth="1"/>
    <col min="2558" max="2558" width="7.265625" style="256" customWidth="1"/>
    <col min="2559" max="2559" width="4" style="256" customWidth="1"/>
    <col min="2560" max="2560" width="13" style="256" customWidth="1"/>
    <col min="2561" max="2561" width="7.73046875" style="256" customWidth="1"/>
    <col min="2562" max="2562" width="5.59765625" style="256" customWidth="1"/>
    <col min="2563" max="2563" width="5.73046875" style="256" customWidth="1"/>
    <col min="2564" max="2564" width="8.1328125" style="256" customWidth="1"/>
    <col min="2565" max="2566" width="7.59765625" style="256" customWidth="1"/>
    <col min="2567" max="2567" width="6.73046875" style="256" customWidth="1"/>
    <col min="2568" max="2568" width="4" style="256" customWidth="1"/>
    <col min="2569" max="2569" width="7.265625" style="256" customWidth="1"/>
    <col min="2570" max="2570" width="4" style="256" customWidth="1"/>
    <col min="2571" max="2571" width="13" style="256" customWidth="1"/>
    <col min="2572" max="2572" width="7.73046875" style="256" customWidth="1"/>
    <col min="2573" max="2573" width="5.59765625" style="256" customWidth="1"/>
    <col min="2574" max="2574" width="5.73046875" style="256" customWidth="1"/>
    <col min="2575" max="2575" width="8.1328125" style="256" customWidth="1"/>
    <col min="2576" max="2577" width="7.59765625" style="256" customWidth="1"/>
    <col min="2578" max="2578" width="6.73046875" style="256" customWidth="1"/>
    <col min="2579" max="2579" width="4" style="256" customWidth="1"/>
    <col min="2580" max="2580" width="7.265625" style="256" customWidth="1"/>
    <col min="2581" max="2581" width="4" style="256" customWidth="1"/>
    <col min="2582" max="2582" width="13" style="256" customWidth="1"/>
    <col min="2583" max="2583" width="7.73046875" style="256" customWidth="1"/>
    <col min="2584" max="2584" width="5.59765625" style="256" customWidth="1"/>
    <col min="2585" max="2585" width="5.73046875" style="256" customWidth="1"/>
    <col min="2586" max="2586" width="8.1328125" style="256" customWidth="1"/>
    <col min="2587" max="2588" width="7.59765625" style="256" customWidth="1"/>
    <col min="2589" max="2589" width="6.73046875" style="256" customWidth="1"/>
    <col min="2590" max="2590" width="4" style="256" customWidth="1"/>
    <col min="2591" max="2591" width="7.265625" style="256" customWidth="1"/>
    <col min="2592" max="2592" width="4" style="256" customWidth="1"/>
    <col min="2593" max="2593" width="13" style="256" customWidth="1"/>
    <col min="2594" max="2594" width="7.73046875" style="256" customWidth="1"/>
    <col min="2595" max="2595" width="5.59765625" style="256" customWidth="1"/>
    <col min="2596" max="2596" width="5.73046875" style="256" customWidth="1"/>
    <col min="2597" max="2597" width="8.1328125" style="256" customWidth="1"/>
    <col min="2598" max="2599" width="7.59765625" style="256" customWidth="1"/>
    <col min="2600" max="2600" width="6.73046875" style="256" customWidth="1"/>
    <col min="2601" max="2601" width="4" style="256" customWidth="1"/>
    <col min="2602" max="2602" width="7.265625" style="256" customWidth="1"/>
    <col min="2603" max="2603" width="4" style="256" customWidth="1"/>
    <col min="2604" max="2604" width="13" style="256" customWidth="1"/>
    <col min="2605" max="2605" width="7.73046875" style="256" customWidth="1"/>
    <col min="2606" max="2606" width="5.59765625" style="256" customWidth="1"/>
    <col min="2607" max="2607" width="5.73046875" style="256" customWidth="1"/>
    <col min="2608" max="2608" width="8.1328125" style="256" customWidth="1"/>
    <col min="2609" max="2610" width="7.59765625" style="256" customWidth="1"/>
    <col min="2611" max="2611" width="6.73046875" style="256" customWidth="1"/>
    <col min="2612" max="2612" width="4" style="256" customWidth="1"/>
    <col min="2613" max="2613" width="7.265625" style="256" customWidth="1"/>
    <col min="2614" max="2614" width="4" style="256" customWidth="1"/>
    <col min="2615" max="2615" width="13" style="256" customWidth="1"/>
    <col min="2616" max="2616" width="7.73046875" style="256" customWidth="1"/>
    <col min="2617" max="2617" width="5.59765625" style="256" customWidth="1"/>
    <col min="2618" max="2618" width="5.73046875" style="256" customWidth="1"/>
    <col min="2619" max="2619" width="8.1328125" style="256" customWidth="1"/>
    <col min="2620" max="2621" width="7.59765625" style="256" customWidth="1"/>
    <col min="2622" max="2622" width="6.73046875" style="256" customWidth="1"/>
    <col min="2623" max="2623" width="4" style="256" customWidth="1"/>
    <col min="2624" max="2624" width="7.265625" style="256" customWidth="1"/>
    <col min="2625" max="2625" width="4.3984375" style="256" customWidth="1"/>
    <col min="2626" max="2626" width="13" style="256" customWidth="1"/>
    <col min="2627" max="2627" width="7.73046875" style="256" customWidth="1"/>
    <col min="2628" max="2628" width="5.59765625" style="256" customWidth="1"/>
    <col min="2629" max="2629" width="5.73046875" style="256" customWidth="1"/>
    <col min="2630" max="2630" width="8.1328125" style="256" customWidth="1"/>
    <col min="2631" max="2632" width="7.59765625" style="256" customWidth="1"/>
    <col min="2633" max="2633" width="6.73046875" style="256" customWidth="1"/>
    <col min="2634" max="2634" width="4" style="256" customWidth="1"/>
    <col min="2635" max="2635" width="7.265625" style="256" customWidth="1"/>
    <col min="2636" max="2636" width="4" style="256" customWidth="1"/>
    <col min="2637" max="2637" width="13" style="256" customWidth="1"/>
    <col min="2638" max="2638" width="7.73046875" style="256" customWidth="1"/>
    <col min="2639" max="2639" width="5.59765625" style="256" customWidth="1"/>
    <col min="2640" max="2640" width="5.73046875" style="256" customWidth="1"/>
    <col min="2641" max="2641" width="8.1328125" style="256" customWidth="1"/>
    <col min="2642" max="2643" width="7.59765625" style="256" customWidth="1"/>
    <col min="2644" max="2644" width="6.73046875" style="256" customWidth="1"/>
    <col min="2645" max="2645" width="4" style="256" customWidth="1"/>
    <col min="2646" max="2646" width="7.265625" style="256" customWidth="1"/>
    <col min="2647" max="2647" width="4" style="256" customWidth="1"/>
    <col min="2648" max="2648" width="13" style="256" customWidth="1"/>
    <col min="2649" max="2649" width="7.73046875" style="256" customWidth="1"/>
    <col min="2650" max="2650" width="5.59765625" style="256" customWidth="1"/>
    <col min="2651" max="2651" width="5.73046875" style="256" customWidth="1"/>
    <col min="2652" max="2652" width="8.1328125" style="256" customWidth="1"/>
    <col min="2653" max="2654" width="7.59765625" style="256" customWidth="1"/>
    <col min="2655" max="2655" width="6.73046875" style="256" customWidth="1"/>
    <col min="2656" max="2656" width="4" style="256" customWidth="1"/>
    <col min="2657" max="2657" width="7.265625" style="256" customWidth="1"/>
    <col min="2658" max="2658" width="4" style="256" customWidth="1"/>
    <col min="2659" max="2659" width="13" style="256" customWidth="1"/>
    <col min="2660" max="2660" width="7.73046875" style="256" customWidth="1"/>
    <col min="2661" max="2661" width="5.59765625" style="256" customWidth="1"/>
    <col min="2662" max="2662" width="5.73046875" style="256" customWidth="1"/>
    <col min="2663" max="2663" width="8.1328125" style="256" customWidth="1"/>
    <col min="2664" max="2665" width="7.59765625" style="256" customWidth="1"/>
    <col min="2666" max="2666" width="6.73046875" style="256" customWidth="1"/>
    <col min="2667" max="2667" width="4" style="256" customWidth="1"/>
    <col min="2668" max="2668" width="7.265625" style="256" customWidth="1"/>
    <col min="2669" max="2669" width="4" style="256" customWidth="1"/>
    <col min="2670" max="2670" width="13" style="256" customWidth="1"/>
    <col min="2671" max="2671" width="7.73046875" style="256" customWidth="1"/>
    <col min="2672" max="2672" width="5.59765625" style="256" customWidth="1"/>
    <col min="2673" max="2673" width="5.73046875" style="256" customWidth="1"/>
    <col min="2674" max="2674" width="8.1328125" style="256" customWidth="1"/>
    <col min="2675" max="2676" width="7.59765625" style="256" customWidth="1"/>
    <col min="2677" max="2677" width="6.73046875" style="256" customWidth="1"/>
    <col min="2678" max="2678" width="4" style="256" customWidth="1"/>
    <col min="2679" max="2679" width="7.265625" style="256" customWidth="1"/>
    <col min="2680" max="2680" width="4" style="256" customWidth="1"/>
    <col min="2681" max="2681" width="13" style="256" customWidth="1"/>
    <col min="2682" max="2682" width="7.73046875" style="256" customWidth="1"/>
    <col min="2683" max="2683" width="5.59765625" style="256" customWidth="1"/>
    <col min="2684" max="2684" width="5.73046875" style="256" customWidth="1"/>
    <col min="2685" max="2685" width="8.1328125" style="256" customWidth="1"/>
    <col min="2686" max="2687" width="7.59765625" style="256" customWidth="1"/>
    <col min="2688" max="2688" width="6.73046875" style="256" customWidth="1"/>
    <col min="2689" max="2689" width="4" style="256" customWidth="1"/>
    <col min="2690" max="2690" width="7.265625" style="256" customWidth="1"/>
    <col min="2691" max="2691" width="4" style="256" customWidth="1"/>
    <col min="2692" max="2692" width="13" style="256" customWidth="1"/>
    <col min="2693" max="2693" width="7.73046875" style="256" customWidth="1"/>
    <col min="2694" max="2694" width="5.59765625" style="256" customWidth="1"/>
    <col min="2695" max="2695" width="5.73046875" style="256" customWidth="1"/>
    <col min="2696" max="2696" width="8.1328125" style="256" customWidth="1"/>
    <col min="2697" max="2698" width="7.59765625" style="256" customWidth="1"/>
    <col min="2699" max="2699" width="6.73046875" style="256" customWidth="1"/>
    <col min="2700" max="2700" width="4" style="256" customWidth="1"/>
    <col min="2701" max="2701" width="7.265625" style="256" customWidth="1"/>
    <col min="2702" max="2702" width="4" style="256" customWidth="1"/>
    <col min="2703" max="2703" width="13" style="256" customWidth="1"/>
    <col min="2704" max="2704" width="7.73046875" style="256" customWidth="1"/>
    <col min="2705" max="2705" width="5.59765625" style="256" customWidth="1"/>
    <col min="2706" max="2707" width="9.1328125" style="256"/>
    <col min="2708" max="2708" width="6.59765625" style="256" customWidth="1"/>
    <col min="2709" max="2709" width="8.73046875" style="256" customWidth="1"/>
    <col min="2710" max="2710" width="7.3984375" style="256" customWidth="1"/>
    <col min="2711" max="2711" width="7.265625" style="256" customWidth="1"/>
    <col min="2712" max="2712" width="7.73046875" style="256" customWidth="1"/>
    <col min="2713" max="2713" width="4.3984375" style="256" customWidth="1"/>
    <col min="2714" max="2714" width="9.1328125" style="256"/>
    <col min="2715" max="2715" width="6" style="256" customWidth="1"/>
    <col min="2716" max="2716" width="12.265625" style="256" customWidth="1"/>
    <col min="2717" max="2717" width="8" style="256" customWidth="1"/>
    <col min="2718" max="2720" width="9.1328125" style="256"/>
    <col min="2721" max="2721" width="7.73046875" style="256" customWidth="1"/>
    <col min="2722" max="2722" width="8.265625" style="256" customWidth="1"/>
    <col min="2723" max="2723" width="7.1328125" style="256" customWidth="1"/>
    <col min="2724" max="2724" width="7.59765625" style="256" customWidth="1"/>
    <col min="2725" max="2725" width="7.3984375" style="256" customWidth="1"/>
    <col min="2726" max="2726" width="4.86328125" style="256" customWidth="1"/>
    <col min="2727" max="2727" width="9.1328125" style="256"/>
    <col min="2728" max="2728" width="5" style="256" customWidth="1"/>
    <col min="2729" max="2729" width="12.265625" style="256" customWidth="1"/>
    <col min="2730" max="2730" width="7.86328125" style="256" customWidth="1"/>
    <col min="2731" max="2733" width="9.1328125" style="256"/>
    <col min="2734" max="2734" width="7.265625" style="256" customWidth="1"/>
    <col min="2735" max="2735" width="8.1328125" style="256" customWidth="1"/>
    <col min="2736" max="2736" width="6.86328125" style="256" customWidth="1"/>
    <col min="2737" max="2737" width="8" style="256" customWidth="1"/>
    <col min="2738" max="2738" width="7.3984375" style="256" customWidth="1"/>
    <col min="2739" max="2739" width="4.59765625" style="256" customWidth="1"/>
    <col min="2740" max="2740" width="9.1328125" style="256"/>
    <col min="2741" max="2741" width="4.1328125" style="256" customWidth="1"/>
    <col min="2742" max="2742" width="12" style="256" customWidth="1"/>
    <col min="2743" max="2743" width="8.1328125" style="256" customWidth="1"/>
    <col min="2744" max="2746" width="9.1328125" style="256"/>
    <col min="2747" max="2747" width="5.3984375" style="256" customWidth="1"/>
    <col min="2748" max="2748" width="7.73046875" style="256" customWidth="1"/>
    <col min="2749" max="2749" width="5.1328125" style="256" customWidth="1"/>
    <col min="2750" max="2750" width="7.3984375" style="256" customWidth="1"/>
    <col min="2751" max="2751" width="7.1328125" style="256" customWidth="1"/>
    <col min="2752" max="2752" width="4.265625" style="256" customWidth="1"/>
    <col min="2753" max="2753" width="9.1328125" style="256"/>
    <col min="2754" max="2754" width="5.1328125" style="256" customWidth="1"/>
    <col min="2755" max="2755" width="12.265625" style="256" customWidth="1"/>
    <col min="2756" max="2756" width="7.73046875" style="256" customWidth="1"/>
    <col min="2757" max="2758" width="9.1328125" style="256"/>
    <col min="2759" max="2759" width="6.73046875" style="256" customWidth="1"/>
    <col min="2760" max="2760" width="7.59765625" style="256" customWidth="1"/>
    <col min="2761" max="2761" width="6.265625" style="256" customWidth="1"/>
    <col min="2762" max="2762" width="8.1328125" style="256" customWidth="1"/>
    <col min="2763" max="2763" width="7.1328125" style="256" customWidth="1"/>
    <col min="2764" max="2764" width="4.3984375" style="256" customWidth="1"/>
    <col min="2765" max="2765" width="9.1328125" style="256"/>
    <col min="2766" max="2766" width="3.86328125" style="256" customWidth="1"/>
    <col min="2767" max="2767" width="12.265625" style="256" customWidth="1"/>
    <col min="2768" max="2768" width="8.3984375" style="256" customWidth="1"/>
    <col min="2769" max="2770" width="9.1328125" style="256"/>
    <col min="2771" max="2771" width="8.1328125" style="256" customWidth="1"/>
    <col min="2772" max="2772" width="8.3984375" style="256" customWidth="1"/>
    <col min="2773" max="2773" width="7" style="256" customWidth="1"/>
    <col min="2774" max="2774" width="8.3984375" style="256" customWidth="1"/>
    <col min="2775" max="2775" width="9.1328125" style="256"/>
    <col min="2776" max="2776" width="6.1328125" style="256" customWidth="1"/>
    <col min="2777" max="2777" width="9.1328125" style="256"/>
    <col min="2778" max="2778" width="6.73046875" style="256" customWidth="1"/>
    <col min="2779" max="2795" width="9.1328125" style="256"/>
    <col min="2796" max="2796" width="5.59765625" style="256" customWidth="1"/>
    <col min="2797" max="2797" width="5.73046875" style="256" customWidth="1"/>
    <col min="2798" max="2798" width="8.1328125" style="256" customWidth="1"/>
    <col min="2799" max="2800" width="7.59765625" style="256" customWidth="1"/>
    <col min="2801" max="2801" width="6.73046875" style="256" customWidth="1"/>
    <col min="2802" max="2802" width="4" style="256" customWidth="1"/>
    <col min="2803" max="2803" width="7.265625" style="256" customWidth="1"/>
    <col min="2804" max="2804" width="4" style="256" customWidth="1"/>
    <col min="2805" max="2805" width="13" style="256" customWidth="1"/>
    <col min="2806" max="2806" width="8" style="256" customWidth="1"/>
    <col min="2807" max="2807" width="5.59765625" style="256" customWidth="1"/>
    <col min="2808" max="2808" width="5.73046875" style="256" customWidth="1"/>
    <col min="2809" max="2809" width="8.1328125" style="256" customWidth="1"/>
    <col min="2810" max="2811" width="7.59765625" style="256" customWidth="1"/>
    <col min="2812" max="2812" width="6.73046875" style="256" customWidth="1"/>
    <col min="2813" max="2813" width="4" style="256" customWidth="1"/>
    <col min="2814" max="2814" width="7.265625" style="256" customWidth="1"/>
    <col min="2815" max="2815" width="4" style="256" customWidth="1"/>
    <col min="2816" max="2816" width="13" style="256" customWidth="1"/>
    <col min="2817" max="2817" width="7.73046875" style="256" customWidth="1"/>
    <col min="2818" max="2818" width="5.59765625" style="256" customWidth="1"/>
    <col min="2819" max="2819" width="5.73046875" style="256" customWidth="1"/>
    <col min="2820" max="2820" width="8.1328125" style="256" customWidth="1"/>
    <col min="2821" max="2822" width="7.59765625" style="256" customWidth="1"/>
    <col min="2823" max="2823" width="6.73046875" style="256" customWidth="1"/>
    <col min="2824" max="2824" width="4" style="256" customWidth="1"/>
    <col min="2825" max="2825" width="7.265625" style="256" customWidth="1"/>
    <col min="2826" max="2826" width="4" style="256" customWidth="1"/>
    <col min="2827" max="2827" width="13" style="256" customWidth="1"/>
    <col min="2828" max="2828" width="7.73046875" style="256" customWidth="1"/>
    <col min="2829" max="2829" width="5.59765625" style="256" customWidth="1"/>
    <col min="2830" max="2830" width="5.73046875" style="256" customWidth="1"/>
    <col min="2831" max="2831" width="8.1328125" style="256" customWidth="1"/>
    <col min="2832" max="2833" width="7.59765625" style="256" customWidth="1"/>
    <col min="2834" max="2834" width="6.73046875" style="256" customWidth="1"/>
    <col min="2835" max="2835" width="4" style="256" customWidth="1"/>
    <col min="2836" max="2836" width="7.265625" style="256" customWidth="1"/>
    <col min="2837" max="2837" width="4" style="256" customWidth="1"/>
    <col min="2838" max="2838" width="13" style="256" customWidth="1"/>
    <col min="2839" max="2839" width="7.73046875" style="256" customWidth="1"/>
    <col min="2840" max="2840" width="5.59765625" style="256" customWidth="1"/>
    <col min="2841" max="2841" width="5.73046875" style="256" customWidth="1"/>
    <col min="2842" max="2842" width="8.1328125" style="256" customWidth="1"/>
    <col min="2843" max="2844" width="7.59765625" style="256" customWidth="1"/>
    <col min="2845" max="2845" width="6.73046875" style="256" customWidth="1"/>
    <col min="2846" max="2846" width="4" style="256" customWidth="1"/>
    <col min="2847" max="2847" width="7.265625" style="256" customWidth="1"/>
    <col min="2848" max="2848" width="4" style="256" customWidth="1"/>
    <col min="2849" max="2849" width="13" style="256" customWidth="1"/>
    <col min="2850" max="2850" width="7.73046875" style="256" customWidth="1"/>
    <col min="2851" max="2851" width="5.59765625" style="256" customWidth="1"/>
    <col min="2852" max="2852" width="5.73046875" style="256" customWidth="1"/>
    <col min="2853" max="2853" width="8.1328125" style="256" customWidth="1"/>
    <col min="2854" max="2855" width="7.59765625" style="256" customWidth="1"/>
    <col min="2856" max="2856" width="6.73046875" style="256" customWidth="1"/>
    <col min="2857" max="2857" width="4" style="256" customWidth="1"/>
    <col min="2858" max="2858" width="7.265625" style="256" customWidth="1"/>
    <col min="2859" max="2859" width="4" style="256" customWidth="1"/>
    <col min="2860" max="2860" width="13" style="256" customWidth="1"/>
    <col min="2861" max="2861" width="7.73046875" style="256" customWidth="1"/>
    <col min="2862" max="2862" width="5.59765625" style="256" customWidth="1"/>
    <col min="2863" max="2863" width="5.73046875" style="256" customWidth="1"/>
    <col min="2864" max="2864" width="8.1328125" style="256" customWidth="1"/>
    <col min="2865" max="2866" width="7.59765625" style="256" customWidth="1"/>
    <col min="2867" max="2867" width="6.73046875" style="256" customWidth="1"/>
    <col min="2868" max="2868" width="4" style="256" customWidth="1"/>
    <col min="2869" max="2869" width="7.265625" style="256" customWidth="1"/>
    <col min="2870" max="2870" width="4" style="256" customWidth="1"/>
    <col min="2871" max="2871" width="13" style="256" customWidth="1"/>
    <col min="2872" max="2872" width="7.73046875" style="256" customWidth="1"/>
    <col min="2873" max="2873" width="5.59765625" style="256" customWidth="1"/>
    <col min="2874" max="2874" width="5.73046875" style="256" customWidth="1"/>
    <col min="2875" max="2875" width="8.1328125" style="256" customWidth="1"/>
    <col min="2876" max="2877" width="7.59765625" style="256" customWidth="1"/>
    <col min="2878" max="2878" width="6.73046875" style="256" customWidth="1"/>
    <col min="2879" max="2879" width="4" style="256" customWidth="1"/>
    <col min="2880" max="2880" width="7.265625" style="256" customWidth="1"/>
    <col min="2881" max="2881" width="4.3984375" style="256" customWidth="1"/>
    <col min="2882" max="2882" width="13" style="256" customWidth="1"/>
    <col min="2883" max="2883" width="7.73046875" style="256" customWidth="1"/>
    <col min="2884" max="2884" width="5.59765625" style="256" customWidth="1"/>
    <col min="2885" max="2885" width="5.73046875" style="256" customWidth="1"/>
    <col min="2886" max="2886" width="8.1328125" style="256" customWidth="1"/>
    <col min="2887" max="2888" width="7.59765625" style="256" customWidth="1"/>
    <col min="2889" max="2889" width="6.73046875" style="256" customWidth="1"/>
    <col min="2890" max="2890" width="4" style="256" customWidth="1"/>
    <col min="2891" max="2891" width="7.265625" style="256" customWidth="1"/>
    <col min="2892" max="2892" width="4" style="256" customWidth="1"/>
    <col min="2893" max="2893" width="13" style="256" customWidth="1"/>
    <col min="2894" max="2894" width="7.73046875" style="256" customWidth="1"/>
    <col min="2895" max="2895" width="5.59765625" style="256" customWidth="1"/>
    <col min="2896" max="2896" width="5.73046875" style="256" customWidth="1"/>
    <col min="2897" max="2897" width="8.1328125" style="256" customWidth="1"/>
    <col min="2898" max="2899" width="7.59765625" style="256" customWidth="1"/>
    <col min="2900" max="2900" width="6.73046875" style="256" customWidth="1"/>
    <col min="2901" max="2901" width="4" style="256" customWidth="1"/>
    <col min="2902" max="2902" width="7.265625" style="256" customWidth="1"/>
    <col min="2903" max="2903" width="4" style="256" customWidth="1"/>
    <col min="2904" max="2904" width="13" style="256" customWidth="1"/>
    <col min="2905" max="2905" width="7.73046875" style="256" customWidth="1"/>
    <col min="2906" max="2906" width="5.59765625" style="256" customWidth="1"/>
    <col min="2907" max="2907" width="5.73046875" style="256" customWidth="1"/>
    <col min="2908" max="2908" width="8.1328125" style="256" customWidth="1"/>
    <col min="2909" max="2910" width="7.59765625" style="256" customWidth="1"/>
    <col min="2911" max="2911" width="6.73046875" style="256" customWidth="1"/>
    <col min="2912" max="2912" width="4" style="256" customWidth="1"/>
    <col min="2913" max="2913" width="7.265625" style="256" customWidth="1"/>
    <col min="2914" max="2914" width="4" style="256" customWidth="1"/>
    <col min="2915" max="2915" width="13" style="256" customWidth="1"/>
    <col min="2916" max="2916" width="7.73046875" style="256" customWidth="1"/>
    <col min="2917" max="2917" width="5.59765625" style="256" customWidth="1"/>
    <col min="2918" max="2918" width="5.73046875" style="256" customWidth="1"/>
    <col min="2919" max="2919" width="8.1328125" style="256" customWidth="1"/>
    <col min="2920" max="2921" width="7.59765625" style="256" customWidth="1"/>
    <col min="2922" max="2922" width="6.73046875" style="256" customWidth="1"/>
    <col min="2923" max="2923" width="4" style="256" customWidth="1"/>
    <col min="2924" max="2924" width="7.265625" style="256" customWidth="1"/>
    <col min="2925" max="2925" width="4" style="256" customWidth="1"/>
    <col min="2926" max="2926" width="13" style="256" customWidth="1"/>
    <col min="2927" max="2927" width="7.73046875" style="256" customWidth="1"/>
    <col min="2928" max="2928" width="5.59765625" style="256" customWidth="1"/>
    <col min="2929" max="2929" width="5.73046875" style="256" customWidth="1"/>
    <col min="2930" max="2930" width="8.1328125" style="256" customWidth="1"/>
    <col min="2931" max="2932" width="7.59765625" style="256" customWidth="1"/>
    <col min="2933" max="2933" width="6.73046875" style="256" customWidth="1"/>
    <col min="2934" max="2934" width="4" style="256" customWidth="1"/>
    <col min="2935" max="2935" width="7.265625" style="256" customWidth="1"/>
    <col min="2936" max="2936" width="4" style="256" customWidth="1"/>
    <col min="2937" max="2937" width="13" style="256" customWidth="1"/>
    <col min="2938" max="2938" width="7.73046875" style="256" customWidth="1"/>
    <col min="2939" max="2939" width="5.59765625" style="256" customWidth="1"/>
    <col min="2940" max="2940" width="5.73046875" style="256" customWidth="1"/>
    <col min="2941" max="2941" width="8.1328125" style="256" customWidth="1"/>
    <col min="2942" max="2943" width="7.59765625" style="256" customWidth="1"/>
    <col min="2944" max="2944" width="6.73046875" style="256" customWidth="1"/>
    <col min="2945" max="2945" width="4" style="256" customWidth="1"/>
    <col min="2946" max="2946" width="7.265625" style="256" customWidth="1"/>
    <col min="2947" max="2947" width="4" style="256" customWidth="1"/>
    <col min="2948" max="2948" width="13" style="256" customWidth="1"/>
    <col min="2949" max="2949" width="7.73046875" style="256" customWidth="1"/>
    <col min="2950" max="2950" width="5.59765625" style="256" customWidth="1"/>
    <col min="2951" max="2951" width="5.73046875" style="256" customWidth="1"/>
    <col min="2952" max="2952" width="8.1328125" style="256" customWidth="1"/>
    <col min="2953" max="2954" width="7.59765625" style="256" customWidth="1"/>
    <col min="2955" max="2955" width="6.73046875" style="256" customWidth="1"/>
    <col min="2956" max="2956" width="4" style="256" customWidth="1"/>
    <col min="2957" max="2957" width="7.265625" style="256" customWidth="1"/>
    <col min="2958" max="2958" width="4" style="256" customWidth="1"/>
    <col min="2959" max="2959" width="13" style="256" customWidth="1"/>
    <col min="2960" max="2960" width="7.73046875" style="256" customWidth="1"/>
    <col min="2961" max="2961" width="5.59765625" style="256" customWidth="1"/>
    <col min="2962" max="2963" width="9.1328125" style="256"/>
    <col min="2964" max="2964" width="6.59765625" style="256" customWidth="1"/>
    <col min="2965" max="2965" width="8.73046875" style="256" customWidth="1"/>
    <col min="2966" max="2966" width="7.3984375" style="256" customWidth="1"/>
    <col min="2967" max="2967" width="7.265625" style="256" customWidth="1"/>
    <col min="2968" max="2968" width="7.73046875" style="256" customWidth="1"/>
    <col min="2969" max="2969" width="4.3984375" style="256" customWidth="1"/>
    <col min="2970" max="2970" width="9.1328125" style="256"/>
    <col min="2971" max="2971" width="6" style="256" customWidth="1"/>
    <col min="2972" max="2972" width="12.265625" style="256" customWidth="1"/>
    <col min="2973" max="2973" width="8" style="256" customWidth="1"/>
    <col min="2974" max="2976" width="9.1328125" style="256"/>
    <col min="2977" max="2977" width="7.73046875" style="256" customWidth="1"/>
    <col min="2978" max="2978" width="8.265625" style="256" customWidth="1"/>
    <col min="2979" max="2979" width="7.1328125" style="256" customWidth="1"/>
    <col min="2980" max="2980" width="7.59765625" style="256" customWidth="1"/>
    <col min="2981" max="2981" width="7.3984375" style="256" customWidth="1"/>
    <col min="2982" max="2982" width="4.86328125" style="256" customWidth="1"/>
    <col min="2983" max="2983" width="9.1328125" style="256"/>
    <col min="2984" max="2984" width="5" style="256" customWidth="1"/>
    <col min="2985" max="2985" width="12.265625" style="256" customWidth="1"/>
    <col min="2986" max="2986" width="7.86328125" style="256" customWidth="1"/>
    <col min="2987" max="2989" width="9.1328125" style="256"/>
    <col min="2990" max="2990" width="7.265625" style="256" customWidth="1"/>
    <col min="2991" max="2991" width="8.1328125" style="256" customWidth="1"/>
    <col min="2992" max="2992" width="6.86328125" style="256" customWidth="1"/>
    <col min="2993" max="2993" width="8" style="256" customWidth="1"/>
    <col min="2994" max="2994" width="7.3984375" style="256" customWidth="1"/>
    <col min="2995" max="2995" width="4.59765625" style="256" customWidth="1"/>
    <col min="2996" max="2996" width="9.1328125" style="256"/>
    <col min="2997" max="2997" width="4.1328125" style="256" customWidth="1"/>
    <col min="2998" max="2998" width="12" style="256" customWidth="1"/>
    <col min="2999" max="2999" width="8.1328125" style="256" customWidth="1"/>
    <col min="3000" max="3002" width="9.1328125" style="256"/>
    <col min="3003" max="3003" width="5.3984375" style="256" customWidth="1"/>
    <col min="3004" max="3004" width="7.73046875" style="256" customWidth="1"/>
    <col min="3005" max="3005" width="5.1328125" style="256" customWidth="1"/>
    <col min="3006" max="3006" width="7.3984375" style="256" customWidth="1"/>
    <col min="3007" max="3007" width="7.1328125" style="256" customWidth="1"/>
    <col min="3008" max="3008" width="4.265625" style="256" customWidth="1"/>
    <col min="3009" max="3009" width="9.1328125" style="256"/>
    <col min="3010" max="3010" width="5.1328125" style="256" customWidth="1"/>
    <col min="3011" max="3011" width="12.265625" style="256" customWidth="1"/>
    <col min="3012" max="3012" width="7.73046875" style="256" customWidth="1"/>
    <col min="3013" max="3014" width="9.1328125" style="256"/>
    <col min="3015" max="3015" width="6.73046875" style="256" customWidth="1"/>
    <col min="3016" max="3016" width="7.59765625" style="256" customWidth="1"/>
    <col min="3017" max="3017" width="6.265625" style="256" customWidth="1"/>
    <col min="3018" max="3018" width="8.1328125" style="256" customWidth="1"/>
    <col min="3019" max="3019" width="7.1328125" style="256" customWidth="1"/>
    <col min="3020" max="3020" width="4.3984375" style="256" customWidth="1"/>
    <col min="3021" max="3021" width="9.1328125" style="256"/>
    <col min="3022" max="3022" width="3.86328125" style="256" customWidth="1"/>
    <col min="3023" max="3023" width="12.265625" style="256" customWidth="1"/>
    <col min="3024" max="3024" width="8.3984375" style="256" customWidth="1"/>
    <col min="3025" max="3026" width="9.1328125" style="256"/>
    <col min="3027" max="3027" width="8.1328125" style="256" customWidth="1"/>
    <col min="3028" max="3028" width="8.3984375" style="256" customWidth="1"/>
    <col min="3029" max="3029" width="7" style="256" customWidth="1"/>
    <col min="3030" max="3030" width="8.3984375" style="256" customWidth="1"/>
    <col min="3031" max="3031" width="9.1328125" style="256"/>
    <col min="3032" max="3032" width="6.1328125" style="256" customWidth="1"/>
    <col min="3033" max="3033" width="9.1328125" style="256"/>
    <col min="3034" max="3034" width="6.73046875" style="256" customWidth="1"/>
    <col min="3035" max="3051" width="9.1328125" style="256"/>
    <col min="3052" max="3052" width="5.59765625" style="256" customWidth="1"/>
    <col min="3053" max="3053" width="5.73046875" style="256" customWidth="1"/>
    <col min="3054" max="3054" width="8.1328125" style="256" customWidth="1"/>
    <col min="3055" max="3056" width="7.59765625" style="256" customWidth="1"/>
    <col min="3057" max="3057" width="6.73046875" style="256" customWidth="1"/>
    <col min="3058" max="3058" width="4" style="256" customWidth="1"/>
    <col min="3059" max="3059" width="7.265625" style="256" customWidth="1"/>
    <col min="3060" max="3060" width="4" style="256" customWidth="1"/>
    <col min="3061" max="3061" width="13" style="256" customWidth="1"/>
    <col min="3062" max="3062" width="8" style="256" customWidth="1"/>
    <col min="3063" max="3063" width="5.59765625" style="256" customWidth="1"/>
    <col min="3064" max="3064" width="5.73046875" style="256" customWidth="1"/>
    <col min="3065" max="3065" width="8.1328125" style="256" customWidth="1"/>
    <col min="3066" max="3067" width="7.59765625" style="256" customWidth="1"/>
    <col min="3068" max="3068" width="6.73046875" style="256" customWidth="1"/>
    <col min="3069" max="3069" width="4" style="256" customWidth="1"/>
    <col min="3070" max="3070" width="7.265625" style="256" customWidth="1"/>
    <col min="3071" max="3071" width="4" style="256" customWidth="1"/>
    <col min="3072" max="3072" width="13" style="256" customWidth="1"/>
    <col min="3073" max="3073" width="7.73046875" style="256" customWidth="1"/>
    <col min="3074" max="3074" width="5.59765625" style="256" customWidth="1"/>
    <col min="3075" max="3075" width="5.73046875" style="256" customWidth="1"/>
    <col min="3076" max="3076" width="8.1328125" style="256" customWidth="1"/>
    <col min="3077" max="3078" width="7.59765625" style="256" customWidth="1"/>
    <col min="3079" max="3079" width="6.73046875" style="256" customWidth="1"/>
    <col min="3080" max="3080" width="4" style="256" customWidth="1"/>
    <col min="3081" max="3081" width="7.265625" style="256" customWidth="1"/>
    <col min="3082" max="3082" width="4" style="256" customWidth="1"/>
    <col min="3083" max="3083" width="13" style="256" customWidth="1"/>
    <col min="3084" max="3084" width="7.73046875" style="256" customWidth="1"/>
    <col min="3085" max="3085" width="5.59765625" style="256" customWidth="1"/>
    <col min="3086" max="3086" width="5.73046875" style="256" customWidth="1"/>
    <col min="3087" max="3087" width="8.1328125" style="256" customWidth="1"/>
    <col min="3088" max="3089" width="7.59765625" style="256" customWidth="1"/>
    <col min="3090" max="3090" width="6.73046875" style="256" customWidth="1"/>
    <col min="3091" max="3091" width="4" style="256" customWidth="1"/>
    <col min="3092" max="3092" width="7.265625" style="256" customWidth="1"/>
    <col min="3093" max="3093" width="4" style="256" customWidth="1"/>
    <col min="3094" max="3094" width="13" style="256" customWidth="1"/>
    <col min="3095" max="3095" width="7.73046875" style="256" customWidth="1"/>
    <col min="3096" max="3096" width="5.59765625" style="256" customWidth="1"/>
    <col min="3097" max="3097" width="5.73046875" style="256" customWidth="1"/>
    <col min="3098" max="3098" width="8.1328125" style="256" customWidth="1"/>
    <col min="3099" max="3100" width="7.59765625" style="256" customWidth="1"/>
    <col min="3101" max="3101" width="6.73046875" style="256" customWidth="1"/>
    <col min="3102" max="3102" width="4" style="256" customWidth="1"/>
    <col min="3103" max="3103" width="7.265625" style="256" customWidth="1"/>
    <col min="3104" max="3104" width="4" style="256" customWidth="1"/>
    <col min="3105" max="3105" width="13" style="256" customWidth="1"/>
    <col min="3106" max="3106" width="7.73046875" style="256" customWidth="1"/>
    <col min="3107" max="3107" width="5.59765625" style="256" customWidth="1"/>
    <col min="3108" max="3108" width="5.73046875" style="256" customWidth="1"/>
    <col min="3109" max="3109" width="8.1328125" style="256" customWidth="1"/>
    <col min="3110" max="3111" width="7.59765625" style="256" customWidth="1"/>
    <col min="3112" max="3112" width="6.73046875" style="256" customWidth="1"/>
    <col min="3113" max="3113" width="4" style="256" customWidth="1"/>
    <col min="3114" max="3114" width="7.265625" style="256" customWidth="1"/>
    <col min="3115" max="3115" width="4" style="256" customWidth="1"/>
    <col min="3116" max="3116" width="13" style="256" customWidth="1"/>
    <col min="3117" max="3117" width="7.73046875" style="256" customWidth="1"/>
    <col min="3118" max="3118" width="5.59765625" style="256" customWidth="1"/>
    <col min="3119" max="3119" width="5.73046875" style="256" customWidth="1"/>
    <col min="3120" max="3120" width="8.1328125" style="256" customWidth="1"/>
    <col min="3121" max="3122" width="7.59765625" style="256" customWidth="1"/>
    <col min="3123" max="3123" width="6.73046875" style="256" customWidth="1"/>
    <col min="3124" max="3124" width="4" style="256" customWidth="1"/>
    <col min="3125" max="3125" width="7.265625" style="256" customWidth="1"/>
    <col min="3126" max="3126" width="4" style="256" customWidth="1"/>
    <col min="3127" max="3127" width="13" style="256" customWidth="1"/>
    <col min="3128" max="3128" width="7.73046875" style="256" customWidth="1"/>
    <col min="3129" max="3129" width="5.59765625" style="256" customWidth="1"/>
    <col min="3130" max="3130" width="5.73046875" style="256" customWidth="1"/>
    <col min="3131" max="3131" width="8.1328125" style="256" customWidth="1"/>
    <col min="3132" max="3133" width="7.59765625" style="256" customWidth="1"/>
    <col min="3134" max="3134" width="6.73046875" style="256" customWidth="1"/>
    <col min="3135" max="3135" width="4" style="256" customWidth="1"/>
    <col min="3136" max="3136" width="7.265625" style="256" customWidth="1"/>
    <col min="3137" max="3137" width="4.3984375" style="256" customWidth="1"/>
    <col min="3138" max="3138" width="13" style="256" customWidth="1"/>
    <col min="3139" max="3139" width="7.73046875" style="256" customWidth="1"/>
    <col min="3140" max="3140" width="5.59765625" style="256" customWidth="1"/>
    <col min="3141" max="3141" width="5.73046875" style="256" customWidth="1"/>
    <col min="3142" max="3142" width="8.1328125" style="256" customWidth="1"/>
    <col min="3143" max="3144" width="7.59765625" style="256" customWidth="1"/>
    <col min="3145" max="3145" width="6.73046875" style="256" customWidth="1"/>
    <col min="3146" max="3146" width="4" style="256" customWidth="1"/>
    <col min="3147" max="3147" width="7.265625" style="256" customWidth="1"/>
    <col min="3148" max="3148" width="4" style="256" customWidth="1"/>
    <col min="3149" max="3149" width="13" style="256" customWidth="1"/>
    <col min="3150" max="3150" width="7.73046875" style="256" customWidth="1"/>
    <col min="3151" max="3151" width="5.59765625" style="256" customWidth="1"/>
    <col min="3152" max="3152" width="5.73046875" style="256" customWidth="1"/>
    <col min="3153" max="3153" width="8.1328125" style="256" customWidth="1"/>
    <col min="3154" max="3155" width="7.59765625" style="256" customWidth="1"/>
    <col min="3156" max="3156" width="6.73046875" style="256" customWidth="1"/>
    <col min="3157" max="3157" width="4" style="256" customWidth="1"/>
    <col min="3158" max="3158" width="7.265625" style="256" customWidth="1"/>
    <col min="3159" max="3159" width="4" style="256" customWidth="1"/>
    <col min="3160" max="3160" width="13" style="256" customWidth="1"/>
    <col min="3161" max="3161" width="7.73046875" style="256" customWidth="1"/>
    <col min="3162" max="3162" width="5.59765625" style="256" customWidth="1"/>
    <col min="3163" max="3163" width="5.73046875" style="256" customWidth="1"/>
    <col min="3164" max="3164" width="8.1328125" style="256" customWidth="1"/>
    <col min="3165" max="3166" width="7.59765625" style="256" customWidth="1"/>
    <col min="3167" max="3167" width="6.73046875" style="256" customWidth="1"/>
    <col min="3168" max="3168" width="4" style="256" customWidth="1"/>
    <col min="3169" max="3169" width="7.265625" style="256" customWidth="1"/>
    <col min="3170" max="3170" width="4" style="256" customWidth="1"/>
    <col min="3171" max="3171" width="13" style="256" customWidth="1"/>
    <col min="3172" max="3172" width="7.73046875" style="256" customWidth="1"/>
    <col min="3173" max="3173" width="5.59765625" style="256" customWidth="1"/>
    <col min="3174" max="3174" width="5.73046875" style="256" customWidth="1"/>
    <col min="3175" max="3175" width="8.1328125" style="256" customWidth="1"/>
    <col min="3176" max="3177" width="7.59765625" style="256" customWidth="1"/>
    <col min="3178" max="3178" width="6.73046875" style="256" customWidth="1"/>
    <col min="3179" max="3179" width="4" style="256" customWidth="1"/>
    <col min="3180" max="3180" width="7.265625" style="256" customWidth="1"/>
    <col min="3181" max="3181" width="4" style="256" customWidth="1"/>
    <col min="3182" max="3182" width="13" style="256" customWidth="1"/>
    <col min="3183" max="3183" width="7.73046875" style="256" customWidth="1"/>
    <col min="3184" max="3184" width="5.59765625" style="256" customWidth="1"/>
    <col min="3185" max="3185" width="5.73046875" style="256" customWidth="1"/>
    <col min="3186" max="3186" width="8.1328125" style="256" customWidth="1"/>
    <col min="3187" max="3188" width="7.59765625" style="256" customWidth="1"/>
    <col min="3189" max="3189" width="6.73046875" style="256" customWidth="1"/>
    <col min="3190" max="3190" width="4" style="256" customWidth="1"/>
    <col min="3191" max="3191" width="7.265625" style="256" customWidth="1"/>
    <col min="3192" max="3192" width="4" style="256" customWidth="1"/>
    <col min="3193" max="3193" width="13" style="256" customWidth="1"/>
    <col min="3194" max="3194" width="7.73046875" style="256" customWidth="1"/>
    <col min="3195" max="3195" width="5.59765625" style="256" customWidth="1"/>
    <col min="3196" max="3196" width="5.73046875" style="256" customWidth="1"/>
    <col min="3197" max="3197" width="8.1328125" style="256" customWidth="1"/>
    <col min="3198" max="3199" width="7.59765625" style="256" customWidth="1"/>
    <col min="3200" max="3200" width="6.73046875" style="256" customWidth="1"/>
    <col min="3201" max="3201" width="4" style="256" customWidth="1"/>
    <col min="3202" max="3202" width="7.265625" style="256" customWidth="1"/>
    <col min="3203" max="3203" width="4" style="256" customWidth="1"/>
    <col min="3204" max="3204" width="13" style="256" customWidth="1"/>
    <col min="3205" max="3205" width="7.73046875" style="256" customWidth="1"/>
    <col min="3206" max="3206" width="5.59765625" style="256" customWidth="1"/>
    <col min="3207" max="3207" width="5.73046875" style="256" customWidth="1"/>
    <col min="3208" max="3208" width="8.1328125" style="256" customWidth="1"/>
    <col min="3209" max="3210" width="7.59765625" style="256" customWidth="1"/>
    <col min="3211" max="3211" width="6.73046875" style="256" customWidth="1"/>
    <col min="3212" max="3212" width="4" style="256" customWidth="1"/>
    <col min="3213" max="3213" width="7.265625" style="256" customWidth="1"/>
    <col min="3214" max="3214" width="4" style="256" customWidth="1"/>
    <col min="3215" max="3215" width="13" style="256" customWidth="1"/>
    <col min="3216" max="3216" width="7.73046875" style="256" customWidth="1"/>
    <col min="3217" max="3217" width="5.59765625" style="256" customWidth="1"/>
    <col min="3218" max="3219" width="9.1328125" style="256"/>
    <col min="3220" max="3220" width="6.59765625" style="256" customWidth="1"/>
    <col min="3221" max="3221" width="8.73046875" style="256" customWidth="1"/>
    <col min="3222" max="3222" width="7.3984375" style="256" customWidth="1"/>
    <col min="3223" max="3223" width="7.265625" style="256" customWidth="1"/>
    <col min="3224" max="3224" width="7.73046875" style="256" customWidth="1"/>
    <col min="3225" max="3225" width="4.3984375" style="256" customWidth="1"/>
    <col min="3226" max="3226" width="9.1328125" style="256"/>
    <col min="3227" max="3227" width="6" style="256" customWidth="1"/>
    <col min="3228" max="3228" width="12.265625" style="256" customWidth="1"/>
    <col min="3229" max="3229" width="8" style="256" customWidth="1"/>
    <col min="3230" max="3232" width="9.1328125" style="256"/>
    <col min="3233" max="3233" width="7.73046875" style="256" customWidth="1"/>
    <col min="3234" max="3234" width="8.265625" style="256" customWidth="1"/>
    <col min="3235" max="3235" width="7.1328125" style="256" customWidth="1"/>
    <col min="3236" max="3236" width="7.59765625" style="256" customWidth="1"/>
    <col min="3237" max="3237" width="7.3984375" style="256" customWidth="1"/>
    <col min="3238" max="3238" width="4.86328125" style="256" customWidth="1"/>
    <col min="3239" max="3239" width="9.1328125" style="256"/>
    <col min="3240" max="3240" width="5" style="256" customWidth="1"/>
    <col min="3241" max="3241" width="12.265625" style="256" customWidth="1"/>
    <col min="3242" max="3242" width="7.86328125" style="256" customWidth="1"/>
    <col min="3243" max="3245" width="9.1328125" style="256"/>
    <col min="3246" max="3246" width="7.265625" style="256" customWidth="1"/>
    <col min="3247" max="3247" width="8.1328125" style="256" customWidth="1"/>
    <col min="3248" max="3248" width="6.86328125" style="256" customWidth="1"/>
    <col min="3249" max="3249" width="8" style="256" customWidth="1"/>
    <col min="3250" max="3250" width="7.3984375" style="256" customWidth="1"/>
    <col min="3251" max="3251" width="4.59765625" style="256" customWidth="1"/>
    <col min="3252" max="3252" width="9.1328125" style="256"/>
    <col min="3253" max="3253" width="4.1328125" style="256" customWidth="1"/>
    <col min="3254" max="3254" width="12" style="256" customWidth="1"/>
    <col min="3255" max="3255" width="8.1328125" style="256" customWidth="1"/>
    <col min="3256" max="3258" width="9.1328125" style="256"/>
    <col min="3259" max="3259" width="5.3984375" style="256" customWidth="1"/>
    <col min="3260" max="3260" width="7.73046875" style="256" customWidth="1"/>
    <col min="3261" max="3261" width="5.1328125" style="256" customWidth="1"/>
    <col min="3262" max="3262" width="7.3984375" style="256" customWidth="1"/>
    <col min="3263" max="3263" width="7.1328125" style="256" customWidth="1"/>
    <col min="3264" max="3264" width="4.265625" style="256" customWidth="1"/>
    <col min="3265" max="3265" width="9.1328125" style="256"/>
    <col min="3266" max="3266" width="5.1328125" style="256" customWidth="1"/>
    <col min="3267" max="3267" width="12.265625" style="256" customWidth="1"/>
    <col min="3268" max="3268" width="7.73046875" style="256" customWidth="1"/>
    <col min="3269" max="3270" width="9.1328125" style="256"/>
    <col min="3271" max="3271" width="6.73046875" style="256" customWidth="1"/>
    <col min="3272" max="3272" width="7.59765625" style="256" customWidth="1"/>
    <col min="3273" max="3273" width="6.265625" style="256" customWidth="1"/>
    <col min="3274" max="3274" width="8.1328125" style="256" customWidth="1"/>
    <col min="3275" max="3275" width="7.1328125" style="256" customWidth="1"/>
    <col min="3276" max="3276" width="4.3984375" style="256" customWidth="1"/>
    <col min="3277" max="3277" width="9.1328125" style="256"/>
    <col min="3278" max="3278" width="3.86328125" style="256" customWidth="1"/>
    <col min="3279" max="3279" width="12.265625" style="256" customWidth="1"/>
    <col min="3280" max="3280" width="8.3984375" style="256" customWidth="1"/>
    <col min="3281" max="3282" width="9.1328125" style="256"/>
    <col min="3283" max="3283" width="8.1328125" style="256" customWidth="1"/>
    <col min="3284" max="3284" width="8.3984375" style="256" customWidth="1"/>
    <col min="3285" max="3285" width="7" style="256" customWidth="1"/>
    <col min="3286" max="3286" width="8.3984375" style="256" customWidth="1"/>
    <col min="3287" max="3287" width="9.1328125" style="256"/>
    <col min="3288" max="3288" width="6.1328125" style="256" customWidth="1"/>
    <col min="3289" max="3289" width="9.1328125" style="256"/>
    <col min="3290" max="3290" width="6.73046875" style="256" customWidth="1"/>
    <col min="3291" max="3307" width="9.1328125" style="256"/>
    <col min="3308" max="3308" width="5.59765625" style="256" customWidth="1"/>
    <col min="3309" max="3309" width="5.73046875" style="256" customWidth="1"/>
    <col min="3310" max="3310" width="8.1328125" style="256" customWidth="1"/>
    <col min="3311" max="3312" width="7.59765625" style="256" customWidth="1"/>
    <col min="3313" max="3313" width="6.73046875" style="256" customWidth="1"/>
    <col min="3314" max="3314" width="4" style="256" customWidth="1"/>
    <col min="3315" max="3315" width="7.265625" style="256" customWidth="1"/>
    <col min="3316" max="3316" width="4" style="256" customWidth="1"/>
    <col min="3317" max="3317" width="13" style="256" customWidth="1"/>
    <col min="3318" max="3318" width="8" style="256" customWidth="1"/>
    <col min="3319" max="3319" width="5.59765625" style="256" customWidth="1"/>
    <col min="3320" max="3320" width="5.73046875" style="256" customWidth="1"/>
    <col min="3321" max="3321" width="8.1328125" style="256" customWidth="1"/>
    <col min="3322" max="3323" width="7.59765625" style="256" customWidth="1"/>
    <col min="3324" max="3324" width="6.73046875" style="256" customWidth="1"/>
    <col min="3325" max="3325" width="4" style="256" customWidth="1"/>
    <col min="3326" max="3326" width="7.265625" style="256" customWidth="1"/>
    <col min="3327" max="3327" width="4" style="256" customWidth="1"/>
    <col min="3328" max="3328" width="13" style="256" customWidth="1"/>
    <col min="3329" max="3329" width="7.73046875" style="256" customWidth="1"/>
    <col min="3330" max="3330" width="5.59765625" style="256" customWidth="1"/>
    <col min="3331" max="3331" width="5.73046875" style="256" customWidth="1"/>
    <col min="3332" max="3332" width="8.1328125" style="256" customWidth="1"/>
    <col min="3333" max="3334" width="7.59765625" style="256" customWidth="1"/>
    <col min="3335" max="3335" width="6.73046875" style="256" customWidth="1"/>
    <col min="3336" max="3336" width="4" style="256" customWidth="1"/>
    <col min="3337" max="3337" width="7.265625" style="256" customWidth="1"/>
    <col min="3338" max="3338" width="4" style="256" customWidth="1"/>
    <col min="3339" max="3339" width="13" style="256" customWidth="1"/>
    <col min="3340" max="3340" width="7.73046875" style="256" customWidth="1"/>
    <col min="3341" max="3341" width="5.59765625" style="256" customWidth="1"/>
    <col min="3342" max="3342" width="5.73046875" style="256" customWidth="1"/>
    <col min="3343" max="3343" width="8.1328125" style="256" customWidth="1"/>
    <col min="3344" max="3345" width="7.59765625" style="256" customWidth="1"/>
    <col min="3346" max="3346" width="6.73046875" style="256" customWidth="1"/>
    <col min="3347" max="3347" width="4" style="256" customWidth="1"/>
    <col min="3348" max="3348" width="7.265625" style="256" customWidth="1"/>
    <col min="3349" max="3349" width="4" style="256" customWidth="1"/>
    <col min="3350" max="3350" width="13" style="256" customWidth="1"/>
    <col min="3351" max="3351" width="7.73046875" style="256" customWidth="1"/>
    <col min="3352" max="3352" width="5.59765625" style="256" customWidth="1"/>
    <col min="3353" max="3353" width="5.73046875" style="256" customWidth="1"/>
    <col min="3354" max="3354" width="8.1328125" style="256" customWidth="1"/>
    <col min="3355" max="3356" width="7.59765625" style="256" customWidth="1"/>
    <col min="3357" max="3357" width="6.73046875" style="256" customWidth="1"/>
    <col min="3358" max="3358" width="4" style="256" customWidth="1"/>
    <col min="3359" max="3359" width="7.265625" style="256" customWidth="1"/>
    <col min="3360" max="3360" width="4" style="256" customWidth="1"/>
    <col min="3361" max="3361" width="13" style="256" customWidth="1"/>
    <col min="3362" max="3362" width="7.73046875" style="256" customWidth="1"/>
    <col min="3363" max="3363" width="5.59765625" style="256" customWidth="1"/>
    <col min="3364" max="3364" width="5.73046875" style="256" customWidth="1"/>
    <col min="3365" max="3365" width="8.1328125" style="256" customWidth="1"/>
    <col min="3366" max="3367" width="7.59765625" style="256" customWidth="1"/>
    <col min="3368" max="3368" width="6.73046875" style="256" customWidth="1"/>
    <col min="3369" max="3369" width="4" style="256" customWidth="1"/>
    <col min="3370" max="3370" width="7.265625" style="256" customWidth="1"/>
    <col min="3371" max="3371" width="4" style="256" customWidth="1"/>
    <col min="3372" max="3372" width="13" style="256" customWidth="1"/>
    <col min="3373" max="3373" width="7.73046875" style="256" customWidth="1"/>
    <col min="3374" max="3374" width="5.59765625" style="256" customWidth="1"/>
    <col min="3375" max="3375" width="5.73046875" style="256" customWidth="1"/>
    <col min="3376" max="3376" width="8.1328125" style="256" customWidth="1"/>
    <col min="3377" max="3378" width="7.59765625" style="256" customWidth="1"/>
    <col min="3379" max="3379" width="6.73046875" style="256" customWidth="1"/>
    <col min="3380" max="3380" width="4" style="256" customWidth="1"/>
    <col min="3381" max="3381" width="7.265625" style="256" customWidth="1"/>
    <col min="3382" max="3382" width="4" style="256" customWidth="1"/>
    <col min="3383" max="3383" width="13" style="256" customWidth="1"/>
    <col min="3384" max="3384" width="7.73046875" style="256" customWidth="1"/>
    <col min="3385" max="3385" width="5.59765625" style="256" customWidth="1"/>
    <col min="3386" max="3386" width="5.73046875" style="256" customWidth="1"/>
    <col min="3387" max="3387" width="8.1328125" style="256" customWidth="1"/>
    <col min="3388" max="3389" width="7.59765625" style="256" customWidth="1"/>
    <col min="3390" max="3390" width="6.73046875" style="256" customWidth="1"/>
    <col min="3391" max="3391" width="4" style="256" customWidth="1"/>
    <col min="3392" max="3392" width="7.265625" style="256" customWidth="1"/>
    <col min="3393" max="3393" width="4.3984375" style="256" customWidth="1"/>
    <col min="3394" max="3394" width="13" style="256" customWidth="1"/>
    <col min="3395" max="3395" width="7.73046875" style="256" customWidth="1"/>
    <col min="3396" max="3396" width="5.59765625" style="256" customWidth="1"/>
    <col min="3397" max="3397" width="5.73046875" style="256" customWidth="1"/>
    <col min="3398" max="3398" width="8.1328125" style="256" customWidth="1"/>
    <col min="3399" max="3400" width="7.59765625" style="256" customWidth="1"/>
    <col min="3401" max="3401" width="6.73046875" style="256" customWidth="1"/>
    <col min="3402" max="3402" width="4" style="256" customWidth="1"/>
    <col min="3403" max="3403" width="7.265625" style="256" customWidth="1"/>
    <col min="3404" max="3404" width="4" style="256" customWidth="1"/>
    <col min="3405" max="3405" width="13" style="256" customWidth="1"/>
    <col min="3406" max="3406" width="7.73046875" style="256" customWidth="1"/>
    <col min="3407" max="3407" width="5.59765625" style="256" customWidth="1"/>
    <col min="3408" max="3408" width="5.73046875" style="256" customWidth="1"/>
    <col min="3409" max="3409" width="8.1328125" style="256" customWidth="1"/>
    <col min="3410" max="3411" width="7.59765625" style="256" customWidth="1"/>
    <col min="3412" max="3412" width="6.73046875" style="256" customWidth="1"/>
    <col min="3413" max="3413" width="4" style="256" customWidth="1"/>
    <col min="3414" max="3414" width="7.265625" style="256" customWidth="1"/>
    <col min="3415" max="3415" width="4" style="256" customWidth="1"/>
    <col min="3416" max="3416" width="13" style="256" customWidth="1"/>
    <col min="3417" max="3417" width="7.73046875" style="256" customWidth="1"/>
    <col min="3418" max="3418" width="5.59765625" style="256" customWidth="1"/>
    <col min="3419" max="3419" width="5.73046875" style="256" customWidth="1"/>
    <col min="3420" max="3420" width="8.1328125" style="256" customWidth="1"/>
    <col min="3421" max="3422" width="7.59765625" style="256" customWidth="1"/>
    <col min="3423" max="3423" width="6.73046875" style="256" customWidth="1"/>
    <col min="3424" max="3424" width="4" style="256" customWidth="1"/>
    <col min="3425" max="3425" width="7.265625" style="256" customWidth="1"/>
    <col min="3426" max="3426" width="4" style="256" customWidth="1"/>
    <col min="3427" max="3427" width="13" style="256" customWidth="1"/>
    <col min="3428" max="3428" width="7.73046875" style="256" customWidth="1"/>
    <col min="3429" max="3429" width="5.59765625" style="256" customWidth="1"/>
    <col min="3430" max="3430" width="5.73046875" style="256" customWidth="1"/>
    <col min="3431" max="3431" width="8.1328125" style="256" customWidth="1"/>
    <col min="3432" max="3433" width="7.59765625" style="256" customWidth="1"/>
    <col min="3434" max="3434" width="6.73046875" style="256" customWidth="1"/>
    <col min="3435" max="3435" width="4" style="256" customWidth="1"/>
    <col min="3436" max="3436" width="7.265625" style="256" customWidth="1"/>
    <col min="3437" max="3437" width="4" style="256" customWidth="1"/>
    <col min="3438" max="3438" width="13" style="256" customWidth="1"/>
    <col min="3439" max="3439" width="7.73046875" style="256" customWidth="1"/>
    <col min="3440" max="3440" width="5.59765625" style="256" customWidth="1"/>
    <col min="3441" max="3441" width="5.73046875" style="256" customWidth="1"/>
    <col min="3442" max="3442" width="8.1328125" style="256" customWidth="1"/>
    <col min="3443" max="3444" width="7.59765625" style="256" customWidth="1"/>
    <col min="3445" max="3445" width="6.73046875" style="256" customWidth="1"/>
    <col min="3446" max="3446" width="4" style="256" customWidth="1"/>
    <col min="3447" max="3447" width="7.265625" style="256" customWidth="1"/>
    <col min="3448" max="3448" width="4" style="256" customWidth="1"/>
    <col min="3449" max="3449" width="13" style="256" customWidth="1"/>
    <col min="3450" max="3450" width="7.73046875" style="256" customWidth="1"/>
    <col min="3451" max="3451" width="5.59765625" style="256" customWidth="1"/>
    <col min="3452" max="3452" width="5.73046875" style="256" customWidth="1"/>
    <col min="3453" max="3453" width="8.1328125" style="256" customWidth="1"/>
    <col min="3454" max="3455" width="7.59765625" style="256" customWidth="1"/>
    <col min="3456" max="3456" width="6.73046875" style="256" customWidth="1"/>
    <col min="3457" max="3457" width="4" style="256" customWidth="1"/>
    <col min="3458" max="3458" width="7.265625" style="256" customWidth="1"/>
    <col min="3459" max="3459" width="4" style="256" customWidth="1"/>
    <col min="3460" max="3460" width="13" style="256" customWidth="1"/>
    <col min="3461" max="3461" width="7.73046875" style="256" customWidth="1"/>
    <col min="3462" max="3462" width="5.59765625" style="256" customWidth="1"/>
    <col min="3463" max="3463" width="5.73046875" style="256" customWidth="1"/>
    <col min="3464" max="3464" width="8.1328125" style="256" customWidth="1"/>
    <col min="3465" max="3466" width="7.59765625" style="256" customWidth="1"/>
    <col min="3467" max="3467" width="6.73046875" style="256" customWidth="1"/>
    <col min="3468" max="3468" width="4" style="256" customWidth="1"/>
    <col min="3469" max="3469" width="7.265625" style="256" customWidth="1"/>
    <col min="3470" max="3470" width="4" style="256" customWidth="1"/>
    <col min="3471" max="3471" width="13" style="256" customWidth="1"/>
    <col min="3472" max="3472" width="7.73046875" style="256" customWidth="1"/>
    <col min="3473" max="3473" width="5.59765625" style="256" customWidth="1"/>
    <col min="3474" max="3475" width="9.1328125" style="256"/>
    <col min="3476" max="3476" width="6.59765625" style="256" customWidth="1"/>
    <col min="3477" max="3477" width="8.73046875" style="256" customWidth="1"/>
    <col min="3478" max="3478" width="7.3984375" style="256" customWidth="1"/>
    <col min="3479" max="3479" width="7.265625" style="256" customWidth="1"/>
    <col min="3480" max="3480" width="7.73046875" style="256" customWidth="1"/>
    <col min="3481" max="3481" width="4.3984375" style="256" customWidth="1"/>
    <col min="3482" max="3482" width="9.1328125" style="256"/>
    <col min="3483" max="3483" width="6" style="256" customWidth="1"/>
    <col min="3484" max="3484" width="12.265625" style="256" customWidth="1"/>
    <col min="3485" max="3485" width="8" style="256" customWidth="1"/>
    <col min="3486" max="3488" width="9.1328125" style="256"/>
    <col min="3489" max="3489" width="7.73046875" style="256" customWidth="1"/>
    <col min="3490" max="3490" width="8.265625" style="256" customWidth="1"/>
    <col min="3491" max="3491" width="7.1328125" style="256" customWidth="1"/>
    <col min="3492" max="3492" width="7.59765625" style="256" customWidth="1"/>
    <col min="3493" max="3493" width="7.3984375" style="256" customWidth="1"/>
    <col min="3494" max="3494" width="4.86328125" style="256" customWidth="1"/>
    <col min="3495" max="3495" width="9.1328125" style="256"/>
    <col min="3496" max="3496" width="5" style="256" customWidth="1"/>
    <col min="3497" max="3497" width="12.265625" style="256" customWidth="1"/>
    <col min="3498" max="3498" width="7.86328125" style="256" customWidth="1"/>
    <col min="3499" max="3501" width="9.1328125" style="256"/>
    <col min="3502" max="3502" width="7.265625" style="256" customWidth="1"/>
    <col min="3503" max="3503" width="8.1328125" style="256" customWidth="1"/>
    <col min="3504" max="3504" width="6.86328125" style="256" customWidth="1"/>
    <col min="3505" max="3505" width="8" style="256" customWidth="1"/>
    <col min="3506" max="3506" width="7.3984375" style="256" customWidth="1"/>
    <col min="3507" max="3507" width="4.59765625" style="256" customWidth="1"/>
    <col min="3508" max="3508" width="9.1328125" style="256"/>
    <col min="3509" max="3509" width="4.1328125" style="256" customWidth="1"/>
    <col min="3510" max="3510" width="12" style="256" customWidth="1"/>
    <col min="3511" max="3511" width="8.1328125" style="256" customWidth="1"/>
    <col min="3512" max="3514" width="9.1328125" style="256"/>
    <col min="3515" max="3515" width="5.3984375" style="256" customWidth="1"/>
    <col min="3516" max="3516" width="7.73046875" style="256" customWidth="1"/>
    <col min="3517" max="3517" width="5.1328125" style="256" customWidth="1"/>
    <col min="3518" max="3518" width="7.3984375" style="256" customWidth="1"/>
    <col min="3519" max="3519" width="7.1328125" style="256" customWidth="1"/>
    <col min="3520" max="3520" width="4.265625" style="256" customWidth="1"/>
    <col min="3521" max="3521" width="9.1328125" style="256"/>
    <col min="3522" max="3522" width="5.1328125" style="256" customWidth="1"/>
    <col min="3523" max="3523" width="12.265625" style="256" customWidth="1"/>
    <col min="3524" max="3524" width="7.73046875" style="256" customWidth="1"/>
    <col min="3525" max="3526" width="9.1328125" style="256"/>
    <col min="3527" max="3527" width="6.73046875" style="256" customWidth="1"/>
    <col min="3528" max="3528" width="7.59765625" style="256" customWidth="1"/>
    <col min="3529" max="3529" width="6.265625" style="256" customWidth="1"/>
    <col min="3530" max="3530" width="8.1328125" style="256" customWidth="1"/>
    <col min="3531" max="3531" width="7.1328125" style="256" customWidth="1"/>
    <col min="3532" max="3532" width="4.3984375" style="256" customWidth="1"/>
    <col min="3533" max="3533" width="9.1328125" style="256"/>
    <col min="3534" max="3534" width="3.86328125" style="256" customWidth="1"/>
    <col min="3535" max="3535" width="12.265625" style="256" customWidth="1"/>
    <col min="3536" max="3536" width="8.3984375" style="256" customWidth="1"/>
    <col min="3537" max="3538" width="9.1328125" style="256"/>
    <col min="3539" max="3539" width="8.1328125" style="256" customWidth="1"/>
    <col min="3540" max="3540" width="8.3984375" style="256" customWidth="1"/>
    <col min="3541" max="3541" width="7" style="256" customWidth="1"/>
    <col min="3542" max="3542" width="8.3984375" style="256" customWidth="1"/>
    <col min="3543" max="3543" width="9.1328125" style="256"/>
    <col min="3544" max="3544" width="6.1328125" style="256" customWidth="1"/>
    <col min="3545" max="3545" width="9.1328125" style="256"/>
    <col min="3546" max="3546" width="6.73046875" style="256" customWidth="1"/>
    <col min="3547" max="3563" width="9.1328125" style="256"/>
    <col min="3564" max="3564" width="5.59765625" style="256" customWidth="1"/>
    <col min="3565" max="3565" width="5.73046875" style="256" customWidth="1"/>
    <col min="3566" max="3566" width="8.1328125" style="256" customWidth="1"/>
    <col min="3567" max="3568" width="7.59765625" style="256" customWidth="1"/>
    <col min="3569" max="3569" width="6.73046875" style="256" customWidth="1"/>
    <col min="3570" max="3570" width="4" style="256" customWidth="1"/>
    <col min="3571" max="3571" width="7.265625" style="256" customWidth="1"/>
    <col min="3572" max="3572" width="4" style="256" customWidth="1"/>
    <col min="3573" max="3573" width="13" style="256" customWidth="1"/>
    <col min="3574" max="3574" width="8" style="256" customWidth="1"/>
    <col min="3575" max="3575" width="5.59765625" style="256" customWidth="1"/>
    <col min="3576" max="3576" width="5.73046875" style="256" customWidth="1"/>
    <col min="3577" max="3577" width="8.1328125" style="256" customWidth="1"/>
    <col min="3578" max="3579" width="7.59765625" style="256" customWidth="1"/>
    <col min="3580" max="3580" width="6.73046875" style="256" customWidth="1"/>
    <col min="3581" max="3581" width="4" style="256" customWidth="1"/>
    <col min="3582" max="3582" width="7.265625" style="256" customWidth="1"/>
    <col min="3583" max="3583" width="4" style="256" customWidth="1"/>
    <col min="3584" max="3584" width="13" style="256" customWidth="1"/>
    <col min="3585" max="3585" width="7.73046875" style="256" customWidth="1"/>
    <col min="3586" max="3586" width="5.59765625" style="256" customWidth="1"/>
    <col min="3587" max="3587" width="5.73046875" style="256" customWidth="1"/>
    <col min="3588" max="3588" width="8.1328125" style="256" customWidth="1"/>
    <col min="3589" max="3590" width="7.59765625" style="256" customWidth="1"/>
    <col min="3591" max="3591" width="6.73046875" style="256" customWidth="1"/>
    <col min="3592" max="3592" width="4" style="256" customWidth="1"/>
    <col min="3593" max="3593" width="7.265625" style="256" customWidth="1"/>
    <col min="3594" max="3594" width="4" style="256" customWidth="1"/>
    <col min="3595" max="3595" width="13" style="256" customWidth="1"/>
    <col min="3596" max="3596" width="7.73046875" style="256" customWidth="1"/>
    <col min="3597" max="3597" width="5.59765625" style="256" customWidth="1"/>
    <col min="3598" max="3598" width="5.73046875" style="256" customWidth="1"/>
    <col min="3599" max="3599" width="8.1328125" style="256" customWidth="1"/>
    <col min="3600" max="3601" width="7.59765625" style="256" customWidth="1"/>
    <col min="3602" max="3602" width="6.73046875" style="256" customWidth="1"/>
    <col min="3603" max="3603" width="4" style="256" customWidth="1"/>
    <col min="3604" max="3604" width="7.265625" style="256" customWidth="1"/>
    <col min="3605" max="3605" width="4" style="256" customWidth="1"/>
    <col min="3606" max="3606" width="13" style="256" customWidth="1"/>
    <col min="3607" max="3607" width="7.73046875" style="256" customWidth="1"/>
    <col min="3608" max="3608" width="5.59765625" style="256" customWidth="1"/>
    <col min="3609" max="3609" width="5.73046875" style="256" customWidth="1"/>
    <col min="3610" max="3610" width="8.1328125" style="256" customWidth="1"/>
    <col min="3611" max="3612" width="7.59765625" style="256" customWidth="1"/>
    <col min="3613" max="3613" width="6.73046875" style="256" customWidth="1"/>
    <col min="3614" max="3614" width="4" style="256" customWidth="1"/>
    <col min="3615" max="3615" width="7.265625" style="256" customWidth="1"/>
    <col min="3616" max="3616" width="4" style="256" customWidth="1"/>
    <col min="3617" max="3617" width="13" style="256" customWidth="1"/>
    <col min="3618" max="3618" width="7.73046875" style="256" customWidth="1"/>
    <col min="3619" max="3619" width="5.59765625" style="256" customWidth="1"/>
    <col min="3620" max="3620" width="5.73046875" style="256" customWidth="1"/>
    <col min="3621" max="3621" width="8.1328125" style="256" customWidth="1"/>
    <col min="3622" max="3623" width="7.59765625" style="256" customWidth="1"/>
    <col min="3624" max="3624" width="6.73046875" style="256" customWidth="1"/>
    <col min="3625" max="3625" width="4" style="256" customWidth="1"/>
    <col min="3626" max="3626" width="7.265625" style="256" customWidth="1"/>
    <col min="3627" max="3627" width="4" style="256" customWidth="1"/>
    <col min="3628" max="3628" width="13" style="256" customWidth="1"/>
    <col min="3629" max="3629" width="7.73046875" style="256" customWidth="1"/>
    <col min="3630" max="3630" width="5.59765625" style="256" customWidth="1"/>
    <col min="3631" max="3631" width="5.73046875" style="256" customWidth="1"/>
    <col min="3632" max="3632" width="8.1328125" style="256" customWidth="1"/>
    <col min="3633" max="3634" width="7.59765625" style="256" customWidth="1"/>
    <col min="3635" max="3635" width="6.73046875" style="256" customWidth="1"/>
    <col min="3636" max="3636" width="4" style="256" customWidth="1"/>
    <col min="3637" max="3637" width="7.265625" style="256" customWidth="1"/>
    <col min="3638" max="3638" width="4" style="256" customWidth="1"/>
    <col min="3639" max="3639" width="13" style="256" customWidth="1"/>
    <col min="3640" max="3640" width="7.73046875" style="256" customWidth="1"/>
    <col min="3641" max="3641" width="5.59765625" style="256" customWidth="1"/>
    <col min="3642" max="3642" width="5.73046875" style="256" customWidth="1"/>
    <col min="3643" max="3643" width="8.1328125" style="256" customWidth="1"/>
    <col min="3644" max="3645" width="7.59765625" style="256" customWidth="1"/>
    <col min="3646" max="3646" width="6.73046875" style="256" customWidth="1"/>
    <col min="3647" max="3647" width="4" style="256" customWidth="1"/>
    <col min="3648" max="3648" width="7.265625" style="256" customWidth="1"/>
    <col min="3649" max="3649" width="4.3984375" style="256" customWidth="1"/>
    <col min="3650" max="3650" width="13" style="256" customWidth="1"/>
    <col min="3651" max="3651" width="7.73046875" style="256" customWidth="1"/>
    <col min="3652" max="3652" width="5.59765625" style="256" customWidth="1"/>
    <col min="3653" max="3653" width="5.73046875" style="256" customWidth="1"/>
    <col min="3654" max="3654" width="8.1328125" style="256" customWidth="1"/>
    <col min="3655" max="3656" width="7.59765625" style="256" customWidth="1"/>
    <col min="3657" max="3657" width="6.73046875" style="256" customWidth="1"/>
    <col min="3658" max="3658" width="4" style="256" customWidth="1"/>
    <col min="3659" max="3659" width="7.265625" style="256" customWidth="1"/>
    <col min="3660" max="3660" width="4" style="256" customWidth="1"/>
    <col min="3661" max="3661" width="13" style="256" customWidth="1"/>
    <col min="3662" max="3662" width="7.73046875" style="256" customWidth="1"/>
    <col min="3663" max="3663" width="5.59765625" style="256" customWidth="1"/>
    <col min="3664" max="3664" width="5.73046875" style="256" customWidth="1"/>
    <col min="3665" max="3665" width="8.1328125" style="256" customWidth="1"/>
    <col min="3666" max="3667" width="7.59765625" style="256" customWidth="1"/>
    <col min="3668" max="3668" width="6.73046875" style="256" customWidth="1"/>
    <col min="3669" max="3669" width="4" style="256" customWidth="1"/>
    <col min="3670" max="3670" width="7.265625" style="256" customWidth="1"/>
    <col min="3671" max="3671" width="4" style="256" customWidth="1"/>
    <col min="3672" max="3672" width="13" style="256" customWidth="1"/>
    <col min="3673" max="3673" width="7.73046875" style="256" customWidth="1"/>
    <col min="3674" max="3674" width="5.59765625" style="256" customWidth="1"/>
    <col min="3675" max="3675" width="5.73046875" style="256" customWidth="1"/>
    <col min="3676" max="3676" width="8.1328125" style="256" customWidth="1"/>
    <col min="3677" max="3678" width="7.59765625" style="256" customWidth="1"/>
    <col min="3679" max="3679" width="6.73046875" style="256" customWidth="1"/>
    <col min="3680" max="3680" width="4" style="256" customWidth="1"/>
    <col min="3681" max="3681" width="7.265625" style="256" customWidth="1"/>
    <col min="3682" max="3682" width="4" style="256" customWidth="1"/>
    <col min="3683" max="3683" width="13" style="256" customWidth="1"/>
    <col min="3684" max="3684" width="7.73046875" style="256" customWidth="1"/>
    <col min="3685" max="3685" width="5.59765625" style="256" customWidth="1"/>
    <col min="3686" max="3686" width="5.73046875" style="256" customWidth="1"/>
    <col min="3687" max="3687" width="8.1328125" style="256" customWidth="1"/>
    <col min="3688" max="3689" width="7.59765625" style="256" customWidth="1"/>
    <col min="3690" max="3690" width="6.73046875" style="256" customWidth="1"/>
    <col min="3691" max="3691" width="4" style="256" customWidth="1"/>
    <col min="3692" max="3692" width="7.265625" style="256" customWidth="1"/>
    <col min="3693" max="3693" width="4" style="256" customWidth="1"/>
    <col min="3694" max="3694" width="13" style="256" customWidth="1"/>
    <col min="3695" max="3695" width="7.73046875" style="256" customWidth="1"/>
    <col min="3696" max="3696" width="5.59765625" style="256" customWidth="1"/>
    <col min="3697" max="3697" width="5.73046875" style="256" customWidth="1"/>
    <col min="3698" max="3698" width="8.1328125" style="256" customWidth="1"/>
    <col min="3699" max="3700" width="7.59765625" style="256" customWidth="1"/>
    <col min="3701" max="3701" width="6.73046875" style="256" customWidth="1"/>
    <col min="3702" max="3702" width="4" style="256" customWidth="1"/>
    <col min="3703" max="3703" width="7.265625" style="256" customWidth="1"/>
    <col min="3704" max="3704" width="4" style="256" customWidth="1"/>
    <col min="3705" max="3705" width="13" style="256" customWidth="1"/>
    <col min="3706" max="3706" width="7.73046875" style="256" customWidth="1"/>
    <col min="3707" max="3707" width="5.59765625" style="256" customWidth="1"/>
    <col min="3708" max="3708" width="5.73046875" style="256" customWidth="1"/>
    <col min="3709" max="3709" width="8.1328125" style="256" customWidth="1"/>
    <col min="3710" max="3711" width="7.59765625" style="256" customWidth="1"/>
    <col min="3712" max="3712" width="6.73046875" style="256" customWidth="1"/>
    <col min="3713" max="3713" width="4" style="256" customWidth="1"/>
    <col min="3714" max="3714" width="7.265625" style="256" customWidth="1"/>
    <col min="3715" max="3715" width="4" style="256" customWidth="1"/>
    <col min="3716" max="3716" width="13" style="256" customWidth="1"/>
    <col min="3717" max="3717" width="7.73046875" style="256" customWidth="1"/>
    <col min="3718" max="3718" width="5.59765625" style="256" customWidth="1"/>
    <col min="3719" max="3719" width="5.73046875" style="256" customWidth="1"/>
    <col min="3720" max="3720" width="8.1328125" style="256" customWidth="1"/>
    <col min="3721" max="3722" width="7.59765625" style="256" customWidth="1"/>
    <col min="3723" max="3723" width="6.73046875" style="256" customWidth="1"/>
    <col min="3724" max="3724" width="4" style="256" customWidth="1"/>
    <col min="3725" max="3725" width="7.265625" style="256" customWidth="1"/>
    <col min="3726" max="3726" width="4" style="256" customWidth="1"/>
    <col min="3727" max="3727" width="13" style="256" customWidth="1"/>
    <col min="3728" max="3728" width="7.73046875" style="256" customWidth="1"/>
    <col min="3729" max="3729" width="5.59765625" style="256" customWidth="1"/>
    <col min="3730" max="3731" width="9.1328125" style="256"/>
    <col min="3732" max="3732" width="6.59765625" style="256" customWidth="1"/>
    <col min="3733" max="3733" width="8.73046875" style="256" customWidth="1"/>
    <col min="3734" max="3734" width="7.3984375" style="256" customWidth="1"/>
    <col min="3735" max="3735" width="7.265625" style="256" customWidth="1"/>
    <col min="3736" max="3736" width="7.73046875" style="256" customWidth="1"/>
    <col min="3737" max="3737" width="4.3984375" style="256" customWidth="1"/>
    <col min="3738" max="3738" width="9.1328125" style="256"/>
    <col min="3739" max="3739" width="6" style="256" customWidth="1"/>
    <col min="3740" max="3740" width="12.265625" style="256" customWidth="1"/>
    <col min="3741" max="3741" width="8" style="256" customWidth="1"/>
    <col min="3742" max="3744" width="9.1328125" style="256"/>
    <col min="3745" max="3745" width="7.73046875" style="256" customWidth="1"/>
    <col min="3746" max="3746" width="8.265625" style="256" customWidth="1"/>
    <col min="3747" max="3747" width="7.1328125" style="256" customWidth="1"/>
    <col min="3748" max="3748" width="7.59765625" style="256" customWidth="1"/>
    <col min="3749" max="3749" width="7.3984375" style="256" customWidth="1"/>
    <col min="3750" max="3750" width="4.86328125" style="256" customWidth="1"/>
    <col min="3751" max="3751" width="9.1328125" style="256"/>
    <col min="3752" max="3752" width="5" style="256" customWidth="1"/>
    <col min="3753" max="3753" width="12.265625" style="256" customWidth="1"/>
    <col min="3754" max="3754" width="7.86328125" style="256" customWidth="1"/>
    <col min="3755" max="3757" width="9.1328125" style="256"/>
    <col min="3758" max="3758" width="7.265625" style="256" customWidth="1"/>
    <col min="3759" max="3759" width="8.1328125" style="256" customWidth="1"/>
    <col min="3760" max="3760" width="6.86328125" style="256" customWidth="1"/>
    <col min="3761" max="3761" width="8" style="256" customWidth="1"/>
    <col min="3762" max="3762" width="7.3984375" style="256" customWidth="1"/>
    <col min="3763" max="3763" width="4.59765625" style="256" customWidth="1"/>
    <col min="3764" max="3764" width="9.1328125" style="256"/>
    <col min="3765" max="3765" width="4.1328125" style="256" customWidth="1"/>
    <col min="3766" max="3766" width="12" style="256" customWidth="1"/>
    <col min="3767" max="3767" width="8.1328125" style="256" customWidth="1"/>
    <col min="3768" max="3770" width="9.1328125" style="256"/>
    <col min="3771" max="3771" width="5.3984375" style="256" customWidth="1"/>
    <col min="3772" max="3772" width="7.73046875" style="256" customWidth="1"/>
    <col min="3773" max="3773" width="5.1328125" style="256" customWidth="1"/>
    <col min="3774" max="3774" width="7.3984375" style="256" customWidth="1"/>
    <col min="3775" max="3775" width="7.1328125" style="256" customWidth="1"/>
    <col min="3776" max="3776" width="4.265625" style="256" customWidth="1"/>
    <col min="3777" max="3777" width="9.1328125" style="256"/>
    <col min="3778" max="3778" width="5.1328125" style="256" customWidth="1"/>
    <col min="3779" max="3779" width="12.265625" style="256" customWidth="1"/>
    <col min="3780" max="3780" width="7.73046875" style="256" customWidth="1"/>
    <col min="3781" max="3782" width="9.1328125" style="256"/>
    <col min="3783" max="3783" width="6.73046875" style="256" customWidth="1"/>
    <col min="3784" max="3784" width="7.59765625" style="256" customWidth="1"/>
    <col min="3785" max="3785" width="6.265625" style="256" customWidth="1"/>
    <col min="3786" max="3786" width="8.1328125" style="256" customWidth="1"/>
    <col min="3787" max="3787" width="7.1328125" style="256" customWidth="1"/>
    <col min="3788" max="3788" width="4.3984375" style="256" customWidth="1"/>
    <col min="3789" max="3789" width="9.1328125" style="256"/>
    <col min="3790" max="3790" width="3.86328125" style="256" customWidth="1"/>
    <col min="3791" max="3791" width="12.265625" style="256" customWidth="1"/>
    <col min="3792" max="3792" width="8.3984375" style="256" customWidth="1"/>
    <col min="3793" max="3794" width="9.1328125" style="256"/>
    <col min="3795" max="3795" width="8.1328125" style="256" customWidth="1"/>
    <col min="3796" max="3796" width="8.3984375" style="256" customWidth="1"/>
    <col min="3797" max="3797" width="7" style="256" customWidth="1"/>
    <col min="3798" max="3798" width="8.3984375" style="256" customWidth="1"/>
    <col min="3799" max="3799" width="9.1328125" style="256"/>
    <col min="3800" max="3800" width="6.1328125" style="256" customWidth="1"/>
    <col min="3801" max="3801" width="9.1328125" style="256"/>
    <col min="3802" max="3802" width="6.73046875" style="256" customWidth="1"/>
    <col min="3803" max="3819" width="9.1328125" style="256"/>
    <col min="3820" max="3820" width="5.59765625" style="256" customWidth="1"/>
    <col min="3821" max="3821" width="5.73046875" style="256" customWidth="1"/>
    <col min="3822" max="3822" width="8.1328125" style="256" customWidth="1"/>
    <col min="3823" max="3824" width="7.59765625" style="256" customWidth="1"/>
    <col min="3825" max="3825" width="6.73046875" style="256" customWidth="1"/>
    <col min="3826" max="3826" width="4" style="256" customWidth="1"/>
    <col min="3827" max="3827" width="7.265625" style="256" customWidth="1"/>
    <col min="3828" max="3828" width="4" style="256" customWidth="1"/>
    <col min="3829" max="3829" width="13" style="256" customWidth="1"/>
    <col min="3830" max="3830" width="8" style="256" customWidth="1"/>
    <col min="3831" max="3831" width="5.59765625" style="256" customWidth="1"/>
    <col min="3832" max="3832" width="5.73046875" style="256" customWidth="1"/>
    <col min="3833" max="3833" width="8.1328125" style="256" customWidth="1"/>
    <col min="3834" max="3835" width="7.59765625" style="256" customWidth="1"/>
    <col min="3836" max="3836" width="6.73046875" style="256" customWidth="1"/>
    <col min="3837" max="3837" width="4" style="256" customWidth="1"/>
    <col min="3838" max="3838" width="7.265625" style="256" customWidth="1"/>
    <col min="3839" max="3839" width="4" style="256" customWidth="1"/>
    <col min="3840" max="3840" width="13" style="256" customWidth="1"/>
    <col min="3841" max="3841" width="7.73046875" style="256" customWidth="1"/>
    <col min="3842" max="3842" width="5.59765625" style="256" customWidth="1"/>
    <col min="3843" max="3843" width="5.73046875" style="256" customWidth="1"/>
    <col min="3844" max="3844" width="8.1328125" style="256" customWidth="1"/>
    <col min="3845" max="3846" width="7.59765625" style="256" customWidth="1"/>
    <col min="3847" max="3847" width="6.73046875" style="256" customWidth="1"/>
    <col min="3848" max="3848" width="4" style="256" customWidth="1"/>
    <col min="3849" max="3849" width="7.265625" style="256" customWidth="1"/>
    <col min="3850" max="3850" width="4" style="256" customWidth="1"/>
    <col min="3851" max="3851" width="13" style="256" customWidth="1"/>
    <col min="3852" max="3852" width="7.73046875" style="256" customWidth="1"/>
    <col min="3853" max="3853" width="5.59765625" style="256" customWidth="1"/>
    <col min="3854" max="3854" width="5.73046875" style="256" customWidth="1"/>
    <col min="3855" max="3855" width="8.1328125" style="256" customWidth="1"/>
    <col min="3856" max="3857" width="7.59765625" style="256" customWidth="1"/>
    <col min="3858" max="3858" width="6.73046875" style="256" customWidth="1"/>
    <col min="3859" max="3859" width="4" style="256" customWidth="1"/>
    <col min="3860" max="3860" width="7.265625" style="256" customWidth="1"/>
    <col min="3861" max="3861" width="4" style="256" customWidth="1"/>
    <col min="3862" max="3862" width="13" style="256" customWidth="1"/>
    <col min="3863" max="3863" width="7.73046875" style="256" customWidth="1"/>
    <col min="3864" max="3864" width="5.59765625" style="256" customWidth="1"/>
    <col min="3865" max="3865" width="5.73046875" style="256" customWidth="1"/>
    <col min="3866" max="3866" width="8.1328125" style="256" customWidth="1"/>
    <col min="3867" max="3868" width="7.59765625" style="256" customWidth="1"/>
    <col min="3869" max="3869" width="6.73046875" style="256" customWidth="1"/>
    <col min="3870" max="3870" width="4" style="256" customWidth="1"/>
    <col min="3871" max="3871" width="7.265625" style="256" customWidth="1"/>
    <col min="3872" max="3872" width="4" style="256" customWidth="1"/>
    <col min="3873" max="3873" width="13" style="256" customWidth="1"/>
    <col min="3874" max="3874" width="7.73046875" style="256" customWidth="1"/>
    <col min="3875" max="3875" width="5.59765625" style="256" customWidth="1"/>
    <col min="3876" max="3876" width="5.73046875" style="256" customWidth="1"/>
    <col min="3877" max="3877" width="8.1328125" style="256" customWidth="1"/>
    <col min="3878" max="3879" width="7.59765625" style="256" customWidth="1"/>
    <col min="3880" max="3880" width="6.73046875" style="256" customWidth="1"/>
    <col min="3881" max="3881" width="4" style="256" customWidth="1"/>
    <col min="3882" max="3882" width="7.265625" style="256" customWidth="1"/>
    <col min="3883" max="3883" width="4" style="256" customWidth="1"/>
    <col min="3884" max="3884" width="13" style="256" customWidth="1"/>
    <col min="3885" max="3885" width="7.73046875" style="256" customWidth="1"/>
    <col min="3886" max="3886" width="5.59765625" style="256" customWidth="1"/>
    <col min="3887" max="3887" width="5.73046875" style="256" customWidth="1"/>
    <col min="3888" max="3888" width="8.1328125" style="256" customWidth="1"/>
    <col min="3889" max="3890" width="7.59765625" style="256" customWidth="1"/>
    <col min="3891" max="3891" width="6.73046875" style="256" customWidth="1"/>
    <col min="3892" max="3892" width="4" style="256" customWidth="1"/>
    <col min="3893" max="3893" width="7.265625" style="256" customWidth="1"/>
    <col min="3894" max="3894" width="4" style="256" customWidth="1"/>
    <col min="3895" max="3895" width="13" style="256" customWidth="1"/>
    <col min="3896" max="3896" width="7.73046875" style="256" customWidth="1"/>
    <col min="3897" max="3897" width="5.59765625" style="256" customWidth="1"/>
    <col min="3898" max="3898" width="5.73046875" style="256" customWidth="1"/>
    <col min="3899" max="3899" width="8.1328125" style="256" customWidth="1"/>
    <col min="3900" max="3901" width="7.59765625" style="256" customWidth="1"/>
    <col min="3902" max="3902" width="6.73046875" style="256" customWidth="1"/>
    <col min="3903" max="3903" width="4" style="256" customWidth="1"/>
    <col min="3904" max="3904" width="7.265625" style="256" customWidth="1"/>
    <col min="3905" max="3905" width="4.3984375" style="256" customWidth="1"/>
    <col min="3906" max="3906" width="13" style="256" customWidth="1"/>
    <col min="3907" max="3907" width="7.73046875" style="256" customWidth="1"/>
    <col min="3908" max="3908" width="5.59765625" style="256" customWidth="1"/>
    <col min="3909" max="3909" width="5.73046875" style="256" customWidth="1"/>
    <col min="3910" max="3910" width="8.1328125" style="256" customWidth="1"/>
    <col min="3911" max="3912" width="7.59765625" style="256" customWidth="1"/>
    <col min="3913" max="3913" width="6.73046875" style="256" customWidth="1"/>
    <col min="3914" max="3914" width="4" style="256" customWidth="1"/>
    <col min="3915" max="3915" width="7.265625" style="256" customWidth="1"/>
    <col min="3916" max="3916" width="4" style="256" customWidth="1"/>
    <col min="3917" max="3917" width="13" style="256" customWidth="1"/>
    <col min="3918" max="3918" width="7.73046875" style="256" customWidth="1"/>
    <col min="3919" max="3919" width="5.59765625" style="256" customWidth="1"/>
    <col min="3920" max="3920" width="5.73046875" style="256" customWidth="1"/>
    <col min="3921" max="3921" width="8.1328125" style="256" customWidth="1"/>
    <col min="3922" max="3923" width="7.59765625" style="256" customWidth="1"/>
    <col min="3924" max="3924" width="6.73046875" style="256" customWidth="1"/>
    <col min="3925" max="3925" width="4" style="256" customWidth="1"/>
    <col min="3926" max="3926" width="7.265625" style="256" customWidth="1"/>
    <col min="3927" max="3927" width="4" style="256" customWidth="1"/>
    <col min="3928" max="3928" width="13" style="256" customWidth="1"/>
    <col min="3929" max="3929" width="7.73046875" style="256" customWidth="1"/>
    <col min="3930" max="3930" width="5.59765625" style="256" customWidth="1"/>
    <col min="3931" max="3931" width="5.73046875" style="256" customWidth="1"/>
    <col min="3932" max="3932" width="8.1328125" style="256" customWidth="1"/>
    <col min="3933" max="3934" width="7.59765625" style="256" customWidth="1"/>
    <col min="3935" max="3935" width="6.73046875" style="256" customWidth="1"/>
    <col min="3936" max="3936" width="4" style="256" customWidth="1"/>
    <col min="3937" max="3937" width="7.265625" style="256" customWidth="1"/>
    <col min="3938" max="3938" width="4" style="256" customWidth="1"/>
    <col min="3939" max="3939" width="13" style="256" customWidth="1"/>
    <col min="3940" max="3940" width="7.73046875" style="256" customWidth="1"/>
    <col min="3941" max="3941" width="5.59765625" style="256" customWidth="1"/>
    <col min="3942" max="3942" width="5.73046875" style="256" customWidth="1"/>
    <col min="3943" max="3943" width="8.1328125" style="256" customWidth="1"/>
    <col min="3944" max="3945" width="7.59765625" style="256" customWidth="1"/>
    <col min="3946" max="3946" width="6.73046875" style="256" customWidth="1"/>
    <col min="3947" max="3947" width="4" style="256" customWidth="1"/>
    <col min="3948" max="3948" width="7.265625" style="256" customWidth="1"/>
    <col min="3949" max="3949" width="4" style="256" customWidth="1"/>
    <col min="3950" max="3950" width="13" style="256" customWidth="1"/>
    <col min="3951" max="3951" width="7.73046875" style="256" customWidth="1"/>
    <col min="3952" max="3952" width="5.59765625" style="256" customWidth="1"/>
    <col min="3953" max="3953" width="5.73046875" style="256" customWidth="1"/>
    <col min="3954" max="3954" width="8.1328125" style="256" customWidth="1"/>
    <col min="3955" max="3956" width="7.59765625" style="256" customWidth="1"/>
    <col min="3957" max="3957" width="6.73046875" style="256" customWidth="1"/>
    <col min="3958" max="3958" width="4" style="256" customWidth="1"/>
    <col min="3959" max="3959" width="7.265625" style="256" customWidth="1"/>
    <col min="3960" max="3960" width="4" style="256" customWidth="1"/>
    <col min="3961" max="3961" width="13" style="256" customWidth="1"/>
    <col min="3962" max="3962" width="7.73046875" style="256" customWidth="1"/>
    <col min="3963" max="3963" width="5.59765625" style="256" customWidth="1"/>
    <col min="3964" max="3964" width="5.73046875" style="256" customWidth="1"/>
    <col min="3965" max="3965" width="8.1328125" style="256" customWidth="1"/>
    <col min="3966" max="3967" width="7.59765625" style="256" customWidth="1"/>
    <col min="3968" max="3968" width="6.73046875" style="256" customWidth="1"/>
    <col min="3969" max="3969" width="4" style="256" customWidth="1"/>
    <col min="3970" max="3970" width="7.265625" style="256" customWidth="1"/>
    <col min="3971" max="3971" width="4" style="256" customWidth="1"/>
    <col min="3972" max="3972" width="13" style="256" customWidth="1"/>
    <col min="3973" max="3973" width="7.73046875" style="256" customWidth="1"/>
    <col min="3974" max="3974" width="5.59765625" style="256" customWidth="1"/>
    <col min="3975" max="3975" width="5.73046875" style="256" customWidth="1"/>
    <col min="3976" max="3976" width="8.1328125" style="256" customWidth="1"/>
    <col min="3977" max="3978" width="7.59765625" style="256" customWidth="1"/>
    <col min="3979" max="3979" width="6.73046875" style="256" customWidth="1"/>
    <col min="3980" max="3980" width="4" style="256" customWidth="1"/>
    <col min="3981" max="3981" width="7.265625" style="256" customWidth="1"/>
    <col min="3982" max="3982" width="4" style="256" customWidth="1"/>
    <col min="3983" max="3983" width="13" style="256" customWidth="1"/>
    <col min="3984" max="3984" width="7.73046875" style="256" customWidth="1"/>
    <col min="3985" max="3985" width="5.59765625" style="256" customWidth="1"/>
    <col min="3986" max="3987" width="9.1328125" style="256"/>
    <col min="3988" max="3988" width="6.59765625" style="256" customWidth="1"/>
    <col min="3989" max="3989" width="8.73046875" style="256" customWidth="1"/>
    <col min="3990" max="3990" width="7.3984375" style="256" customWidth="1"/>
    <col min="3991" max="3991" width="7.265625" style="256" customWidth="1"/>
    <col min="3992" max="3992" width="7.73046875" style="256" customWidth="1"/>
    <col min="3993" max="3993" width="4.3984375" style="256" customWidth="1"/>
    <col min="3994" max="3994" width="9.1328125" style="256"/>
    <col min="3995" max="3995" width="6" style="256" customWidth="1"/>
    <col min="3996" max="3996" width="12.265625" style="256" customWidth="1"/>
    <col min="3997" max="3997" width="8" style="256" customWidth="1"/>
    <col min="3998" max="4000" width="9.1328125" style="256"/>
    <col min="4001" max="4001" width="7.73046875" style="256" customWidth="1"/>
    <col min="4002" max="4002" width="8.265625" style="256" customWidth="1"/>
    <col min="4003" max="4003" width="7.1328125" style="256" customWidth="1"/>
    <col min="4004" max="4004" width="7.59765625" style="256" customWidth="1"/>
    <col min="4005" max="4005" width="7.3984375" style="256" customWidth="1"/>
    <col min="4006" max="4006" width="4.86328125" style="256" customWidth="1"/>
    <col min="4007" max="4007" width="9.1328125" style="256"/>
    <col min="4008" max="4008" width="5" style="256" customWidth="1"/>
    <col min="4009" max="4009" width="12.265625" style="256" customWidth="1"/>
    <col min="4010" max="4010" width="7.86328125" style="256" customWidth="1"/>
    <col min="4011" max="4013" width="9.1328125" style="256"/>
    <col min="4014" max="4014" width="7.265625" style="256" customWidth="1"/>
    <col min="4015" max="4015" width="8.1328125" style="256" customWidth="1"/>
    <col min="4016" max="4016" width="6.86328125" style="256" customWidth="1"/>
    <col min="4017" max="4017" width="8" style="256" customWidth="1"/>
    <col min="4018" max="4018" width="7.3984375" style="256" customWidth="1"/>
    <col min="4019" max="4019" width="4.59765625" style="256" customWidth="1"/>
    <col min="4020" max="4020" width="9.1328125" style="256"/>
    <col min="4021" max="4021" width="4.1328125" style="256" customWidth="1"/>
    <col min="4022" max="4022" width="12" style="256" customWidth="1"/>
    <col min="4023" max="4023" width="8.1328125" style="256" customWidth="1"/>
    <col min="4024" max="4026" width="9.1328125" style="256"/>
    <col min="4027" max="4027" width="5.3984375" style="256" customWidth="1"/>
    <col min="4028" max="4028" width="7.73046875" style="256" customWidth="1"/>
    <col min="4029" max="4029" width="5.1328125" style="256" customWidth="1"/>
    <col min="4030" max="4030" width="7.3984375" style="256" customWidth="1"/>
    <col min="4031" max="4031" width="7.1328125" style="256" customWidth="1"/>
    <col min="4032" max="4032" width="4.265625" style="256" customWidth="1"/>
    <col min="4033" max="4033" width="9.1328125" style="256"/>
    <col min="4034" max="4034" width="5.1328125" style="256" customWidth="1"/>
    <col min="4035" max="4035" width="12.265625" style="256" customWidth="1"/>
    <col min="4036" max="4036" width="7.73046875" style="256" customWidth="1"/>
    <col min="4037" max="4038" width="9.1328125" style="256"/>
    <col min="4039" max="4039" width="6.73046875" style="256" customWidth="1"/>
    <col min="4040" max="4040" width="7.59765625" style="256" customWidth="1"/>
    <col min="4041" max="4041" width="6.265625" style="256" customWidth="1"/>
    <col min="4042" max="4042" width="8.1328125" style="256" customWidth="1"/>
    <col min="4043" max="4043" width="7.1328125" style="256" customWidth="1"/>
    <col min="4044" max="4044" width="4.3984375" style="256" customWidth="1"/>
    <col min="4045" max="4045" width="9.1328125" style="256"/>
    <col min="4046" max="4046" width="3.86328125" style="256" customWidth="1"/>
    <col min="4047" max="4047" width="12.265625" style="256" customWidth="1"/>
    <col min="4048" max="4048" width="8.3984375" style="256" customWidth="1"/>
    <col min="4049" max="4050" width="9.1328125" style="256"/>
    <col min="4051" max="4051" width="8.1328125" style="256" customWidth="1"/>
    <col min="4052" max="4052" width="8.3984375" style="256" customWidth="1"/>
    <col min="4053" max="4053" width="7" style="256" customWidth="1"/>
    <col min="4054" max="4054" width="8.3984375" style="256" customWidth="1"/>
    <col min="4055" max="4055" width="9.1328125" style="256"/>
    <col min="4056" max="4056" width="6.1328125" style="256" customWidth="1"/>
    <col min="4057" max="4057" width="9.1328125" style="256"/>
    <col min="4058" max="4058" width="6.73046875" style="256" customWidth="1"/>
    <col min="4059" max="4075" width="9.1328125" style="256"/>
    <col min="4076" max="4076" width="5.59765625" style="256" customWidth="1"/>
    <col min="4077" max="4077" width="5.73046875" style="256" customWidth="1"/>
    <col min="4078" max="4078" width="8.1328125" style="256" customWidth="1"/>
    <col min="4079" max="4080" width="7.59765625" style="256" customWidth="1"/>
    <col min="4081" max="4081" width="6.73046875" style="256" customWidth="1"/>
    <col min="4082" max="4082" width="4" style="256" customWidth="1"/>
    <col min="4083" max="4083" width="7.265625" style="256" customWidth="1"/>
    <col min="4084" max="4084" width="4" style="256" customWidth="1"/>
    <col min="4085" max="4085" width="13" style="256" customWidth="1"/>
    <col min="4086" max="4086" width="8" style="256" customWidth="1"/>
    <col min="4087" max="4087" width="5.59765625" style="256" customWidth="1"/>
    <col min="4088" max="4088" width="5.73046875" style="256" customWidth="1"/>
    <col min="4089" max="4089" width="8.1328125" style="256" customWidth="1"/>
    <col min="4090" max="4091" width="7.59765625" style="256" customWidth="1"/>
    <col min="4092" max="4092" width="6.73046875" style="256" customWidth="1"/>
    <col min="4093" max="4093" width="4" style="256" customWidth="1"/>
    <col min="4094" max="4094" width="7.265625" style="256" customWidth="1"/>
    <col min="4095" max="4095" width="4" style="256" customWidth="1"/>
    <col min="4096" max="4096" width="13" style="256" customWidth="1"/>
    <col min="4097" max="4097" width="7.73046875" style="256" customWidth="1"/>
    <col min="4098" max="4098" width="5.59765625" style="256" customWidth="1"/>
    <col min="4099" max="4099" width="5.73046875" style="256" customWidth="1"/>
    <col min="4100" max="4100" width="8.1328125" style="256" customWidth="1"/>
    <col min="4101" max="4102" width="7.59765625" style="256" customWidth="1"/>
    <col min="4103" max="4103" width="6.73046875" style="256" customWidth="1"/>
    <col min="4104" max="4104" width="4" style="256" customWidth="1"/>
    <col min="4105" max="4105" width="7.265625" style="256" customWidth="1"/>
    <col min="4106" max="4106" width="4" style="256" customWidth="1"/>
    <col min="4107" max="4107" width="13" style="256" customWidth="1"/>
    <col min="4108" max="4108" width="7.73046875" style="256" customWidth="1"/>
    <col min="4109" max="4109" width="5.59765625" style="256" customWidth="1"/>
    <col min="4110" max="4110" width="5.73046875" style="256" customWidth="1"/>
    <col min="4111" max="4111" width="8.1328125" style="256" customWidth="1"/>
    <col min="4112" max="4113" width="7.59765625" style="256" customWidth="1"/>
    <col min="4114" max="4114" width="6.73046875" style="256" customWidth="1"/>
    <col min="4115" max="4115" width="4" style="256" customWidth="1"/>
    <col min="4116" max="4116" width="7.265625" style="256" customWidth="1"/>
    <col min="4117" max="4117" width="4" style="256" customWidth="1"/>
    <col min="4118" max="4118" width="13" style="256" customWidth="1"/>
    <col min="4119" max="4119" width="7.73046875" style="256" customWidth="1"/>
    <col min="4120" max="4120" width="5.59765625" style="256" customWidth="1"/>
    <col min="4121" max="4121" width="5.73046875" style="256" customWidth="1"/>
    <col min="4122" max="4122" width="8.1328125" style="256" customWidth="1"/>
    <col min="4123" max="4124" width="7.59765625" style="256" customWidth="1"/>
    <col min="4125" max="4125" width="6.73046875" style="256" customWidth="1"/>
    <col min="4126" max="4126" width="4" style="256" customWidth="1"/>
    <col min="4127" max="4127" width="7.265625" style="256" customWidth="1"/>
    <col min="4128" max="4128" width="4" style="256" customWidth="1"/>
    <col min="4129" max="4129" width="13" style="256" customWidth="1"/>
    <col min="4130" max="4130" width="7.73046875" style="256" customWidth="1"/>
    <col min="4131" max="4131" width="5.59765625" style="256" customWidth="1"/>
    <col min="4132" max="4132" width="5.73046875" style="256" customWidth="1"/>
    <col min="4133" max="4133" width="8.1328125" style="256" customWidth="1"/>
    <col min="4134" max="4135" width="7.59765625" style="256" customWidth="1"/>
    <col min="4136" max="4136" width="6.73046875" style="256" customWidth="1"/>
    <col min="4137" max="4137" width="4" style="256" customWidth="1"/>
    <col min="4138" max="4138" width="7.265625" style="256" customWidth="1"/>
    <col min="4139" max="4139" width="4" style="256" customWidth="1"/>
    <col min="4140" max="4140" width="13" style="256" customWidth="1"/>
    <col min="4141" max="4141" width="7.73046875" style="256" customWidth="1"/>
    <col min="4142" max="4142" width="5.59765625" style="256" customWidth="1"/>
    <col min="4143" max="4143" width="5.73046875" style="256" customWidth="1"/>
    <col min="4144" max="4144" width="8.1328125" style="256" customWidth="1"/>
    <col min="4145" max="4146" width="7.59765625" style="256" customWidth="1"/>
    <col min="4147" max="4147" width="6.73046875" style="256" customWidth="1"/>
    <col min="4148" max="4148" width="4" style="256" customWidth="1"/>
    <col min="4149" max="4149" width="7.265625" style="256" customWidth="1"/>
    <col min="4150" max="4150" width="4" style="256" customWidth="1"/>
    <col min="4151" max="4151" width="13" style="256" customWidth="1"/>
    <col min="4152" max="4152" width="7.73046875" style="256" customWidth="1"/>
    <col min="4153" max="4153" width="5.59765625" style="256" customWidth="1"/>
    <col min="4154" max="4154" width="5.73046875" style="256" customWidth="1"/>
    <col min="4155" max="4155" width="8.1328125" style="256" customWidth="1"/>
    <col min="4156" max="4157" width="7.59765625" style="256" customWidth="1"/>
    <col min="4158" max="4158" width="6.73046875" style="256" customWidth="1"/>
    <col min="4159" max="4159" width="4" style="256" customWidth="1"/>
    <col min="4160" max="4160" width="7.265625" style="256" customWidth="1"/>
    <col min="4161" max="4161" width="4.3984375" style="256" customWidth="1"/>
    <col min="4162" max="4162" width="13" style="256" customWidth="1"/>
    <col min="4163" max="4163" width="7.73046875" style="256" customWidth="1"/>
    <col min="4164" max="4164" width="5.59765625" style="256" customWidth="1"/>
    <col min="4165" max="4165" width="5.73046875" style="256" customWidth="1"/>
    <col min="4166" max="4166" width="8.1328125" style="256" customWidth="1"/>
    <col min="4167" max="4168" width="7.59765625" style="256" customWidth="1"/>
    <col min="4169" max="4169" width="6.73046875" style="256" customWidth="1"/>
    <col min="4170" max="4170" width="4" style="256" customWidth="1"/>
    <col min="4171" max="4171" width="7.265625" style="256" customWidth="1"/>
    <col min="4172" max="4172" width="4" style="256" customWidth="1"/>
    <col min="4173" max="4173" width="13" style="256" customWidth="1"/>
    <col min="4174" max="4174" width="7.73046875" style="256" customWidth="1"/>
    <col min="4175" max="4175" width="5.59765625" style="256" customWidth="1"/>
    <col min="4176" max="4176" width="5.73046875" style="256" customWidth="1"/>
    <col min="4177" max="4177" width="8.1328125" style="256" customWidth="1"/>
    <col min="4178" max="4179" width="7.59765625" style="256" customWidth="1"/>
    <col min="4180" max="4180" width="6.73046875" style="256" customWidth="1"/>
    <col min="4181" max="4181" width="4" style="256" customWidth="1"/>
    <col min="4182" max="4182" width="7.265625" style="256" customWidth="1"/>
    <col min="4183" max="4183" width="4" style="256" customWidth="1"/>
    <col min="4184" max="4184" width="13" style="256" customWidth="1"/>
    <col min="4185" max="4185" width="7.73046875" style="256" customWidth="1"/>
    <col min="4186" max="4186" width="5.59765625" style="256" customWidth="1"/>
    <col min="4187" max="4187" width="5.73046875" style="256" customWidth="1"/>
    <col min="4188" max="4188" width="8.1328125" style="256" customWidth="1"/>
    <col min="4189" max="4190" width="7.59765625" style="256" customWidth="1"/>
    <col min="4191" max="4191" width="6.73046875" style="256" customWidth="1"/>
    <col min="4192" max="4192" width="4" style="256" customWidth="1"/>
    <col min="4193" max="4193" width="7.265625" style="256" customWidth="1"/>
    <col min="4194" max="4194" width="4" style="256" customWidth="1"/>
    <col min="4195" max="4195" width="13" style="256" customWidth="1"/>
    <col min="4196" max="4196" width="7.73046875" style="256" customWidth="1"/>
    <col min="4197" max="4197" width="5.59765625" style="256" customWidth="1"/>
    <col min="4198" max="4198" width="5.73046875" style="256" customWidth="1"/>
    <col min="4199" max="4199" width="8.1328125" style="256" customWidth="1"/>
    <col min="4200" max="4201" width="7.59765625" style="256" customWidth="1"/>
    <col min="4202" max="4202" width="6.73046875" style="256" customWidth="1"/>
    <col min="4203" max="4203" width="4" style="256" customWidth="1"/>
    <col min="4204" max="4204" width="7.265625" style="256" customWidth="1"/>
    <col min="4205" max="4205" width="4" style="256" customWidth="1"/>
    <col min="4206" max="4206" width="13" style="256" customWidth="1"/>
    <col min="4207" max="4207" width="7.73046875" style="256" customWidth="1"/>
    <col min="4208" max="4208" width="5.59765625" style="256" customWidth="1"/>
    <col min="4209" max="4209" width="5.73046875" style="256" customWidth="1"/>
    <col min="4210" max="4210" width="8.1328125" style="256" customWidth="1"/>
    <col min="4211" max="4212" width="7.59765625" style="256" customWidth="1"/>
    <col min="4213" max="4213" width="6.73046875" style="256" customWidth="1"/>
    <col min="4214" max="4214" width="4" style="256" customWidth="1"/>
    <col min="4215" max="4215" width="7.265625" style="256" customWidth="1"/>
    <col min="4216" max="4216" width="4" style="256" customWidth="1"/>
    <col min="4217" max="4217" width="13" style="256" customWidth="1"/>
    <col min="4218" max="4218" width="7.73046875" style="256" customWidth="1"/>
    <col min="4219" max="4219" width="5.59765625" style="256" customWidth="1"/>
    <col min="4220" max="4220" width="5.73046875" style="256" customWidth="1"/>
    <col min="4221" max="4221" width="8.1328125" style="256" customWidth="1"/>
    <col min="4222" max="4223" width="7.59765625" style="256" customWidth="1"/>
    <col min="4224" max="4224" width="6.73046875" style="256" customWidth="1"/>
    <col min="4225" max="4225" width="4" style="256" customWidth="1"/>
    <col min="4226" max="4226" width="7.265625" style="256" customWidth="1"/>
    <col min="4227" max="4227" width="4" style="256" customWidth="1"/>
    <col min="4228" max="4228" width="13" style="256" customWidth="1"/>
    <col min="4229" max="4229" width="7.73046875" style="256" customWidth="1"/>
    <col min="4230" max="4230" width="5.59765625" style="256" customWidth="1"/>
    <col min="4231" max="4231" width="5.73046875" style="256" customWidth="1"/>
    <col min="4232" max="4232" width="8.1328125" style="256" customWidth="1"/>
    <col min="4233" max="4234" width="7.59765625" style="256" customWidth="1"/>
    <col min="4235" max="4235" width="6.73046875" style="256" customWidth="1"/>
    <col min="4236" max="4236" width="4" style="256" customWidth="1"/>
    <col min="4237" max="4237" width="7.265625" style="256" customWidth="1"/>
    <col min="4238" max="4238" width="4" style="256" customWidth="1"/>
    <col min="4239" max="4239" width="13" style="256" customWidth="1"/>
    <col min="4240" max="4240" width="7.73046875" style="256" customWidth="1"/>
    <col min="4241" max="4241" width="5.59765625" style="256" customWidth="1"/>
    <col min="4242" max="4243" width="9.1328125" style="256"/>
    <col min="4244" max="4244" width="6.59765625" style="256" customWidth="1"/>
    <col min="4245" max="4245" width="8.73046875" style="256" customWidth="1"/>
    <col min="4246" max="4246" width="7.3984375" style="256" customWidth="1"/>
    <col min="4247" max="4247" width="7.265625" style="256" customWidth="1"/>
    <col min="4248" max="4248" width="7.73046875" style="256" customWidth="1"/>
    <col min="4249" max="4249" width="4.3984375" style="256" customWidth="1"/>
    <col min="4250" max="4250" width="9.1328125" style="256"/>
    <col min="4251" max="4251" width="6" style="256" customWidth="1"/>
    <col min="4252" max="4252" width="12.265625" style="256" customWidth="1"/>
    <col min="4253" max="4253" width="8" style="256" customWidth="1"/>
    <col min="4254" max="4256" width="9.1328125" style="256"/>
    <col min="4257" max="4257" width="7.73046875" style="256" customWidth="1"/>
    <col min="4258" max="4258" width="8.265625" style="256" customWidth="1"/>
    <col min="4259" max="4259" width="7.1328125" style="256" customWidth="1"/>
    <col min="4260" max="4260" width="7.59765625" style="256" customWidth="1"/>
    <col min="4261" max="4261" width="7.3984375" style="256" customWidth="1"/>
    <col min="4262" max="4262" width="4.86328125" style="256" customWidth="1"/>
    <col min="4263" max="4263" width="9.1328125" style="256"/>
    <col min="4264" max="4264" width="5" style="256" customWidth="1"/>
    <col min="4265" max="4265" width="12.265625" style="256" customWidth="1"/>
    <col min="4266" max="4266" width="7.86328125" style="256" customWidth="1"/>
    <col min="4267" max="4269" width="9.1328125" style="256"/>
    <col min="4270" max="4270" width="7.265625" style="256" customWidth="1"/>
    <col min="4271" max="4271" width="8.1328125" style="256" customWidth="1"/>
    <col min="4272" max="4272" width="6.86328125" style="256" customWidth="1"/>
    <col min="4273" max="4273" width="8" style="256" customWidth="1"/>
    <col min="4274" max="4274" width="7.3984375" style="256" customWidth="1"/>
    <col min="4275" max="4275" width="4.59765625" style="256" customWidth="1"/>
    <col min="4276" max="4276" width="9.1328125" style="256"/>
    <col min="4277" max="4277" width="4.1328125" style="256" customWidth="1"/>
    <col min="4278" max="4278" width="12" style="256" customWidth="1"/>
    <col min="4279" max="4279" width="8.1328125" style="256" customWidth="1"/>
    <col min="4280" max="4282" width="9.1328125" style="256"/>
    <col min="4283" max="4283" width="5.3984375" style="256" customWidth="1"/>
    <col min="4284" max="4284" width="7.73046875" style="256" customWidth="1"/>
    <col min="4285" max="4285" width="5.1328125" style="256" customWidth="1"/>
    <col min="4286" max="4286" width="7.3984375" style="256" customWidth="1"/>
    <col min="4287" max="4287" width="7.1328125" style="256" customWidth="1"/>
    <col min="4288" max="4288" width="4.265625" style="256" customWidth="1"/>
    <col min="4289" max="4289" width="9.1328125" style="256"/>
    <col min="4290" max="4290" width="5.1328125" style="256" customWidth="1"/>
    <col min="4291" max="4291" width="12.265625" style="256" customWidth="1"/>
    <col min="4292" max="4292" width="7.73046875" style="256" customWidth="1"/>
    <col min="4293" max="4294" width="9.1328125" style="256"/>
    <col min="4295" max="4295" width="6.73046875" style="256" customWidth="1"/>
    <col min="4296" max="4296" width="7.59765625" style="256" customWidth="1"/>
    <col min="4297" max="4297" width="6.265625" style="256" customWidth="1"/>
    <col min="4298" max="4298" width="8.1328125" style="256" customWidth="1"/>
    <col min="4299" max="4299" width="7.1328125" style="256" customWidth="1"/>
    <col min="4300" max="4300" width="4.3984375" style="256" customWidth="1"/>
    <col min="4301" max="4301" width="9.1328125" style="256"/>
    <col min="4302" max="4302" width="3.86328125" style="256" customWidth="1"/>
    <col min="4303" max="4303" width="12.265625" style="256" customWidth="1"/>
    <col min="4304" max="4304" width="8.3984375" style="256" customWidth="1"/>
    <col min="4305" max="4306" width="9.1328125" style="256"/>
    <col min="4307" max="4307" width="8.1328125" style="256" customWidth="1"/>
    <col min="4308" max="4308" width="8.3984375" style="256" customWidth="1"/>
    <col min="4309" max="4309" width="7" style="256" customWidth="1"/>
    <col min="4310" max="4310" width="8.3984375" style="256" customWidth="1"/>
    <col min="4311" max="4311" width="9.1328125" style="256"/>
    <col min="4312" max="4312" width="6.1328125" style="256" customWidth="1"/>
    <col min="4313" max="4313" width="9.1328125" style="256"/>
    <col min="4314" max="4314" width="6.73046875" style="256" customWidth="1"/>
    <col min="4315" max="4331" width="9.1328125" style="256"/>
    <col min="4332" max="4332" width="5.59765625" style="256" customWidth="1"/>
    <col min="4333" max="4333" width="5.73046875" style="256" customWidth="1"/>
    <col min="4334" max="4334" width="8.1328125" style="256" customWidth="1"/>
    <col min="4335" max="4336" width="7.59765625" style="256" customWidth="1"/>
    <col min="4337" max="4337" width="6.73046875" style="256" customWidth="1"/>
    <col min="4338" max="4338" width="4" style="256" customWidth="1"/>
    <col min="4339" max="4339" width="7.265625" style="256" customWidth="1"/>
    <col min="4340" max="4340" width="4" style="256" customWidth="1"/>
    <col min="4341" max="4341" width="13" style="256" customWidth="1"/>
    <col min="4342" max="4342" width="8" style="256" customWidth="1"/>
    <col min="4343" max="4343" width="5.59765625" style="256" customWidth="1"/>
    <col min="4344" max="4344" width="5.73046875" style="256" customWidth="1"/>
    <col min="4345" max="4345" width="8.1328125" style="256" customWidth="1"/>
    <col min="4346" max="4347" width="7.59765625" style="256" customWidth="1"/>
    <col min="4348" max="4348" width="6.73046875" style="256" customWidth="1"/>
    <col min="4349" max="4349" width="4" style="256" customWidth="1"/>
    <col min="4350" max="4350" width="7.265625" style="256" customWidth="1"/>
    <col min="4351" max="4351" width="4" style="256" customWidth="1"/>
    <col min="4352" max="4352" width="13" style="256" customWidth="1"/>
    <col min="4353" max="4353" width="7.73046875" style="256" customWidth="1"/>
    <col min="4354" max="4354" width="5.59765625" style="256" customWidth="1"/>
    <col min="4355" max="4355" width="5.73046875" style="256" customWidth="1"/>
    <col min="4356" max="4356" width="8.1328125" style="256" customWidth="1"/>
    <col min="4357" max="4358" width="7.59765625" style="256" customWidth="1"/>
    <col min="4359" max="4359" width="6.73046875" style="256" customWidth="1"/>
    <col min="4360" max="4360" width="4" style="256" customWidth="1"/>
    <col min="4361" max="4361" width="7.265625" style="256" customWidth="1"/>
    <col min="4362" max="4362" width="4" style="256" customWidth="1"/>
    <col min="4363" max="4363" width="13" style="256" customWidth="1"/>
    <col min="4364" max="4364" width="7.73046875" style="256" customWidth="1"/>
    <col min="4365" max="4365" width="5.59765625" style="256" customWidth="1"/>
    <col min="4366" max="4366" width="5.73046875" style="256" customWidth="1"/>
    <col min="4367" max="4367" width="8.1328125" style="256" customWidth="1"/>
    <col min="4368" max="4369" width="7.59765625" style="256" customWidth="1"/>
    <col min="4370" max="4370" width="6.73046875" style="256" customWidth="1"/>
    <col min="4371" max="4371" width="4" style="256" customWidth="1"/>
    <col min="4372" max="4372" width="7.265625" style="256" customWidth="1"/>
    <col min="4373" max="4373" width="4" style="256" customWidth="1"/>
    <col min="4374" max="4374" width="13" style="256" customWidth="1"/>
    <col min="4375" max="4375" width="7.73046875" style="256" customWidth="1"/>
    <col min="4376" max="4376" width="5.59765625" style="256" customWidth="1"/>
    <col min="4377" max="4377" width="5.73046875" style="256" customWidth="1"/>
    <col min="4378" max="4378" width="8.1328125" style="256" customWidth="1"/>
    <col min="4379" max="4380" width="7.59765625" style="256" customWidth="1"/>
    <col min="4381" max="4381" width="6.73046875" style="256" customWidth="1"/>
    <col min="4382" max="4382" width="4" style="256" customWidth="1"/>
    <col min="4383" max="4383" width="7.265625" style="256" customWidth="1"/>
    <col min="4384" max="4384" width="4" style="256" customWidth="1"/>
    <col min="4385" max="4385" width="13" style="256" customWidth="1"/>
    <col min="4386" max="4386" width="7.73046875" style="256" customWidth="1"/>
    <col min="4387" max="4387" width="5.59765625" style="256" customWidth="1"/>
    <col min="4388" max="4388" width="5.73046875" style="256" customWidth="1"/>
    <col min="4389" max="4389" width="8.1328125" style="256" customWidth="1"/>
    <col min="4390" max="4391" width="7.59765625" style="256" customWidth="1"/>
    <col min="4392" max="4392" width="6.73046875" style="256" customWidth="1"/>
    <col min="4393" max="4393" width="4" style="256" customWidth="1"/>
    <col min="4394" max="4394" width="7.265625" style="256" customWidth="1"/>
    <col min="4395" max="4395" width="4" style="256" customWidth="1"/>
    <col min="4396" max="4396" width="13" style="256" customWidth="1"/>
    <col min="4397" max="4397" width="7.73046875" style="256" customWidth="1"/>
    <col min="4398" max="4398" width="5.59765625" style="256" customWidth="1"/>
    <col min="4399" max="4399" width="5.73046875" style="256" customWidth="1"/>
    <col min="4400" max="4400" width="8.1328125" style="256" customWidth="1"/>
    <col min="4401" max="4402" width="7.59765625" style="256" customWidth="1"/>
    <col min="4403" max="4403" width="6.73046875" style="256" customWidth="1"/>
    <col min="4404" max="4404" width="4" style="256" customWidth="1"/>
    <col min="4405" max="4405" width="7.265625" style="256" customWidth="1"/>
    <col min="4406" max="4406" width="4" style="256" customWidth="1"/>
    <col min="4407" max="4407" width="13" style="256" customWidth="1"/>
    <col min="4408" max="4408" width="7.73046875" style="256" customWidth="1"/>
    <col min="4409" max="4409" width="5.59765625" style="256" customWidth="1"/>
    <col min="4410" max="4410" width="5.73046875" style="256" customWidth="1"/>
    <col min="4411" max="4411" width="8.1328125" style="256" customWidth="1"/>
    <col min="4412" max="4413" width="7.59765625" style="256" customWidth="1"/>
    <col min="4414" max="4414" width="6.73046875" style="256" customWidth="1"/>
    <col min="4415" max="4415" width="4" style="256" customWidth="1"/>
    <col min="4416" max="4416" width="7.265625" style="256" customWidth="1"/>
    <col min="4417" max="4417" width="4.3984375" style="256" customWidth="1"/>
    <col min="4418" max="4418" width="13" style="256" customWidth="1"/>
    <col min="4419" max="4419" width="7.73046875" style="256" customWidth="1"/>
    <col min="4420" max="4420" width="5.59765625" style="256" customWidth="1"/>
    <col min="4421" max="4421" width="5.73046875" style="256" customWidth="1"/>
    <col min="4422" max="4422" width="8.1328125" style="256" customWidth="1"/>
    <col min="4423" max="4424" width="7.59765625" style="256" customWidth="1"/>
    <col min="4425" max="4425" width="6.73046875" style="256" customWidth="1"/>
    <col min="4426" max="4426" width="4" style="256" customWidth="1"/>
    <col min="4427" max="4427" width="7.265625" style="256" customWidth="1"/>
    <col min="4428" max="4428" width="4" style="256" customWidth="1"/>
    <col min="4429" max="4429" width="13" style="256" customWidth="1"/>
    <col min="4430" max="4430" width="7.73046875" style="256" customWidth="1"/>
    <col min="4431" max="4431" width="5.59765625" style="256" customWidth="1"/>
    <col min="4432" max="4432" width="5.73046875" style="256" customWidth="1"/>
    <col min="4433" max="4433" width="8.1328125" style="256" customWidth="1"/>
    <col min="4434" max="4435" width="7.59765625" style="256" customWidth="1"/>
    <col min="4436" max="4436" width="6.73046875" style="256" customWidth="1"/>
    <col min="4437" max="4437" width="4" style="256" customWidth="1"/>
    <col min="4438" max="4438" width="7.265625" style="256" customWidth="1"/>
    <col min="4439" max="4439" width="4" style="256" customWidth="1"/>
    <col min="4440" max="4440" width="13" style="256" customWidth="1"/>
    <col min="4441" max="4441" width="7.73046875" style="256" customWidth="1"/>
    <col min="4442" max="4442" width="5.59765625" style="256" customWidth="1"/>
    <col min="4443" max="4443" width="5.73046875" style="256" customWidth="1"/>
    <col min="4444" max="4444" width="8.1328125" style="256" customWidth="1"/>
    <col min="4445" max="4446" width="7.59765625" style="256" customWidth="1"/>
    <col min="4447" max="4447" width="6.73046875" style="256" customWidth="1"/>
    <col min="4448" max="4448" width="4" style="256" customWidth="1"/>
    <col min="4449" max="4449" width="7.265625" style="256" customWidth="1"/>
    <col min="4450" max="4450" width="4" style="256" customWidth="1"/>
    <col min="4451" max="4451" width="13" style="256" customWidth="1"/>
    <col min="4452" max="4452" width="7.73046875" style="256" customWidth="1"/>
    <col min="4453" max="4453" width="5.59765625" style="256" customWidth="1"/>
    <col min="4454" max="4454" width="5.73046875" style="256" customWidth="1"/>
    <col min="4455" max="4455" width="8.1328125" style="256" customWidth="1"/>
    <col min="4456" max="4457" width="7.59765625" style="256" customWidth="1"/>
    <col min="4458" max="4458" width="6.73046875" style="256" customWidth="1"/>
    <col min="4459" max="4459" width="4" style="256" customWidth="1"/>
    <col min="4460" max="4460" width="7.265625" style="256" customWidth="1"/>
    <col min="4461" max="4461" width="4" style="256" customWidth="1"/>
    <col min="4462" max="4462" width="13" style="256" customWidth="1"/>
    <col min="4463" max="4463" width="7.73046875" style="256" customWidth="1"/>
    <col min="4464" max="4464" width="5.59765625" style="256" customWidth="1"/>
    <col min="4465" max="4465" width="5.73046875" style="256" customWidth="1"/>
    <col min="4466" max="4466" width="8.1328125" style="256" customWidth="1"/>
    <col min="4467" max="4468" width="7.59765625" style="256" customWidth="1"/>
    <col min="4469" max="4469" width="6.73046875" style="256" customWidth="1"/>
    <col min="4470" max="4470" width="4" style="256" customWidth="1"/>
    <col min="4471" max="4471" width="7.265625" style="256" customWidth="1"/>
    <col min="4472" max="4472" width="4" style="256" customWidth="1"/>
    <col min="4473" max="4473" width="13" style="256" customWidth="1"/>
    <col min="4474" max="4474" width="7.73046875" style="256" customWidth="1"/>
    <col min="4475" max="4475" width="5.59765625" style="256" customWidth="1"/>
    <col min="4476" max="4476" width="5.73046875" style="256" customWidth="1"/>
    <col min="4477" max="4477" width="8.1328125" style="256" customWidth="1"/>
    <col min="4478" max="4479" width="7.59765625" style="256" customWidth="1"/>
    <col min="4480" max="4480" width="6.73046875" style="256" customWidth="1"/>
    <col min="4481" max="4481" width="4" style="256" customWidth="1"/>
    <col min="4482" max="4482" width="7.265625" style="256" customWidth="1"/>
    <col min="4483" max="4483" width="4" style="256" customWidth="1"/>
    <col min="4484" max="4484" width="13" style="256" customWidth="1"/>
    <col min="4485" max="4485" width="7.73046875" style="256" customWidth="1"/>
    <col min="4486" max="4486" width="5.59765625" style="256" customWidth="1"/>
    <col min="4487" max="4487" width="5.73046875" style="256" customWidth="1"/>
    <col min="4488" max="4488" width="8.1328125" style="256" customWidth="1"/>
    <col min="4489" max="4490" width="7.59765625" style="256" customWidth="1"/>
    <col min="4491" max="4491" width="6.73046875" style="256" customWidth="1"/>
    <col min="4492" max="4492" width="4" style="256" customWidth="1"/>
    <col min="4493" max="4493" width="7.265625" style="256" customWidth="1"/>
    <col min="4494" max="4494" width="4" style="256" customWidth="1"/>
    <col min="4495" max="4495" width="13" style="256" customWidth="1"/>
    <col min="4496" max="4496" width="7.73046875" style="256" customWidth="1"/>
    <col min="4497" max="4497" width="5.59765625" style="256" customWidth="1"/>
    <col min="4498" max="4499" width="9.1328125" style="256"/>
    <col min="4500" max="4500" width="6.59765625" style="256" customWidth="1"/>
    <col min="4501" max="4501" width="8.73046875" style="256" customWidth="1"/>
    <col min="4502" max="4502" width="7.3984375" style="256" customWidth="1"/>
    <col min="4503" max="4503" width="7.265625" style="256" customWidth="1"/>
    <col min="4504" max="4504" width="7.73046875" style="256" customWidth="1"/>
    <col min="4505" max="4505" width="4.3984375" style="256" customWidth="1"/>
    <col min="4506" max="4506" width="9.1328125" style="256"/>
    <col min="4507" max="4507" width="6" style="256" customWidth="1"/>
    <col min="4508" max="4508" width="12.265625" style="256" customWidth="1"/>
    <col min="4509" max="4509" width="8" style="256" customWidth="1"/>
    <col min="4510" max="4512" width="9.1328125" style="256"/>
    <col min="4513" max="4513" width="7.73046875" style="256" customWidth="1"/>
    <col min="4514" max="4514" width="8.265625" style="256" customWidth="1"/>
    <col min="4515" max="4515" width="7.1328125" style="256" customWidth="1"/>
    <col min="4516" max="4516" width="7.59765625" style="256" customWidth="1"/>
    <col min="4517" max="4517" width="7.3984375" style="256" customWidth="1"/>
    <col min="4518" max="4518" width="4.86328125" style="256" customWidth="1"/>
    <col min="4519" max="4519" width="9.1328125" style="256"/>
    <col min="4520" max="4520" width="5" style="256" customWidth="1"/>
    <col min="4521" max="4521" width="12.265625" style="256" customWidth="1"/>
    <col min="4522" max="4522" width="7.86328125" style="256" customWidth="1"/>
    <col min="4523" max="4525" width="9.1328125" style="256"/>
    <col min="4526" max="4526" width="7.265625" style="256" customWidth="1"/>
    <col min="4527" max="4527" width="8.1328125" style="256" customWidth="1"/>
    <col min="4528" max="4528" width="6.86328125" style="256" customWidth="1"/>
    <col min="4529" max="4529" width="8" style="256" customWidth="1"/>
    <col min="4530" max="4530" width="7.3984375" style="256" customWidth="1"/>
    <col min="4531" max="4531" width="4.59765625" style="256" customWidth="1"/>
    <col min="4532" max="4532" width="9.1328125" style="256"/>
    <col min="4533" max="4533" width="4.1328125" style="256" customWidth="1"/>
    <col min="4534" max="4534" width="12" style="256" customWidth="1"/>
    <col min="4535" max="4535" width="8.1328125" style="256" customWidth="1"/>
    <col min="4536" max="4538" width="9.1328125" style="256"/>
    <col min="4539" max="4539" width="5.3984375" style="256" customWidth="1"/>
    <col min="4540" max="4540" width="7.73046875" style="256" customWidth="1"/>
    <col min="4541" max="4541" width="5.1328125" style="256" customWidth="1"/>
    <col min="4542" max="4542" width="7.3984375" style="256" customWidth="1"/>
    <col min="4543" max="4543" width="7.1328125" style="256" customWidth="1"/>
    <col min="4544" max="4544" width="4.265625" style="256" customWidth="1"/>
    <col min="4545" max="4545" width="9.1328125" style="256"/>
    <col min="4546" max="4546" width="5.1328125" style="256" customWidth="1"/>
    <col min="4547" max="4547" width="12.265625" style="256" customWidth="1"/>
    <col min="4548" max="4548" width="7.73046875" style="256" customWidth="1"/>
    <col min="4549" max="4550" width="9.1328125" style="256"/>
    <col min="4551" max="4551" width="6.73046875" style="256" customWidth="1"/>
    <col min="4552" max="4552" width="7.59765625" style="256" customWidth="1"/>
    <col min="4553" max="4553" width="6.265625" style="256" customWidth="1"/>
    <col min="4554" max="4554" width="8.1328125" style="256" customWidth="1"/>
    <col min="4555" max="4555" width="7.1328125" style="256" customWidth="1"/>
    <col min="4556" max="4556" width="4.3984375" style="256" customWidth="1"/>
    <col min="4557" max="4557" width="9.1328125" style="256"/>
    <col min="4558" max="4558" width="3.86328125" style="256" customWidth="1"/>
    <col min="4559" max="4559" width="12.265625" style="256" customWidth="1"/>
    <col min="4560" max="4560" width="8.3984375" style="256" customWidth="1"/>
    <col min="4561" max="4562" width="9.1328125" style="256"/>
    <col min="4563" max="4563" width="8.1328125" style="256" customWidth="1"/>
    <col min="4564" max="4564" width="8.3984375" style="256" customWidth="1"/>
    <col min="4565" max="4565" width="7" style="256" customWidth="1"/>
    <col min="4566" max="4566" width="8.3984375" style="256" customWidth="1"/>
    <col min="4567" max="4567" width="9.1328125" style="256"/>
    <col min="4568" max="4568" width="6.1328125" style="256" customWidth="1"/>
    <col min="4569" max="4569" width="9.1328125" style="256"/>
    <col min="4570" max="4570" width="6.73046875" style="256" customWidth="1"/>
    <col min="4571" max="4587" width="9.1328125" style="256"/>
    <col min="4588" max="4588" width="5.59765625" style="256" customWidth="1"/>
    <col min="4589" max="4589" width="5.73046875" style="256" customWidth="1"/>
    <col min="4590" max="4590" width="8.1328125" style="256" customWidth="1"/>
    <col min="4591" max="4592" width="7.59765625" style="256" customWidth="1"/>
    <col min="4593" max="4593" width="6.73046875" style="256" customWidth="1"/>
    <col min="4594" max="4594" width="4" style="256" customWidth="1"/>
    <col min="4595" max="4595" width="7.265625" style="256" customWidth="1"/>
    <col min="4596" max="4596" width="4" style="256" customWidth="1"/>
    <col min="4597" max="4597" width="13" style="256" customWidth="1"/>
    <col min="4598" max="4598" width="8" style="256" customWidth="1"/>
    <col min="4599" max="4599" width="5.59765625" style="256" customWidth="1"/>
    <col min="4600" max="4600" width="5.73046875" style="256" customWidth="1"/>
    <col min="4601" max="4601" width="8.1328125" style="256" customWidth="1"/>
    <col min="4602" max="4603" width="7.59765625" style="256" customWidth="1"/>
    <col min="4604" max="4604" width="6.73046875" style="256" customWidth="1"/>
    <col min="4605" max="4605" width="4" style="256" customWidth="1"/>
    <col min="4606" max="4606" width="7.265625" style="256" customWidth="1"/>
    <col min="4607" max="4607" width="4" style="256" customWidth="1"/>
    <col min="4608" max="4608" width="13" style="256" customWidth="1"/>
    <col min="4609" max="4609" width="7.73046875" style="256" customWidth="1"/>
    <col min="4610" max="4610" width="5.59765625" style="256" customWidth="1"/>
    <col min="4611" max="4611" width="5.73046875" style="256" customWidth="1"/>
    <col min="4612" max="4612" width="8.1328125" style="256" customWidth="1"/>
    <col min="4613" max="4614" width="7.59765625" style="256" customWidth="1"/>
    <col min="4615" max="4615" width="6.73046875" style="256" customWidth="1"/>
    <col min="4616" max="4616" width="4" style="256" customWidth="1"/>
    <col min="4617" max="4617" width="7.265625" style="256" customWidth="1"/>
    <col min="4618" max="4618" width="4" style="256" customWidth="1"/>
    <col min="4619" max="4619" width="13" style="256" customWidth="1"/>
    <col min="4620" max="4620" width="7.73046875" style="256" customWidth="1"/>
    <col min="4621" max="4621" width="5.59765625" style="256" customWidth="1"/>
    <col min="4622" max="4622" width="5.73046875" style="256" customWidth="1"/>
    <col min="4623" max="4623" width="8.1328125" style="256" customWidth="1"/>
    <col min="4624" max="4625" width="7.59765625" style="256" customWidth="1"/>
    <col min="4626" max="4626" width="6.73046875" style="256" customWidth="1"/>
    <col min="4627" max="4627" width="4" style="256" customWidth="1"/>
    <col min="4628" max="4628" width="7.265625" style="256" customWidth="1"/>
    <col min="4629" max="4629" width="4" style="256" customWidth="1"/>
    <col min="4630" max="4630" width="13" style="256" customWidth="1"/>
    <col min="4631" max="4631" width="7.73046875" style="256" customWidth="1"/>
    <col min="4632" max="4632" width="5.59765625" style="256" customWidth="1"/>
    <col min="4633" max="4633" width="5.73046875" style="256" customWidth="1"/>
    <col min="4634" max="4634" width="8.1328125" style="256" customWidth="1"/>
    <col min="4635" max="4636" width="7.59765625" style="256" customWidth="1"/>
    <col min="4637" max="4637" width="6.73046875" style="256" customWidth="1"/>
    <col min="4638" max="4638" width="4" style="256" customWidth="1"/>
    <col min="4639" max="4639" width="7.265625" style="256" customWidth="1"/>
    <col min="4640" max="4640" width="4" style="256" customWidth="1"/>
    <col min="4641" max="4641" width="13" style="256" customWidth="1"/>
    <col min="4642" max="4642" width="7.73046875" style="256" customWidth="1"/>
    <col min="4643" max="4643" width="5.59765625" style="256" customWidth="1"/>
    <col min="4644" max="4644" width="5.73046875" style="256" customWidth="1"/>
    <col min="4645" max="4645" width="8.1328125" style="256" customWidth="1"/>
    <col min="4646" max="4647" width="7.59765625" style="256" customWidth="1"/>
    <col min="4648" max="4648" width="6.73046875" style="256" customWidth="1"/>
    <col min="4649" max="4649" width="4" style="256" customWidth="1"/>
    <col min="4650" max="4650" width="7.265625" style="256" customWidth="1"/>
    <col min="4651" max="4651" width="4" style="256" customWidth="1"/>
    <col min="4652" max="4652" width="13" style="256" customWidth="1"/>
    <col min="4653" max="4653" width="7.73046875" style="256" customWidth="1"/>
    <col min="4654" max="4654" width="5.59765625" style="256" customWidth="1"/>
    <col min="4655" max="4655" width="5.73046875" style="256" customWidth="1"/>
    <col min="4656" max="4656" width="8.1328125" style="256" customWidth="1"/>
    <col min="4657" max="4658" width="7.59765625" style="256" customWidth="1"/>
    <col min="4659" max="4659" width="6.73046875" style="256" customWidth="1"/>
    <col min="4660" max="4660" width="4" style="256" customWidth="1"/>
    <col min="4661" max="4661" width="7.265625" style="256" customWidth="1"/>
    <col min="4662" max="4662" width="4" style="256" customWidth="1"/>
    <col min="4663" max="4663" width="13" style="256" customWidth="1"/>
    <col min="4664" max="4664" width="7.73046875" style="256" customWidth="1"/>
    <col min="4665" max="4665" width="5.59765625" style="256" customWidth="1"/>
    <col min="4666" max="4666" width="5.73046875" style="256" customWidth="1"/>
    <col min="4667" max="4667" width="8.1328125" style="256" customWidth="1"/>
    <col min="4668" max="4669" width="7.59765625" style="256" customWidth="1"/>
    <col min="4670" max="4670" width="6.73046875" style="256" customWidth="1"/>
    <col min="4671" max="4671" width="4" style="256" customWidth="1"/>
    <col min="4672" max="4672" width="7.265625" style="256" customWidth="1"/>
    <col min="4673" max="4673" width="4.3984375" style="256" customWidth="1"/>
    <col min="4674" max="4674" width="13" style="256" customWidth="1"/>
    <col min="4675" max="4675" width="7.73046875" style="256" customWidth="1"/>
    <col min="4676" max="4676" width="5.59765625" style="256" customWidth="1"/>
    <col min="4677" max="4677" width="5.73046875" style="256" customWidth="1"/>
    <col min="4678" max="4678" width="8.1328125" style="256" customWidth="1"/>
    <col min="4679" max="4680" width="7.59765625" style="256" customWidth="1"/>
    <col min="4681" max="4681" width="6.73046875" style="256" customWidth="1"/>
    <col min="4682" max="4682" width="4" style="256" customWidth="1"/>
    <col min="4683" max="4683" width="7.265625" style="256" customWidth="1"/>
    <col min="4684" max="4684" width="4" style="256" customWidth="1"/>
    <col min="4685" max="4685" width="13" style="256" customWidth="1"/>
    <col min="4686" max="4686" width="7.73046875" style="256" customWidth="1"/>
    <col min="4687" max="4687" width="5.59765625" style="256" customWidth="1"/>
    <col min="4688" max="4688" width="5.73046875" style="256" customWidth="1"/>
    <col min="4689" max="4689" width="8.1328125" style="256" customWidth="1"/>
    <col min="4690" max="4691" width="7.59765625" style="256" customWidth="1"/>
    <col min="4692" max="4692" width="6.73046875" style="256" customWidth="1"/>
    <col min="4693" max="4693" width="4" style="256" customWidth="1"/>
    <col min="4694" max="4694" width="7.265625" style="256" customWidth="1"/>
    <col min="4695" max="4695" width="4" style="256" customWidth="1"/>
    <col min="4696" max="4696" width="13" style="256" customWidth="1"/>
    <col min="4697" max="4697" width="7.73046875" style="256" customWidth="1"/>
    <col min="4698" max="4698" width="5.59765625" style="256" customWidth="1"/>
    <col min="4699" max="4699" width="5.73046875" style="256" customWidth="1"/>
    <col min="4700" max="4700" width="8.1328125" style="256" customWidth="1"/>
    <col min="4701" max="4702" width="7.59765625" style="256" customWidth="1"/>
    <col min="4703" max="4703" width="6.73046875" style="256" customWidth="1"/>
    <col min="4704" max="4704" width="4" style="256" customWidth="1"/>
    <col min="4705" max="4705" width="7.265625" style="256" customWidth="1"/>
    <col min="4706" max="4706" width="4" style="256" customWidth="1"/>
    <col min="4707" max="4707" width="13" style="256" customWidth="1"/>
    <col min="4708" max="4708" width="7.73046875" style="256" customWidth="1"/>
    <col min="4709" max="4709" width="5.59765625" style="256" customWidth="1"/>
    <col min="4710" max="4710" width="5.73046875" style="256" customWidth="1"/>
    <col min="4711" max="4711" width="8.1328125" style="256" customWidth="1"/>
    <col min="4712" max="4713" width="7.59765625" style="256" customWidth="1"/>
    <col min="4714" max="4714" width="6.73046875" style="256" customWidth="1"/>
    <col min="4715" max="4715" width="4" style="256" customWidth="1"/>
    <col min="4716" max="4716" width="7.265625" style="256" customWidth="1"/>
    <col min="4717" max="4717" width="4" style="256" customWidth="1"/>
    <col min="4718" max="4718" width="13" style="256" customWidth="1"/>
    <col min="4719" max="4719" width="7.73046875" style="256" customWidth="1"/>
    <col min="4720" max="4720" width="5.59765625" style="256" customWidth="1"/>
    <col min="4721" max="4721" width="5.73046875" style="256" customWidth="1"/>
    <col min="4722" max="4722" width="8.1328125" style="256" customWidth="1"/>
    <col min="4723" max="4724" width="7.59765625" style="256" customWidth="1"/>
    <col min="4725" max="4725" width="6.73046875" style="256" customWidth="1"/>
    <col min="4726" max="4726" width="4" style="256" customWidth="1"/>
    <col min="4727" max="4727" width="7.265625" style="256" customWidth="1"/>
    <col min="4728" max="4728" width="4" style="256" customWidth="1"/>
    <col min="4729" max="4729" width="13" style="256" customWidth="1"/>
    <col min="4730" max="4730" width="7.73046875" style="256" customWidth="1"/>
    <col min="4731" max="4731" width="5.59765625" style="256" customWidth="1"/>
    <col min="4732" max="4732" width="5.73046875" style="256" customWidth="1"/>
    <col min="4733" max="4733" width="8.1328125" style="256" customWidth="1"/>
    <col min="4734" max="4735" width="7.59765625" style="256" customWidth="1"/>
    <col min="4736" max="4736" width="6.73046875" style="256" customWidth="1"/>
    <col min="4737" max="4737" width="4" style="256" customWidth="1"/>
    <col min="4738" max="4738" width="7.265625" style="256" customWidth="1"/>
    <col min="4739" max="4739" width="4" style="256" customWidth="1"/>
    <col min="4740" max="4740" width="13" style="256" customWidth="1"/>
    <col min="4741" max="4741" width="7.73046875" style="256" customWidth="1"/>
    <col min="4742" max="4742" width="5.59765625" style="256" customWidth="1"/>
    <col min="4743" max="4743" width="5.73046875" style="256" customWidth="1"/>
    <col min="4744" max="4744" width="8.1328125" style="256" customWidth="1"/>
    <col min="4745" max="4746" width="7.59765625" style="256" customWidth="1"/>
    <col min="4747" max="4747" width="6.73046875" style="256" customWidth="1"/>
    <col min="4748" max="4748" width="4" style="256" customWidth="1"/>
    <col min="4749" max="4749" width="7.265625" style="256" customWidth="1"/>
    <col min="4750" max="4750" width="4" style="256" customWidth="1"/>
    <col min="4751" max="4751" width="13" style="256" customWidth="1"/>
    <col min="4752" max="4752" width="7.73046875" style="256" customWidth="1"/>
    <col min="4753" max="4753" width="5.59765625" style="256" customWidth="1"/>
    <col min="4754" max="4755" width="9.1328125" style="256"/>
    <col min="4756" max="4756" width="6.59765625" style="256" customWidth="1"/>
    <col min="4757" max="4757" width="8.73046875" style="256" customWidth="1"/>
    <col min="4758" max="4758" width="7.3984375" style="256" customWidth="1"/>
    <col min="4759" max="4759" width="7.265625" style="256" customWidth="1"/>
    <col min="4760" max="4760" width="7.73046875" style="256" customWidth="1"/>
    <col min="4761" max="4761" width="4.3984375" style="256" customWidth="1"/>
    <col min="4762" max="4762" width="9.1328125" style="256"/>
    <col min="4763" max="4763" width="6" style="256" customWidth="1"/>
    <col min="4764" max="4764" width="12.265625" style="256" customWidth="1"/>
    <col min="4765" max="4765" width="8" style="256" customWidth="1"/>
    <col min="4766" max="4768" width="9.1328125" style="256"/>
    <col min="4769" max="4769" width="7.73046875" style="256" customWidth="1"/>
    <col min="4770" max="4770" width="8.265625" style="256" customWidth="1"/>
    <col min="4771" max="4771" width="7.1328125" style="256" customWidth="1"/>
    <col min="4772" max="4772" width="7.59765625" style="256" customWidth="1"/>
    <col min="4773" max="4773" width="7.3984375" style="256" customWidth="1"/>
    <col min="4774" max="4774" width="4.86328125" style="256" customWidth="1"/>
    <col min="4775" max="4775" width="9.1328125" style="256"/>
    <col min="4776" max="4776" width="5" style="256" customWidth="1"/>
    <col min="4777" max="4777" width="12.265625" style="256" customWidth="1"/>
    <col min="4778" max="4778" width="7.86328125" style="256" customWidth="1"/>
    <col min="4779" max="4781" width="9.1328125" style="256"/>
    <col min="4782" max="4782" width="7.265625" style="256" customWidth="1"/>
    <col min="4783" max="4783" width="8.1328125" style="256" customWidth="1"/>
    <col min="4784" max="4784" width="6.86328125" style="256" customWidth="1"/>
    <col min="4785" max="4785" width="8" style="256" customWidth="1"/>
    <col min="4786" max="4786" width="7.3984375" style="256" customWidth="1"/>
    <col min="4787" max="4787" width="4.59765625" style="256" customWidth="1"/>
    <col min="4788" max="4788" width="9.1328125" style="256"/>
    <col min="4789" max="4789" width="4.1328125" style="256" customWidth="1"/>
    <col min="4790" max="4790" width="12" style="256" customWidth="1"/>
    <col min="4791" max="4791" width="8.1328125" style="256" customWidth="1"/>
    <col min="4792" max="4794" width="9.1328125" style="256"/>
    <col min="4795" max="4795" width="5.3984375" style="256" customWidth="1"/>
    <col min="4796" max="4796" width="7.73046875" style="256" customWidth="1"/>
    <col min="4797" max="4797" width="5.1328125" style="256" customWidth="1"/>
    <col min="4798" max="4798" width="7.3984375" style="256" customWidth="1"/>
    <col min="4799" max="4799" width="7.1328125" style="256" customWidth="1"/>
    <col min="4800" max="4800" width="4.265625" style="256" customWidth="1"/>
    <col min="4801" max="4801" width="9.1328125" style="256"/>
    <col min="4802" max="4802" width="5.1328125" style="256" customWidth="1"/>
    <col min="4803" max="4803" width="12.265625" style="256" customWidth="1"/>
    <col min="4804" max="4804" width="7.73046875" style="256" customWidth="1"/>
    <col min="4805" max="4806" width="9.1328125" style="256"/>
    <col min="4807" max="4807" width="6.73046875" style="256" customWidth="1"/>
    <col min="4808" max="4808" width="7.59765625" style="256" customWidth="1"/>
    <col min="4809" max="4809" width="6.265625" style="256" customWidth="1"/>
    <col min="4810" max="4810" width="8.1328125" style="256" customWidth="1"/>
    <col min="4811" max="4811" width="7.1328125" style="256" customWidth="1"/>
    <col min="4812" max="4812" width="4.3984375" style="256" customWidth="1"/>
    <col min="4813" max="4813" width="9.1328125" style="256"/>
    <col min="4814" max="4814" width="3.86328125" style="256" customWidth="1"/>
    <col min="4815" max="4815" width="12.265625" style="256" customWidth="1"/>
    <col min="4816" max="4816" width="8.3984375" style="256" customWidth="1"/>
    <col min="4817" max="4818" width="9.1328125" style="256"/>
    <col min="4819" max="4819" width="8.1328125" style="256" customWidth="1"/>
    <col min="4820" max="4820" width="8.3984375" style="256" customWidth="1"/>
    <col min="4821" max="4821" width="7" style="256" customWidth="1"/>
    <col min="4822" max="4822" width="8.3984375" style="256" customWidth="1"/>
    <col min="4823" max="4823" width="9.1328125" style="256"/>
    <col min="4824" max="4824" width="6.1328125" style="256" customWidth="1"/>
    <col min="4825" max="4825" width="9.1328125" style="256"/>
    <col min="4826" max="4826" width="6.73046875" style="256" customWidth="1"/>
    <col min="4827" max="4843" width="9.1328125" style="256"/>
    <col min="4844" max="4844" width="5.59765625" style="256" customWidth="1"/>
    <col min="4845" max="4845" width="5.73046875" style="256" customWidth="1"/>
    <col min="4846" max="4846" width="8.1328125" style="256" customWidth="1"/>
    <col min="4847" max="4848" width="7.59765625" style="256" customWidth="1"/>
    <col min="4849" max="4849" width="6.73046875" style="256" customWidth="1"/>
    <col min="4850" max="4850" width="4" style="256" customWidth="1"/>
    <col min="4851" max="4851" width="7.265625" style="256" customWidth="1"/>
    <col min="4852" max="4852" width="4" style="256" customWidth="1"/>
    <col min="4853" max="4853" width="13" style="256" customWidth="1"/>
    <col min="4854" max="4854" width="8" style="256" customWidth="1"/>
    <col min="4855" max="4855" width="5.59765625" style="256" customWidth="1"/>
    <col min="4856" max="4856" width="5.73046875" style="256" customWidth="1"/>
    <col min="4857" max="4857" width="8.1328125" style="256" customWidth="1"/>
    <col min="4858" max="4859" width="7.59765625" style="256" customWidth="1"/>
    <col min="4860" max="4860" width="6.73046875" style="256" customWidth="1"/>
    <col min="4861" max="4861" width="4" style="256" customWidth="1"/>
    <col min="4862" max="4862" width="7.265625" style="256" customWidth="1"/>
    <col min="4863" max="4863" width="4" style="256" customWidth="1"/>
    <col min="4864" max="4864" width="13" style="256" customWidth="1"/>
    <col min="4865" max="4865" width="7.73046875" style="256" customWidth="1"/>
    <col min="4866" max="4866" width="5.59765625" style="256" customWidth="1"/>
    <col min="4867" max="4867" width="5.73046875" style="256" customWidth="1"/>
    <col min="4868" max="4868" width="8.1328125" style="256" customWidth="1"/>
    <col min="4869" max="4870" width="7.59765625" style="256" customWidth="1"/>
    <col min="4871" max="4871" width="6.73046875" style="256" customWidth="1"/>
    <col min="4872" max="4872" width="4" style="256" customWidth="1"/>
    <col min="4873" max="4873" width="7.265625" style="256" customWidth="1"/>
    <col min="4874" max="4874" width="4" style="256" customWidth="1"/>
    <col min="4875" max="4875" width="13" style="256" customWidth="1"/>
    <col min="4876" max="4876" width="7.73046875" style="256" customWidth="1"/>
    <col min="4877" max="4877" width="5.59765625" style="256" customWidth="1"/>
    <col min="4878" max="4878" width="5.73046875" style="256" customWidth="1"/>
    <col min="4879" max="4879" width="8.1328125" style="256" customWidth="1"/>
    <col min="4880" max="4881" width="7.59765625" style="256" customWidth="1"/>
    <col min="4882" max="4882" width="6.73046875" style="256" customWidth="1"/>
    <col min="4883" max="4883" width="4" style="256" customWidth="1"/>
    <col min="4884" max="4884" width="7.265625" style="256" customWidth="1"/>
    <col min="4885" max="4885" width="4" style="256" customWidth="1"/>
    <col min="4886" max="4886" width="13" style="256" customWidth="1"/>
    <col min="4887" max="4887" width="7.73046875" style="256" customWidth="1"/>
    <col min="4888" max="4888" width="5.59765625" style="256" customWidth="1"/>
    <col min="4889" max="4889" width="5.73046875" style="256" customWidth="1"/>
    <col min="4890" max="4890" width="8.1328125" style="256" customWidth="1"/>
    <col min="4891" max="4892" width="7.59765625" style="256" customWidth="1"/>
    <col min="4893" max="4893" width="6.73046875" style="256" customWidth="1"/>
    <col min="4894" max="4894" width="4" style="256" customWidth="1"/>
    <col min="4895" max="4895" width="7.265625" style="256" customWidth="1"/>
    <col min="4896" max="4896" width="4" style="256" customWidth="1"/>
    <col min="4897" max="4897" width="13" style="256" customWidth="1"/>
    <col min="4898" max="4898" width="7.73046875" style="256" customWidth="1"/>
    <col min="4899" max="4899" width="5.59765625" style="256" customWidth="1"/>
    <col min="4900" max="4900" width="5.73046875" style="256" customWidth="1"/>
    <col min="4901" max="4901" width="8.1328125" style="256" customWidth="1"/>
    <col min="4902" max="4903" width="7.59765625" style="256" customWidth="1"/>
    <col min="4904" max="4904" width="6.73046875" style="256" customWidth="1"/>
    <col min="4905" max="4905" width="4" style="256" customWidth="1"/>
    <col min="4906" max="4906" width="7.265625" style="256" customWidth="1"/>
    <col min="4907" max="4907" width="4" style="256" customWidth="1"/>
    <col min="4908" max="4908" width="13" style="256" customWidth="1"/>
    <col min="4909" max="4909" width="7.73046875" style="256" customWidth="1"/>
    <col min="4910" max="4910" width="5.59765625" style="256" customWidth="1"/>
    <col min="4911" max="4911" width="5.73046875" style="256" customWidth="1"/>
    <col min="4912" max="4912" width="8.1328125" style="256" customWidth="1"/>
    <col min="4913" max="4914" width="7.59765625" style="256" customWidth="1"/>
    <col min="4915" max="4915" width="6.73046875" style="256" customWidth="1"/>
    <col min="4916" max="4916" width="4" style="256" customWidth="1"/>
    <col min="4917" max="4917" width="7.265625" style="256" customWidth="1"/>
    <col min="4918" max="4918" width="4" style="256" customWidth="1"/>
    <col min="4919" max="4919" width="13" style="256" customWidth="1"/>
    <col min="4920" max="4920" width="7.73046875" style="256" customWidth="1"/>
    <col min="4921" max="4921" width="5.59765625" style="256" customWidth="1"/>
    <col min="4922" max="4922" width="5.73046875" style="256" customWidth="1"/>
    <col min="4923" max="4923" width="8.1328125" style="256" customWidth="1"/>
    <col min="4924" max="4925" width="7.59765625" style="256" customWidth="1"/>
    <col min="4926" max="4926" width="6.73046875" style="256" customWidth="1"/>
    <col min="4927" max="4927" width="4" style="256" customWidth="1"/>
    <col min="4928" max="4928" width="7.265625" style="256" customWidth="1"/>
    <col min="4929" max="4929" width="4.3984375" style="256" customWidth="1"/>
    <col min="4930" max="4930" width="13" style="256" customWidth="1"/>
    <col min="4931" max="4931" width="7.73046875" style="256" customWidth="1"/>
    <col min="4932" max="4932" width="5.59765625" style="256" customWidth="1"/>
    <col min="4933" max="4933" width="5.73046875" style="256" customWidth="1"/>
    <col min="4934" max="4934" width="8.1328125" style="256" customWidth="1"/>
    <col min="4935" max="4936" width="7.59765625" style="256" customWidth="1"/>
    <col min="4937" max="4937" width="6.73046875" style="256" customWidth="1"/>
    <col min="4938" max="4938" width="4" style="256" customWidth="1"/>
    <col min="4939" max="4939" width="7.265625" style="256" customWidth="1"/>
    <col min="4940" max="4940" width="4" style="256" customWidth="1"/>
    <col min="4941" max="4941" width="13" style="256" customWidth="1"/>
    <col min="4942" max="4942" width="7.73046875" style="256" customWidth="1"/>
    <col min="4943" max="4943" width="5.59765625" style="256" customWidth="1"/>
    <col min="4944" max="4944" width="5.73046875" style="256" customWidth="1"/>
    <col min="4945" max="4945" width="8.1328125" style="256" customWidth="1"/>
    <col min="4946" max="4947" width="7.59765625" style="256" customWidth="1"/>
    <col min="4948" max="4948" width="6.73046875" style="256" customWidth="1"/>
    <col min="4949" max="4949" width="4" style="256" customWidth="1"/>
    <col min="4950" max="4950" width="7.265625" style="256" customWidth="1"/>
    <col min="4951" max="4951" width="4" style="256" customWidth="1"/>
    <col min="4952" max="4952" width="13" style="256" customWidth="1"/>
    <col min="4953" max="4953" width="7.73046875" style="256" customWidth="1"/>
    <col min="4954" max="4954" width="5.59765625" style="256" customWidth="1"/>
    <col min="4955" max="4955" width="5.73046875" style="256" customWidth="1"/>
    <col min="4956" max="4956" width="8.1328125" style="256" customWidth="1"/>
    <col min="4957" max="4958" width="7.59765625" style="256" customWidth="1"/>
    <col min="4959" max="4959" width="6.73046875" style="256" customWidth="1"/>
    <col min="4960" max="4960" width="4" style="256" customWidth="1"/>
    <col min="4961" max="4961" width="7.265625" style="256" customWidth="1"/>
    <col min="4962" max="4962" width="4" style="256" customWidth="1"/>
    <col min="4963" max="4963" width="13" style="256" customWidth="1"/>
    <col min="4964" max="4964" width="7.73046875" style="256" customWidth="1"/>
    <col min="4965" max="4965" width="5.59765625" style="256" customWidth="1"/>
    <col min="4966" max="4966" width="5.73046875" style="256" customWidth="1"/>
    <col min="4967" max="4967" width="8.1328125" style="256" customWidth="1"/>
    <col min="4968" max="4969" width="7.59765625" style="256" customWidth="1"/>
    <col min="4970" max="4970" width="6.73046875" style="256" customWidth="1"/>
    <col min="4971" max="4971" width="4" style="256" customWidth="1"/>
    <col min="4972" max="4972" width="7.265625" style="256" customWidth="1"/>
    <col min="4973" max="4973" width="4" style="256" customWidth="1"/>
    <col min="4974" max="4974" width="13" style="256" customWidth="1"/>
    <col min="4975" max="4975" width="7.73046875" style="256" customWidth="1"/>
    <col min="4976" max="4976" width="5.59765625" style="256" customWidth="1"/>
    <col min="4977" max="4977" width="5.73046875" style="256" customWidth="1"/>
    <col min="4978" max="4978" width="8.1328125" style="256" customWidth="1"/>
    <col min="4979" max="4980" width="7.59765625" style="256" customWidth="1"/>
    <col min="4981" max="4981" width="6.73046875" style="256" customWidth="1"/>
    <col min="4982" max="4982" width="4" style="256" customWidth="1"/>
    <col min="4983" max="4983" width="7.265625" style="256" customWidth="1"/>
    <col min="4984" max="4984" width="4" style="256" customWidth="1"/>
    <col min="4985" max="4985" width="13" style="256" customWidth="1"/>
    <col min="4986" max="4986" width="7.73046875" style="256" customWidth="1"/>
    <col min="4987" max="4987" width="5.59765625" style="256" customWidth="1"/>
    <col min="4988" max="4988" width="5.73046875" style="256" customWidth="1"/>
    <col min="4989" max="4989" width="8.1328125" style="256" customWidth="1"/>
    <col min="4990" max="4991" width="7.59765625" style="256" customWidth="1"/>
    <col min="4992" max="4992" width="6.73046875" style="256" customWidth="1"/>
    <col min="4993" max="4993" width="4" style="256" customWidth="1"/>
    <col min="4994" max="4994" width="7.265625" style="256" customWidth="1"/>
    <col min="4995" max="4995" width="4" style="256" customWidth="1"/>
    <col min="4996" max="4996" width="13" style="256" customWidth="1"/>
    <col min="4997" max="4997" width="7.73046875" style="256" customWidth="1"/>
    <col min="4998" max="4998" width="5.59765625" style="256" customWidth="1"/>
    <col min="4999" max="4999" width="5.73046875" style="256" customWidth="1"/>
    <col min="5000" max="5000" width="8.1328125" style="256" customWidth="1"/>
    <col min="5001" max="5002" width="7.59765625" style="256" customWidth="1"/>
    <col min="5003" max="5003" width="6.73046875" style="256" customWidth="1"/>
    <col min="5004" max="5004" width="4" style="256" customWidth="1"/>
    <col min="5005" max="5005" width="7.265625" style="256" customWidth="1"/>
    <col min="5006" max="5006" width="4" style="256" customWidth="1"/>
    <col min="5007" max="5007" width="13" style="256" customWidth="1"/>
    <col min="5008" max="5008" width="7.73046875" style="256" customWidth="1"/>
    <col min="5009" max="5009" width="5.59765625" style="256" customWidth="1"/>
    <col min="5010" max="5011" width="9.1328125" style="256"/>
    <col min="5012" max="5012" width="6.59765625" style="256" customWidth="1"/>
    <col min="5013" max="5013" width="8.73046875" style="256" customWidth="1"/>
    <col min="5014" max="5014" width="7.3984375" style="256" customWidth="1"/>
    <col min="5015" max="5015" width="7.265625" style="256" customWidth="1"/>
    <col min="5016" max="5016" width="7.73046875" style="256" customWidth="1"/>
    <col min="5017" max="5017" width="4.3984375" style="256" customWidth="1"/>
    <col min="5018" max="5018" width="9.1328125" style="256"/>
    <col min="5019" max="5019" width="6" style="256" customWidth="1"/>
    <col min="5020" max="5020" width="12.265625" style="256" customWidth="1"/>
    <col min="5021" max="5021" width="8" style="256" customWidth="1"/>
    <col min="5022" max="5024" width="9.1328125" style="256"/>
    <col min="5025" max="5025" width="7.73046875" style="256" customWidth="1"/>
    <col min="5026" max="5026" width="8.265625" style="256" customWidth="1"/>
    <col min="5027" max="5027" width="7.1328125" style="256" customWidth="1"/>
    <col min="5028" max="5028" width="7.59765625" style="256" customWidth="1"/>
    <col min="5029" max="5029" width="7.3984375" style="256" customWidth="1"/>
    <col min="5030" max="5030" width="4.86328125" style="256" customWidth="1"/>
    <col min="5031" max="5031" width="9.1328125" style="256"/>
    <col min="5032" max="5032" width="5" style="256" customWidth="1"/>
    <col min="5033" max="5033" width="12.265625" style="256" customWidth="1"/>
    <col min="5034" max="5034" width="7.86328125" style="256" customWidth="1"/>
    <col min="5035" max="5037" width="9.1328125" style="256"/>
    <col min="5038" max="5038" width="7.265625" style="256" customWidth="1"/>
    <col min="5039" max="5039" width="8.1328125" style="256" customWidth="1"/>
    <col min="5040" max="5040" width="6.86328125" style="256" customWidth="1"/>
    <col min="5041" max="5041" width="8" style="256" customWidth="1"/>
    <col min="5042" max="5042" width="7.3984375" style="256" customWidth="1"/>
    <col min="5043" max="5043" width="4.59765625" style="256" customWidth="1"/>
    <col min="5044" max="5044" width="9.1328125" style="256"/>
    <col min="5045" max="5045" width="4.1328125" style="256" customWidth="1"/>
    <col min="5046" max="5046" width="12" style="256" customWidth="1"/>
    <col min="5047" max="5047" width="8.1328125" style="256" customWidth="1"/>
    <col min="5048" max="5050" width="9.1328125" style="256"/>
    <col min="5051" max="5051" width="5.3984375" style="256" customWidth="1"/>
    <col min="5052" max="5052" width="7.73046875" style="256" customWidth="1"/>
    <col min="5053" max="5053" width="5.1328125" style="256" customWidth="1"/>
    <col min="5054" max="5054" width="7.3984375" style="256" customWidth="1"/>
    <col min="5055" max="5055" width="7.1328125" style="256" customWidth="1"/>
    <col min="5056" max="5056" width="4.265625" style="256" customWidth="1"/>
    <col min="5057" max="5057" width="9.1328125" style="256"/>
    <col min="5058" max="5058" width="5.1328125" style="256" customWidth="1"/>
    <col min="5059" max="5059" width="12.265625" style="256" customWidth="1"/>
    <col min="5060" max="5060" width="7.73046875" style="256" customWidth="1"/>
    <col min="5061" max="5062" width="9.1328125" style="256"/>
    <col min="5063" max="5063" width="6.73046875" style="256" customWidth="1"/>
    <col min="5064" max="5064" width="7.59765625" style="256" customWidth="1"/>
    <col min="5065" max="5065" width="6.265625" style="256" customWidth="1"/>
    <col min="5066" max="5066" width="8.1328125" style="256" customWidth="1"/>
    <col min="5067" max="5067" width="7.1328125" style="256" customWidth="1"/>
    <col min="5068" max="5068" width="4.3984375" style="256" customWidth="1"/>
    <col min="5069" max="5069" width="9.1328125" style="256"/>
    <col min="5070" max="5070" width="3.86328125" style="256" customWidth="1"/>
    <col min="5071" max="5071" width="12.265625" style="256" customWidth="1"/>
    <col min="5072" max="5072" width="8.3984375" style="256" customWidth="1"/>
    <col min="5073" max="5074" width="9.1328125" style="256"/>
    <col min="5075" max="5075" width="8.1328125" style="256" customWidth="1"/>
    <col min="5076" max="5076" width="8.3984375" style="256" customWidth="1"/>
    <col min="5077" max="5077" width="7" style="256" customWidth="1"/>
    <col min="5078" max="5078" width="8.3984375" style="256" customWidth="1"/>
    <col min="5079" max="5079" width="9.1328125" style="256"/>
    <col min="5080" max="5080" width="6.1328125" style="256" customWidth="1"/>
    <col min="5081" max="5081" width="9.1328125" style="256"/>
    <col min="5082" max="5082" width="6.73046875" style="256" customWidth="1"/>
    <col min="5083" max="5099" width="9.1328125" style="256"/>
    <col min="5100" max="5100" width="5.59765625" style="256" customWidth="1"/>
    <col min="5101" max="5101" width="5.73046875" style="256" customWidth="1"/>
    <col min="5102" max="5102" width="8.1328125" style="256" customWidth="1"/>
    <col min="5103" max="5104" width="7.59765625" style="256" customWidth="1"/>
    <col min="5105" max="5105" width="6.73046875" style="256" customWidth="1"/>
    <col min="5106" max="5106" width="4" style="256" customWidth="1"/>
    <col min="5107" max="5107" width="7.265625" style="256" customWidth="1"/>
    <col min="5108" max="5108" width="4" style="256" customWidth="1"/>
    <col min="5109" max="5109" width="13" style="256" customWidth="1"/>
    <col min="5110" max="5110" width="8" style="256" customWidth="1"/>
    <col min="5111" max="5111" width="5.59765625" style="256" customWidth="1"/>
    <col min="5112" max="5112" width="5.73046875" style="256" customWidth="1"/>
    <col min="5113" max="5113" width="8.1328125" style="256" customWidth="1"/>
    <col min="5114" max="5115" width="7.59765625" style="256" customWidth="1"/>
    <col min="5116" max="5116" width="6.73046875" style="256" customWidth="1"/>
    <col min="5117" max="5117" width="4" style="256" customWidth="1"/>
    <col min="5118" max="5118" width="7.265625" style="256" customWidth="1"/>
    <col min="5119" max="5119" width="4" style="256" customWidth="1"/>
    <col min="5120" max="5120" width="13" style="256" customWidth="1"/>
    <col min="5121" max="5121" width="7.73046875" style="256" customWidth="1"/>
    <col min="5122" max="5122" width="5.59765625" style="256" customWidth="1"/>
    <col min="5123" max="5123" width="5.73046875" style="256" customWidth="1"/>
    <col min="5124" max="5124" width="8.1328125" style="256" customWidth="1"/>
    <col min="5125" max="5126" width="7.59765625" style="256" customWidth="1"/>
    <col min="5127" max="5127" width="6.73046875" style="256" customWidth="1"/>
    <col min="5128" max="5128" width="4" style="256" customWidth="1"/>
    <col min="5129" max="5129" width="7.265625" style="256" customWidth="1"/>
    <col min="5130" max="5130" width="4" style="256" customWidth="1"/>
    <col min="5131" max="5131" width="13" style="256" customWidth="1"/>
    <col min="5132" max="5132" width="7.73046875" style="256" customWidth="1"/>
    <col min="5133" max="5133" width="5.59765625" style="256" customWidth="1"/>
    <col min="5134" max="5134" width="5.73046875" style="256" customWidth="1"/>
    <col min="5135" max="5135" width="8.1328125" style="256" customWidth="1"/>
    <col min="5136" max="5137" width="7.59765625" style="256" customWidth="1"/>
    <col min="5138" max="5138" width="6.73046875" style="256" customWidth="1"/>
    <col min="5139" max="5139" width="4" style="256" customWidth="1"/>
    <col min="5140" max="5140" width="7.265625" style="256" customWidth="1"/>
    <col min="5141" max="5141" width="4" style="256" customWidth="1"/>
    <col min="5142" max="5142" width="13" style="256" customWidth="1"/>
    <col min="5143" max="5143" width="7.73046875" style="256" customWidth="1"/>
    <col min="5144" max="5144" width="5.59765625" style="256" customWidth="1"/>
    <col min="5145" max="5145" width="5.73046875" style="256" customWidth="1"/>
    <col min="5146" max="5146" width="8.1328125" style="256" customWidth="1"/>
    <col min="5147" max="5148" width="7.59765625" style="256" customWidth="1"/>
    <col min="5149" max="5149" width="6.73046875" style="256" customWidth="1"/>
    <col min="5150" max="5150" width="4" style="256" customWidth="1"/>
    <col min="5151" max="5151" width="7.265625" style="256" customWidth="1"/>
    <col min="5152" max="5152" width="4" style="256" customWidth="1"/>
    <col min="5153" max="5153" width="13" style="256" customWidth="1"/>
    <col min="5154" max="5154" width="7.73046875" style="256" customWidth="1"/>
    <col min="5155" max="5155" width="5.59765625" style="256" customWidth="1"/>
    <col min="5156" max="5156" width="5.73046875" style="256" customWidth="1"/>
    <col min="5157" max="5157" width="8.1328125" style="256" customWidth="1"/>
    <col min="5158" max="5159" width="7.59765625" style="256" customWidth="1"/>
    <col min="5160" max="5160" width="6.73046875" style="256" customWidth="1"/>
    <col min="5161" max="5161" width="4" style="256" customWidth="1"/>
    <col min="5162" max="5162" width="7.265625" style="256" customWidth="1"/>
    <col min="5163" max="5163" width="4" style="256" customWidth="1"/>
    <col min="5164" max="5164" width="13" style="256" customWidth="1"/>
    <col min="5165" max="5165" width="7.73046875" style="256" customWidth="1"/>
    <col min="5166" max="5166" width="5.59765625" style="256" customWidth="1"/>
    <col min="5167" max="5167" width="5.73046875" style="256" customWidth="1"/>
    <col min="5168" max="5168" width="8.1328125" style="256" customWidth="1"/>
    <col min="5169" max="5170" width="7.59765625" style="256" customWidth="1"/>
    <col min="5171" max="5171" width="6.73046875" style="256" customWidth="1"/>
    <col min="5172" max="5172" width="4" style="256" customWidth="1"/>
    <col min="5173" max="5173" width="7.265625" style="256" customWidth="1"/>
    <col min="5174" max="5174" width="4" style="256" customWidth="1"/>
    <col min="5175" max="5175" width="13" style="256" customWidth="1"/>
    <col min="5176" max="5176" width="7.73046875" style="256" customWidth="1"/>
    <col min="5177" max="5177" width="5.59765625" style="256" customWidth="1"/>
    <col min="5178" max="5178" width="5.73046875" style="256" customWidth="1"/>
    <col min="5179" max="5179" width="8.1328125" style="256" customWidth="1"/>
    <col min="5180" max="5181" width="7.59765625" style="256" customWidth="1"/>
    <col min="5182" max="5182" width="6.73046875" style="256" customWidth="1"/>
    <col min="5183" max="5183" width="4" style="256" customWidth="1"/>
    <col min="5184" max="5184" width="7.265625" style="256" customWidth="1"/>
    <col min="5185" max="5185" width="4.3984375" style="256" customWidth="1"/>
    <col min="5186" max="5186" width="13" style="256" customWidth="1"/>
    <col min="5187" max="5187" width="7.73046875" style="256" customWidth="1"/>
    <col min="5188" max="5188" width="5.59765625" style="256" customWidth="1"/>
    <col min="5189" max="5189" width="5.73046875" style="256" customWidth="1"/>
    <col min="5190" max="5190" width="8.1328125" style="256" customWidth="1"/>
    <col min="5191" max="5192" width="7.59765625" style="256" customWidth="1"/>
    <col min="5193" max="5193" width="6.73046875" style="256" customWidth="1"/>
    <col min="5194" max="5194" width="4" style="256" customWidth="1"/>
    <col min="5195" max="5195" width="7.265625" style="256" customWidth="1"/>
    <col min="5196" max="5196" width="4" style="256" customWidth="1"/>
    <col min="5197" max="5197" width="13" style="256" customWidth="1"/>
    <col min="5198" max="5198" width="7.73046875" style="256" customWidth="1"/>
    <col min="5199" max="5199" width="5.59765625" style="256" customWidth="1"/>
    <col min="5200" max="5200" width="5.73046875" style="256" customWidth="1"/>
    <col min="5201" max="5201" width="8.1328125" style="256" customWidth="1"/>
    <col min="5202" max="5203" width="7.59765625" style="256" customWidth="1"/>
    <col min="5204" max="5204" width="6.73046875" style="256" customWidth="1"/>
    <col min="5205" max="5205" width="4" style="256" customWidth="1"/>
    <col min="5206" max="5206" width="7.265625" style="256" customWidth="1"/>
    <col min="5207" max="5207" width="4" style="256" customWidth="1"/>
    <col min="5208" max="5208" width="13" style="256" customWidth="1"/>
    <col min="5209" max="5209" width="7.73046875" style="256" customWidth="1"/>
    <col min="5210" max="5210" width="5.59765625" style="256" customWidth="1"/>
    <col min="5211" max="5211" width="5.73046875" style="256" customWidth="1"/>
    <col min="5212" max="5212" width="8.1328125" style="256" customWidth="1"/>
    <col min="5213" max="5214" width="7.59765625" style="256" customWidth="1"/>
    <col min="5215" max="5215" width="6.73046875" style="256" customWidth="1"/>
    <col min="5216" max="5216" width="4" style="256" customWidth="1"/>
    <col min="5217" max="5217" width="7.265625" style="256" customWidth="1"/>
    <col min="5218" max="5218" width="4" style="256" customWidth="1"/>
    <col min="5219" max="5219" width="13" style="256" customWidth="1"/>
    <col min="5220" max="5220" width="7.73046875" style="256" customWidth="1"/>
    <col min="5221" max="5221" width="5.59765625" style="256" customWidth="1"/>
    <col min="5222" max="5222" width="5.73046875" style="256" customWidth="1"/>
    <col min="5223" max="5223" width="8.1328125" style="256" customWidth="1"/>
    <col min="5224" max="5225" width="7.59765625" style="256" customWidth="1"/>
    <col min="5226" max="5226" width="6.73046875" style="256" customWidth="1"/>
    <col min="5227" max="5227" width="4" style="256" customWidth="1"/>
    <col min="5228" max="5228" width="7.265625" style="256" customWidth="1"/>
    <col min="5229" max="5229" width="4" style="256" customWidth="1"/>
    <col min="5230" max="5230" width="13" style="256" customWidth="1"/>
    <col min="5231" max="5231" width="7.73046875" style="256" customWidth="1"/>
    <col min="5232" max="5232" width="5.59765625" style="256" customWidth="1"/>
    <col min="5233" max="5233" width="5.73046875" style="256" customWidth="1"/>
    <col min="5234" max="5234" width="8.1328125" style="256" customWidth="1"/>
    <col min="5235" max="5236" width="7.59765625" style="256" customWidth="1"/>
    <col min="5237" max="5237" width="6.73046875" style="256" customWidth="1"/>
    <col min="5238" max="5238" width="4" style="256" customWidth="1"/>
    <col min="5239" max="5239" width="7.265625" style="256" customWidth="1"/>
    <col min="5240" max="5240" width="4" style="256" customWidth="1"/>
    <col min="5241" max="5241" width="13" style="256" customWidth="1"/>
    <col min="5242" max="5242" width="7.73046875" style="256" customWidth="1"/>
    <col min="5243" max="5243" width="5.59765625" style="256" customWidth="1"/>
    <col min="5244" max="5244" width="5.73046875" style="256" customWidth="1"/>
    <col min="5245" max="5245" width="8.1328125" style="256" customWidth="1"/>
    <col min="5246" max="5247" width="7.59765625" style="256" customWidth="1"/>
    <col min="5248" max="5248" width="6.73046875" style="256" customWidth="1"/>
    <col min="5249" max="5249" width="4" style="256" customWidth="1"/>
    <col min="5250" max="5250" width="7.265625" style="256" customWidth="1"/>
    <col min="5251" max="5251" width="4" style="256" customWidth="1"/>
    <col min="5252" max="5252" width="13" style="256" customWidth="1"/>
    <col min="5253" max="5253" width="7.73046875" style="256" customWidth="1"/>
    <col min="5254" max="5254" width="5.59765625" style="256" customWidth="1"/>
    <col min="5255" max="5255" width="5.73046875" style="256" customWidth="1"/>
    <col min="5256" max="5256" width="8.1328125" style="256" customWidth="1"/>
    <col min="5257" max="5258" width="7.59765625" style="256" customWidth="1"/>
    <col min="5259" max="5259" width="6.73046875" style="256" customWidth="1"/>
    <col min="5260" max="5260" width="4" style="256" customWidth="1"/>
    <col min="5261" max="5261" width="7.265625" style="256" customWidth="1"/>
    <col min="5262" max="5262" width="4" style="256" customWidth="1"/>
    <col min="5263" max="5263" width="13" style="256" customWidth="1"/>
    <col min="5264" max="5264" width="7.73046875" style="256" customWidth="1"/>
    <col min="5265" max="5265" width="5.59765625" style="256" customWidth="1"/>
    <col min="5266" max="5267" width="9.1328125" style="256"/>
    <col min="5268" max="5268" width="6.59765625" style="256" customWidth="1"/>
    <col min="5269" max="5269" width="8.73046875" style="256" customWidth="1"/>
    <col min="5270" max="5270" width="7.3984375" style="256" customWidth="1"/>
    <col min="5271" max="5271" width="7.265625" style="256" customWidth="1"/>
    <col min="5272" max="5272" width="7.73046875" style="256" customWidth="1"/>
    <col min="5273" max="5273" width="4.3984375" style="256" customWidth="1"/>
    <col min="5274" max="5274" width="9.1328125" style="256"/>
    <col min="5275" max="5275" width="6" style="256" customWidth="1"/>
    <col min="5276" max="5276" width="12.265625" style="256" customWidth="1"/>
    <col min="5277" max="5277" width="8" style="256" customWidth="1"/>
    <col min="5278" max="5280" width="9.1328125" style="256"/>
    <col min="5281" max="5281" width="7.73046875" style="256" customWidth="1"/>
    <col min="5282" max="5282" width="8.265625" style="256" customWidth="1"/>
    <col min="5283" max="5283" width="7.1328125" style="256" customWidth="1"/>
    <col min="5284" max="5284" width="7.59765625" style="256" customWidth="1"/>
    <col min="5285" max="5285" width="7.3984375" style="256" customWidth="1"/>
    <col min="5286" max="5286" width="4.86328125" style="256" customWidth="1"/>
    <col min="5287" max="5287" width="9.1328125" style="256"/>
    <col min="5288" max="5288" width="5" style="256" customWidth="1"/>
    <col min="5289" max="5289" width="12.265625" style="256" customWidth="1"/>
    <col min="5290" max="5290" width="7.86328125" style="256" customWidth="1"/>
    <col min="5291" max="5293" width="9.1328125" style="256"/>
    <col min="5294" max="5294" width="7.265625" style="256" customWidth="1"/>
    <col min="5295" max="5295" width="8.1328125" style="256" customWidth="1"/>
    <col min="5296" max="5296" width="6.86328125" style="256" customWidth="1"/>
    <col min="5297" max="5297" width="8" style="256" customWidth="1"/>
    <col min="5298" max="5298" width="7.3984375" style="256" customWidth="1"/>
    <col min="5299" max="5299" width="4.59765625" style="256" customWidth="1"/>
    <col min="5300" max="5300" width="9.1328125" style="256"/>
    <col min="5301" max="5301" width="4.1328125" style="256" customWidth="1"/>
    <col min="5302" max="5302" width="12" style="256" customWidth="1"/>
    <col min="5303" max="5303" width="8.1328125" style="256" customWidth="1"/>
    <col min="5304" max="5306" width="9.1328125" style="256"/>
    <col min="5307" max="5307" width="5.3984375" style="256" customWidth="1"/>
    <col min="5308" max="5308" width="7.73046875" style="256" customWidth="1"/>
    <col min="5309" max="5309" width="5.1328125" style="256" customWidth="1"/>
    <col min="5310" max="5310" width="7.3984375" style="256" customWidth="1"/>
    <col min="5311" max="5311" width="7.1328125" style="256" customWidth="1"/>
    <col min="5312" max="5312" width="4.265625" style="256" customWidth="1"/>
    <col min="5313" max="5313" width="9.1328125" style="256"/>
    <col min="5314" max="5314" width="5.1328125" style="256" customWidth="1"/>
    <col min="5315" max="5315" width="12.265625" style="256" customWidth="1"/>
    <col min="5316" max="5316" width="7.73046875" style="256" customWidth="1"/>
    <col min="5317" max="5318" width="9.1328125" style="256"/>
    <col min="5319" max="5319" width="6.73046875" style="256" customWidth="1"/>
    <col min="5320" max="5320" width="7.59765625" style="256" customWidth="1"/>
    <col min="5321" max="5321" width="6.265625" style="256" customWidth="1"/>
    <col min="5322" max="5322" width="8.1328125" style="256" customWidth="1"/>
    <col min="5323" max="5323" width="7.1328125" style="256" customWidth="1"/>
    <col min="5324" max="5324" width="4.3984375" style="256" customWidth="1"/>
    <col min="5325" max="5325" width="9.1328125" style="256"/>
    <col min="5326" max="5326" width="3.86328125" style="256" customWidth="1"/>
    <col min="5327" max="5327" width="12.265625" style="256" customWidth="1"/>
    <col min="5328" max="5328" width="8.3984375" style="256" customWidth="1"/>
    <col min="5329" max="5330" width="9.1328125" style="256"/>
    <col min="5331" max="5331" width="8.1328125" style="256" customWidth="1"/>
    <col min="5332" max="5332" width="8.3984375" style="256" customWidth="1"/>
    <col min="5333" max="5333" width="7" style="256" customWidth="1"/>
    <col min="5334" max="5334" width="8.3984375" style="256" customWidth="1"/>
    <col min="5335" max="5335" width="9.1328125" style="256"/>
    <col min="5336" max="5336" width="6.1328125" style="256" customWidth="1"/>
    <col min="5337" max="5337" width="9.1328125" style="256"/>
    <col min="5338" max="5338" width="6.73046875" style="256" customWidth="1"/>
    <col min="5339" max="5355" width="9.1328125" style="256"/>
    <col min="5356" max="5356" width="5.59765625" style="256" customWidth="1"/>
    <col min="5357" max="5357" width="5.73046875" style="256" customWidth="1"/>
    <col min="5358" max="5358" width="8.1328125" style="256" customWidth="1"/>
    <col min="5359" max="5360" width="7.59765625" style="256" customWidth="1"/>
    <col min="5361" max="5361" width="6.73046875" style="256" customWidth="1"/>
    <col min="5362" max="5362" width="4" style="256" customWidth="1"/>
    <col min="5363" max="5363" width="7.265625" style="256" customWidth="1"/>
    <col min="5364" max="5364" width="4" style="256" customWidth="1"/>
    <col min="5365" max="5365" width="13" style="256" customWidth="1"/>
    <col min="5366" max="5366" width="8" style="256" customWidth="1"/>
    <col min="5367" max="5367" width="5.59765625" style="256" customWidth="1"/>
    <col min="5368" max="5368" width="5.73046875" style="256" customWidth="1"/>
    <col min="5369" max="5369" width="8.1328125" style="256" customWidth="1"/>
    <col min="5370" max="5371" width="7.59765625" style="256" customWidth="1"/>
    <col min="5372" max="5372" width="6.73046875" style="256" customWidth="1"/>
    <col min="5373" max="5373" width="4" style="256" customWidth="1"/>
    <col min="5374" max="5374" width="7.265625" style="256" customWidth="1"/>
    <col min="5375" max="5375" width="4" style="256" customWidth="1"/>
    <col min="5376" max="5376" width="13" style="256" customWidth="1"/>
    <col min="5377" max="5377" width="7.73046875" style="256" customWidth="1"/>
    <col min="5378" max="5378" width="5.59765625" style="256" customWidth="1"/>
    <col min="5379" max="5379" width="5.73046875" style="256" customWidth="1"/>
    <col min="5380" max="5380" width="8.1328125" style="256" customWidth="1"/>
    <col min="5381" max="5382" width="7.59765625" style="256" customWidth="1"/>
    <col min="5383" max="5383" width="6.73046875" style="256" customWidth="1"/>
    <col min="5384" max="5384" width="4" style="256" customWidth="1"/>
    <col min="5385" max="5385" width="7.265625" style="256" customWidth="1"/>
    <col min="5386" max="5386" width="4" style="256" customWidth="1"/>
    <col min="5387" max="5387" width="13" style="256" customWidth="1"/>
    <col min="5388" max="5388" width="7.73046875" style="256" customWidth="1"/>
    <col min="5389" max="5389" width="5.59765625" style="256" customWidth="1"/>
    <col min="5390" max="5390" width="5.73046875" style="256" customWidth="1"/>
    <col min="5391" max="5391" width="8.1328125" style="256" customWidth="1"/>
    <col min="5392" max="5393" width="7.59765625" style="256" customWidth="1"/>
    <col min="5394" max="5394" width="6.73046875" style="256" customWidth="1"/>
    <col min="5395" max="5395" width="4" style="256" customWidth="1"/>
    <col min="5396" max="5396" width="7.265625" style="256" customWidth="1"/>
    <col min="5397" max="5397" width="4" style="256" customWidth="1"/>
    <col min="5398" max="5398" width="13" style="256" customWidth="1"/>
    <col min="5399" max="5399" width="7.73046875" style="256" customWidth="1"/>
    <col min="5400" max="5400" width="5.59765625" style="256" customWidth="1"/>
    <col min="5401" max="5401" width="5.73046875" style="256" customWidth="1"/>
    <col min="5402" max="5402" width="8.1328125" style="256" customWidth="1"/>
    <col min="5403" max="5404" width="7.59765625" style="256" customWidth="1"/>
    <col min="5405" max="5405" width="6.73046875" style="256" customWidth="1"/>
    <col min="5406" max="5406" width="4" style="256" customWidth="1"/>
    <col min="5407" max="5407" width="7.265625" style="256" customWidth="1"/>
    <col min="5408" max="5408" width="4" style="256" customWidth="1"/>
    <col min="5409" max="5409" width="13" style="256" customWidth="1"/>
    <col min="5410" max="5410" width="7.73046875" style="256" customWidth="1"/>
    <col min="5411" max="5411" width="5.59765625" style="256" customWidth="1"/>
    <col min="5412" max="5412" width="5.73046875" style="256" customWidth="1"/>
    <col min="5413" max="5413" width="8.1328125" style="256" customWidth="1"/>
    <col min="5414" max="5415" width="7.59765625" style="256" customWidth="1"/>
    <col min="5416" max="5416" width="6.73046875" style="256" customWidth="1"/>
    <col min="5417" max="5417" width="4" style="256" customWidth="1"/>
    <col min="5418" max="5418" width="7.265625" style="256" customWidth="1"/>
    <col min="5419" max="5419" width="4" style="256" customWidth="1"/>
    <col min="5420" max="5420" width="13" style="256" customWidth="1"/>
    <col min="5421" max="5421" width="7.73046875" style="256" customWidth="1"/>
    <col min="5422" max="5422" width="5.59765625" style="256" customWidth="1"/>
    <col min="5423" max="5423" width="5.73046875" style="256" customWidth="1"/>
    <col min="5424" max="5424" width="8.1328125" style="256" customWidth="1"/>
    <col min="5425" max="5426" width="7.59765625" style="256" customWidth="1"/>
    <col min="5427" max="5427" width="6.73046875" style="256" customWidth="1"/>
    <col min="5428" max="5428" width="4" style="256" customWidth="1"/>
    <col min="5429" max="5429" width="7.265625" style="256" customWidth="1"/>
    <col min="5430" max="5430" width="4" style="256" customWidth="1"/>
    <col min="5431" max="5431" width="13" style="256" customWidth="1"/>
    <col min="5432" max="5432" width="7.73046875" style="256" customWidth="1"/>
    <col min="5433" max="5433" width="5.59765625" style="256" customWidth="1"/>
    <col min="5434" max="5434" width="5.73046875" style="256" customWidth="1"/>
    <col min="5435" max="5435" width="8.1328125" style="256" customWidth="1"/>
    <col min="5436" max="5437" width="7.59765625" style="256" customWidth="1"/>
    <col min="5438" max="5438" width="6.73046875" style="256" customWidth="1"/>
    <col min="5439" max="5439" width="4" style="256" customWidth="1"/>
    <col min="5440" max="5440" width="7.265625" style="256" customWidth="1"/>
    <col min="5441" max="5441" width="4.3984375" style="256" customWidth="1"/>
    <col min="5442" max="5442" width="13" style="256" customWidth="1"/>
    <col min="5443" max="5443" width="7.73046875" style="256" customWidth="1"/>
    <col min="5444" max="5444" width="5.59765625" style="256" customWidth="1"/>
    <col min="5445" max="5445" width="5.73046875" style="256" customWidth="1"/>
    <col min="5446" max="5446" width="8.1328125" style="256" customWidth="1"/>
    <col min="5447" max="5448" width="7.59765625" style="256" customWidth="1"/>
    <col min="5449" max="5449" width="6.73046875" style="256" customWidth="1"/>
    <col min="5450" max="5450" width="4" style="256" customWidth="1"/>
    <col min="5451" max="5451" width="7.265625" style="256" customWidth="1"/>
    <col min="5452" max="5452" width="4" style="256" customWidth="1"/>
    <col min="5453" max="5453" width="13" style="256" customWidth="1"/>
    <col min="5454" max="5454" width="7.73046875" style="256" customWidth="1"/>
    <col min="5455" max="5455" width="5.59765625" style="256" customWidth="1"/>
    <col min="5456" max="5456" width="5.73046875" style="256" customWidth="1"/>
    <col min="5457" max="5457" width="8.1328125" style="256" customWidth="1"/>
    <col min="5458" max="5459" width="7.59765625" style="256" customWidth="1"/>
    <col min="5460" max="5460" width="6.73046875" style="256" customWidth="1"/>
    <col min="5461" max="5461" width="4" style="256" customWidth="1"/>
    <col min="5462" max="5462" width="7.265625" style="256" customWidth="1"/>
    <col min="5463" max="5463" width="4" style="256" customWidth="1"/>
    <col min="5464" max="5464" width="13" style="256" customWidth="1"/>
    <col min="5465" max="5465" width="7.73046875" style="256" customWidth="1"/>
    <col min="5466" max="5466" width="5.59765625" style="256" customWidth="1"/>
    <col min="5467" max="5467" width="5.73046875" style="256" customWidth="1"/>
    <col min="5468" max="5468" width="8.1328125" style="256" customWidth="1"/>
    <col min="5469" max="5470" width="7.59765625" style="256" customWidth="1"/>
    <col min="5471" max="5471" width="6.73046875" style="256" customWidth="1"/>
    <col min="5472" max="5472" width="4" style="256" customWidth="1"/>
    <col min="5473" max="5473" width="7.265625" style="256" customWidth="1"/>
    <col min="5474" max="5474" width="4" style="256" customWidth="1"/>
    <col min="5475" max="5475" width="13" style="256" customWidth="1"/>
    <col min="5476" max="5476" width="7.73046875" style="256" customWidth="1"/>
    <col min="5477" max="5477" width="5.59765625" style="256" customWidth="1"/>
    <col min="5478" max="5478" width="5.73046875" style="256" customWidth="1"/>
    <col min="5479" max="5479" width="8.1328125" style="256" customWidth="1"/>
    <col min="5480" max="5481" width="7.59765625" style="256" customWidth="1"/>
    <col min="5482" max="5482" width="6.73046875" style="256" customWidth="1"/>
    <col min="5483" max="5483" width="4" style="256" customWidth="1"/>
    <col min="5484" max="5484" width="7.265625" style="256" customWidth="1"/>
    <col min="5485" max="5485" width="4" style="256" customWidth="1"/>
    <col min="5486" max="5486" width="13" style="256" customWidth="1"/>
    <col min="5487" max="5487" width="7.73046875" style="256" customWidth="1"/>
    <col min="5488" max="5488" width="5.59765625" style="256" customWidth="1"/>
    <col min="5489" max="5489" width="5.73046875" style="256" customWidth="1"/>
    <col min="5490" max="5490" width="8.1328125" style="256" customWidth="1"/>
    <col min="5491" max="5492" width="7.59765625" style="256" customWidth="1"/>
    <col min="5493" max="5493" width="6.73046875" style="256" customWidth="1"/>
    <col min="5494" max="5494" width="4" style="256" customWidth="1"/>
    <col min="5495" max="5495" width="7.265625" style="256" customWidth="1"/>
    <col min="5496" max="5496" width="4" style="256" customWidth="1"/>
    <col min="5497" max="5497" width="13" style="256" customWidth="1"/>
    <col min="5498" max="5498" width="7.73046875" style="256" customWidth="1"/>
    <col min="5499" max="5499" width="5.59765625" style="256" customWidth="1"/>
    <col min="5500" max="5500" width="5.73046875" style="256" customWidth="1"/>
    <col min="5501" max="5501" width="8.1328125" style="256" customWidth="1"/>
    <col min="5502" max="5503" width="7.59765625" style="256" customWidth="1"/>
    <col min="5504" max="5504" width="6.73046875" style="256" customWidth="1"/>
    <col min="5505" max="5505" width="4" style="256" customWidth="1"/>
    <col min="5506" max="5506" width="7.265625" style="256" customWidth="1"/>
    <col min="5507" max="5507" width="4" style="256" customWidth="1"/>
    <col min="5508" max="5508" width="13" style="256" customWidth="1"/>
    <col min="5509" max="5509" width="7.73046875" style="256" customWidth="1"/>
    <col min="5510" max="5510" width="5.59765625" style="256" customWidth="1"/>
    <col min="5511" max="5511" width="5.73046875" style="256" customWidth="1"/>
    <col min="5512" max="5512" width="8.1328125" style="256" customWidth="1"/>
    <col min="5513" max="5514" width="7.59765625" style="256" customWidth="1"/>
    <col min="5515" max="5515" width="6.73046875" style="256" customWidth="1"/>
    <col min="5516" max="5516" width="4" style="256" customWidth="1"/>
    <col min="5517" max="5517" width="7.265625" style="256" customWidth="1"/>
    <col min="5518" max="5518" width="4" style="256" customWidth="1"/>
    <col min="5519" max="5519" width="13" style="256" customWidth="1"/>
    <col min="5520" max="5520" width="7.73046875" style="256" customWidth="1"/>
    <col min="5521" max="5521" width="5.59765625" style="256" customWidth="1"/>
    <col min="5522" max="5523" width="9.1328125" style="256"/>
    <col min="5524" max="5524" width="6.59765625" style="256" customWidth="1"/>
    <col min="5525" max="5525" width="8.73046875" style="256" customWidth="1"/>
    <col min="5526" max="5526" width="7.3984375" style="256" customWidth="1"/>
    <col min="5527" max="5527" width="7.265625" style="256" customWidth="1"/>
    <col min="5528" max="5528" width="7.73046875" style="256" customWidth="1"/>
    <col min="5529" max="5529" width="4.3984375" style="256" customWidth="1"/>
    <col min="5530" max="5530" width="9.1328125" style="256"/>
    <col min="5531" max="5531" width="6" style="256" customWidth="1"/>
    <col min="5532" max="5532" width="12.265625" style="256" customWidth="1"/>
    <col min="5533" max="5533" width="8" style="256" customWidth="1"/>
    <col min="5534" max="5536" width="9.1328125" style="256"/>
    <col min="5537" max="5537" width="7.73046875" style="256" customWidth="1"/>
    <col min="5538" max="5538" width="8.265625" style="256" customWidth="1"/>
    <col min="5539" max="5539" width="7.1328125" style="256" customWidth="1"/>
    <col min="5540" max="5540" width="7.59765625" style="256" customWidth="1"/>
    <col min="5541" max="5541" width="7.3984375" style="256" customWidth="1"/>
    <col min="5542" max="5542" width="4.86328125" style="256" customWidth="1"/>
    <col min="5543" max="5543" width="9.1328125" style="256"/>
    <col min="5544" max="5544" width="5" style="256" customWidth="1"/>
    <col min="5545" max="5545" width="12.265625" style="256" customWidth="1"/>
    <col min="5546" max="5546" width="7.86328125" style="256" customWidth="1"/>
    <col min="5547" max="5549" width="9.1328125" style="256"/>
    <col min="5550" max="5550" width="7.265625" style="256" customWidth="1"/>
    <col min="5551" max="5551" width="8.1328125" style="256" customWidth="1"/>
    <col min="5552" max="5552" width="6.86328125" style="256" customWidth="1"/>
    <col min="5553" max="5553" width="8" style="256" customWidth="1"/>
    <col min="5554" max="5554" width="7.3984375" style="256" customWidth="1"/>
    <col min="5555" max="5555" width="4.59765625" style="256" customWidth="1"/>
    <col min="5556" max="5556" width="9.1328125" style="256"/>
    <col min="5557" max="5557" width="4.1328125" style="256" customWidth="1"/>
    <col min="5558" max="5558" width="12" style="256" customWidth="1"/>
    <col min="5559" max="5559" width="8.1328125" style="256" customWidth="1"/>
    <col min="5560" max="5562" width="9.1328125" style="256"/>
    <col min="5563" max="5563" width="5.3984375" style="256" customWidth="1"/>
    <col min="5564" max="5564" width="7.73046875" style="256" customWidth="1"/>
    <col min="5565" max="5565" width="5.1328125" style="256" customWidth="1"/>
    <col min="5566" max="5566" width="7.3984375" style="256" customWidth="1"/>
    <col min="5567" max="5567" width="7.1328125" style="256" customWidth="1"/>
    <col min="5568" max="5568" width="4.265625" style="256" customWidth="1"/>
    <col min="5569" max="5569" width="9.1328125" style="256"/>
    <col min="5570" max="5570" width="5.1328125" style="256" customWidth="1"/>
    <col min="5571" max="5571" width="12.265625" style="256" customWidth="1"/>
    <col min="5572" max="5572" width="7.73046875" style="256" customWidth="1"/>
    <col min="5573" max="5574" width="9.1328125" style="256"/>
    <col min="5575" max="5575" width="6.73046875" style="256" customWidth="1"/>
    <col min="5576" max="5576" width="7.59765625" style="256" customWidth="1"/>
    <col min="5577" max="5577" width="6.265625" style="256" customWidth="1"/>
    <col min="5578" max="5578" width="8.1328125" style="256" customWidth="1"/>
    <col min="5579" max="5579" width="7.1328125" style="256" customWidth="1"/>
    <col min="5580" max="5580" width="4.3984375" style="256" customWidth="1"/>
    <col min="5581" max="5581" width="9.1328125" style="256"/>
    <col min="5582" max="5582" width="3.86328125" style="256" customWidth="1"/>
    <col min="5583" max="5583" width="12.265625" style="256" customWidth="1"/>
    <col min="5584" max="5584" width="8.3984375" style="256" customWidth="1"/>
    <col min="5585" max="5586" width="9.1328125" style="256"/>
    <col min="5587" max="5587" width="8.1328125" style="256" customWidth="1"/>
    <col min="5588" max="5588" width="8.3984375" style="256" customWidth="1"/>
    <col min="5589" max="5589" width="7" style="256" customWidth="1"/>
    <col min="5590" max="5590" width="8.3984375" style="256" customWidth="1"/>
    <col min="5591" max="5591" width="9.1328125" style="256"/>
    <col min="5592" max="5592" width="6.1328125" style="256" customWidth="1"/>
    <col min="5593" max="5593" width="9.1328125" style="256"/>
    <col min="5594" max="5594" width="6.73046875" style="256" customWidth="1"/>
    <col min="5595" max="5611" width="9.1328125" style="256"/>
    <col min="5612" max="5612" width="5.59765625" style="256" customWidth="1"/>
    <col min="5613" max="5613" width="5.73046875" style="256" customWidth="1"/>
    <col min="5614" max="5614" width="8.1328125" style="256" customWidth="1"/>
    <col min="5615" max="5616" width="7.59765625" style="256" customWidth="1"/>
    <col min="5617" max="5617" width="6.73046875" style="256" customWidth="1"/>
    <col min="5618" max="5618" width="4" style="256" customWidth="1"/>
    <col min="5619" max="5619" width="7.265625" style="256" customWidth="1"/>
    <col min="5620" max="5620" width="4" style="256" customWidth="1"/>
    <col min="5621" max="5621" width="13" style="256" customWidth="1"/>
    <col min="5622" max="5622" width="8" style="256" customWidth="1"/>
    <col min="5623" max="5623" width="5.59765625" style="256" customWidth="1"/>
    <col min="5624" max="5624" width="5.73046875" style="256" customWidth="1"/>
    <col min="5625" max="5625" width="8.1328125" style="256" customWidth="1"/>
    <col min="5626" max="5627" width="7.59765625" style="256" customWidth="1"/>
    <col min="5628" max="5628" width="6.73046875" style="256" customWidth="1"/>
    <col min="5629" max="5629" width="4" style="256" customWidth="1"/>
    <col min="5630" max="5630" width="7.265625" style="256" customWidth="1"/>
    <col min="5631" max="5631" width="4" style="256" customWidth="1"/>
    <col min="5632" max="5632" width="13" style="256" customWidth="1"/>
    <col min="5633" max="5633" width="7.73046875" style="256" customWidth="1"/>
    <col min="5634" max="5634" width="5.59765625" style="256" customWidth="1"/>
    <col min="5635" max="5635" width="5.73046875" style="256" customWidth="1"/>
    <col min="5636" max="5636" width="8.1328125" style="256" customWidth="1"/>
    <col min="5637" max="5638" width="7.59765625" style="256" customWidth="1"/>
    <col min="5639" max="5639" width="6.73046875" style="256" customWidth="1"/>
    <col min="5640" max="5640" width="4" style="256" customWidth="1"/>
    <col min="5641" max="5641" width="7.265625" style="256" customWidth="1"/>
    <col min="5642" max="5642" width="4" style="256" customWidth="1"/>
    <col min="5643" max="5643" width="13" style="256" customWidth="1"/>
    <col min="5644" max="5644" width="7.73046875" style="256" customWidth="1"/>
    <col min="5645" max="5645" width="5.59765625" style="256" customWidth="1"/>
    <col min="5646" max="5646" width="5.73046875" style="256" customWidth="1"/>
    <col min="5647" max="5647" width="8.1328125" style="256" customWidth="1"/>
    <col min="5648" max="5649" width="7.59765625" style="256" customWidth="1"/>
    <col min="5650" max="5650" width="6.73046875" style="256" customWidth="1"/>
    <col min="5651" max="5651" width="4" style="256" customWidth="1"/>
    <col min="5652" max="5652" width="7.265625" style="256" customWidth="1"/>
    <col min="5653" max="5653" width="4" style="256" customWidth="1"/>
    <col min="5654" max="5654" width="13" style="256" customWidth="1"/>
    <col min="5655" max="5655" width="7.73046875" style="256" customWidth="1"/>
    <col min="5656" max="5656" width="5.59765625" style="256" customWidth="1"/>
    <col min="5657" max="5657" width="5.73046875" style="256" customWidth="1"/>
    <col min="5658" max="5658" width="8.1328125" style="256" customWidth="1"/>
    <col min="5659" max="5660" width="7.59765625" style="256" customWidth="1"/>
    <col min="5661" max="5661" width="6.73046875" style="256" customWidth="1"/>
    <col min="5662" max="5662" width="4" style="256" customWidth="1"/>
    <col min="5663" max="5663" width="7.265625" style="256" customWidth="1"/>
    <col min="5664" max="5664" width="4" style="256" customWidth="1"/>
    <col min="5665" max="5665" width="13" style="256" customWidth="1"/>
    <col min="5666" max="5666" width="7.73046875" style="256" customWidth="1"/>
    <col min="5667" max="5667" width="5.59765625" style="256" customWidth="1"/>
    <col min="5668" max="5668" width="5.73046875" style="256" customWidth="1"/>
    <col min="5669" max="5669" width="8.1328125" style="256" customWidth="1"/>
    <col min="5670" max="5671" width="7.59765625" style="256" customWidth="1"/>
    <col min="5672" max="5672" width="6.73046875" style="256" customWidth="1"/>
    <col min="5673" max="5673" width="4" style="256" customWidth="1"/>
    <col min="5674" max="5674" width="7.265625" style="256" customWidth="1"/>
    <col min="5675" max="5675" width="4" style="256" customWidth="1"/>
    <col min="5676" max="5676" width="13" style="256" customWidth="1"/>
    <col min="5677" max="5677" width="7.73046875" style="256" customWidth="1"/>
    <col min="5678" max="5678" width="5.59765625" style="256" customWidth="1"/>
    <col min="5679" max="5679" width="5.73046875" style="256" customWidth="1"/>
    <col min="5680" max="5680" width="8.1328125" style="256" customWidth="1"/>
    <col min="5681" max="5682" width="7.59765625" style="256" customWidth="1"/>
    <col min="5683" max="5683" width="6.73046875" style="256" customWidth="1"/>
    <col min="5684" max="5684" width="4" style="256" customWidth="1"/>
    <col min="5685" max="5685" width="7.265625" style="256" customWidth="1"/>
    <col min="5686" max="5686" width="4" style="256" customWidth="1"/>
    <col min="5687" max="5687" width="13" style="256" customWidth="1"/>
    <col min="5688" max="5688" width="7.73046875" style="256" customWidth="1"/>
    <col min="5689" max="5689" width="5.59765625" style="256" customWidth="1"/>
    <col min="5690" max="5690" width="5.73046875" style="256" customWidth="1"/>
    <col min="5691" max="5691" width="8.1328125" style="256" customWidth="1"/>
    <col min="5692" max="5693" width="7.59765625" style="256" customWidth="1"/>
    <col min="5694" max="5694" width="6.73046875" style="256" customWidth="1"/>
    <col min="5695" max="5695" width="4" style="256" customWidth="1"/>
    <col min="5696" max="5696" width="7.265625" style="256" customWidth="1"/>
    <col min="5697" max="5697" width="4.3984375" style="256" customWidth="1"/>
    <col min="5698" max="5698" width="13" style="256" customWidth="1"/>
    <col min="5699" max="5699" width="7.73046875" style="256" customWidth="1"/>
    <col min="5700" max="5700" width="5.59765625" style="256" customWidth="1"/>
    <col min="5701" max="5701" width="5.73046875" style="256" customWidth="1"/>
    <col min="5702" max="5702" width="8.1328125" style="256" customWidth="1"/>
    <col min="5703" max="5704" width="7.59765625" style="256" customWidth="1"/>
    <col min="5705" max="5705" width="6.73046875" style="256" customWidth="1"/>
    <col min="5706" max="5706" width="4" style="256" customWidth="1"/>
    <col min="5707" max="5707" width="7.265625" style="256" customWidth="1"/>
    <col min="5708" max="5708" width="4" style="256" customWidth="1"/>
    <col min="5709" max="5709" width="13" style="256" customWidth="1"/>
    <col min="5710" max="5710" width="7.73046875" style="256" customWidth="1"/>
    <col min="5711" max="5711" width="5.59765625" style="256" customWidth="1"/>
    <col min="5712" max="5712" width="5.73046875" style="256" customWidth="1"/>
    <col min="5713" max="5713" width="8.1328125" style="256" customWidth="1"/>
    <col min="5714" max="5715" width="7.59765625" style="256" customWidth="1"/>
    <col min="5716" max="5716" width="6.73046875" style="256" customWidth="1"/>
    <col min="5717" max="5717" width="4" style="256" customWidth="1"/>
    <col min="5718" max="5718" width="7.265625" style="256" customWidth="1"/>
    <col min="5719" max="5719" width="4" style="256" customWidth="1"/>
    <col min="5720" max="5720" width="13" style="256" customWidth="1"/>
    <col min="5721" max="5721" width="7.73046875" style="256" customWidth="1"/>
    <col min="5722" max="5722" width="5.59765625" style="256" customWidth="1"/>
    <col min="5723" max="5723" width="5.73046875" style="256" customWidth="1"/>
    <col min="5724" max="5724" width="8.1328125" style="256" customWidth="1"/>
    <col min="5725" max="5726" width="7.59765625" style="256" customWidth="1"/>
    <col min="5727" max="5727" width="6.73046875" style="256" customWidth="1"/>
    <col min="5728" max="5728" width="4" style="256" customWidth="1"/>
    <col min="5729" max="5729" width="7.265625" style="256" customWidth="1"/>
    <col min="5730" max="5730" width="4" style="256" customWidth="1"/>
    <col min="5731" max="5731" width="13" style="256" customWidth="1"/>
    <col min="5732" max="5732" width="7.73046875" style="256" customWidth="1"/>
    <col min="5733" max="5733" width="5.59765625" style="256" customWidth="1"/>
    <col min="5734" max="5734" width="5.73046875" style="256" customWidth="1"/>
    <col min="5735" max="5735" width="8.1328125" style="256" customWidth="1"/>
    <col min="5736" max="5737" width="7.59765625" style="256" customWidth="1"/>
    <col min="5738" max="5738" width="6.73046875" style="256" customWidth="1"/>
    <col min="5739" max="5739" width="4" style="256" customWidth="1"/>
    <col min="5740" max="5740" width="7.265625" style="256" customWidth="1"/>
    <col min="5741" max="5741" width="4" style="256" customWidth="1"/>
    <col min="5742" max="5742" width="13" style="256" customWidth="1"/>
    <col min="5743" max="5743" width="7.73046875" style="256" customWidth="1"/>
    <col min="5744" max="5744" width="5.59765625" style="256" customWidth="1"/>
    <col min="5745" max="5745" width="5.73046875" style="256" customWidth="1"/>
    <col min="5746" max="5746" width="8.1328125" style="256" customWidth="1"/>
    <col min="5747" max="5748" width="7.59765625" style="256" customWidth="1"/>
    <col min="5749" max="5749" width="6.73046875" style="256" customWidth="1"/>
    <col min="5750" max="5750" width="4" style="256" customWidth="1"/>
    <col min="5751" max="5751" width="7.265625" style="256" customWidth="1"/>
    <col min="5752" max="5752" width="4" style="256" customWidth="1"/>
    <col min="5753" max="5753" width="13" style="256" customWidth="1"/>
    <col min="5754" max="5754" width="7.73046875" style="256" customWidth="1"/>
    <col min="5755" max="5755" width="5.59765625" style="256" customWidth="1"/>
    <col min="5756" max="5756" width="5.73046875" style="256" customWidth="1"/>
    <col min="5757" max="5757" width="8.1328125" style="256" customWidth="1"/>
    <col min="5758" max="5759" width="7.59765625" style="256" customWidth="1"/>
    <col min="5760" max="5760" width="6.73046875" style="256" customWidth="1"/>
    <col min="5761" max="5761" width="4" style="256" customWidth="1"/>
    <col min="5762" max="5762" width="7.265625" style="256" customWidth="1"/>
    <col min="5763" max="5763" width="4" style="256" customWidth="1"/>
    <col min="5764" max="5764" width="13" style="256" customWidth="1"/>
    <col min="5765" max="5765" width="7.73046875" style="256" customWidth="1"/>
    <col min="5766" max="5766" width="5.59765625" style="256" customWidth="1"/>
    <col min="5767" max="5767" width="5.73046875" style="256" customWidth="1"/>
    <col min="5768" max="5768" width="8.1328125" style="256" customWidth="1"/>
    <col min="5769" max="5770" width="7.59765625" style="256" customWidth="1"/>
    <col min="5771" max="5771" width="6.73046875" style="256" customWidth="1"/>
    <col min="5772" max="5772" width="4" style="256" customWidth="1"/>
    <col min="5773" max="5773" width="7.265625" style="256" customWidth="1"/>
    <col min="5774" max="5774" width="4" style="256" customWidth="1"/>
    <col min="5775" max="5775" width="13" style="256" customWidth="1"/>
    <col min="5776" max="5776" width="7.73046875" style="256" customWidth="1"/>
    <col min="5777" max="5777" width="5.59765625" style="256" customWidth="1"/>
    <col min="5778" max="5779" width="9.1328125" style="256"/>
    <col min="5780" max="5780" width="6.59765625" style="256" customWidth="1"/>
    <col min="5781" max="5781" width="8.73046875" style="256" customWidth="1"/>
    <col min="5782" max="5782" width="7.3984375" style="256" customWidth="1"/>
    <col min="5783" max="5783" width="7.265625" style="256" customWidth="1"/>
    <col min="5784" max="5784" width="7.73046875" style="256" customWidth="1"/>
    <col min="5785" max="5785" width="4.3984375" style="256" customWidth="1"/>
    <col min="5786" max="5786" width="9.1328125" style="256"/>
    <col min="5787" max="5787" width="6" style="256" customWidth="1"/>
    <col min="5788" max="5788" width="12.265625" style="256" customWidth="1"/>
    <col min="5789" max="5789" width="8" style="256" customWidth="1"/>
    <col min="5790" max="5792" width="9.1328125" style="256"/>
    <col min="5793" max="5793" width="7.73046875" style="256" customWidth="1"/>
    <col min="5794" max="5794" width="8.265625" style="256" customWidth="1"/>
    <col min="5795" max="5795" width="7.1328125" style="256" customWidth="1"/>
    <col min="5796" max="5796" width="7.59765625" style="256" customWidth="1"/>
    <col min="5797" max="5797" width="7.3984375" style="256" customWidth="1"/>
    <col min="5798" max="5798" width="4.86328125" style="256" customWidth="1"/>
    <col min="5799" max="5799" width="9.1328125" style="256"/>
    <col min="5800" max="5800" width="5" style="256" customWidth="1"/>
    <col min="5801" max="5801" width="12.265625" style="256" customWidth="1"/>
    <col min="5802" max="5802" width="7.86328125" style="256" customWidth="1"/>
    <col min="5803" max="5805" width="9.1328125" style="256"/>
    <col min="5806" max="5806" width="7.265625" style="256" customWidth="1"/>
    <col min="5807" max="5807" width="8.1328125" style="256" customWidth="1"/>
    <col min="5808" max="5808" width="6.86328125" style="256" customWidth="1"/>
    <col min="5809" max="5809" width="8" style="256" customWidth="1"/>
    <col min="5810" max="5810" width="7.3984375" style="256" customWidth="1"/>
    <col min="5811" max="5811" width="4.59765625" style="256" customWidth="1"/>
    <col min="5812" max="5812" width="9.1328125" style="256"/>
    <col min="5813" max="5813" width="4.1328125" style="256" customWidth="1"/>
    <col min="5814" max="5814" width="12" style="256" customWidth="1"/>
    <col min="5815" max="5815" width="8.1328125" style="256" customWidth="1"/>
    <col min="5816" max="5818" width="9.1328125" style="256"/>
    <col min="5819" max="5819" width="5.3984375" style="256" customWidth="1"/>
    <col min="5820" max="5820" width="7.73046875" style="256" customWidth="1"/>
    <col min="5821" max="5821" width="5.1328125" style="256" customWidth="1"/>
    <col min="5822" max="5822" width="7.3984375" style="256" customWidth="1"/>
    <col min="5823" max="5823" width="7.1328125" style="256" customWidth="1"/>
    <col min="5824" max="5824" width="4.265625" style="256" customWidth="1"/>
    <col min="5825" max="5825" width="9.1328125" style="256"/>
    <col min="5826" max="5826" width="5.1328125" style="256" customWidth="1"/>
    <col min="5827" max="5827" width="12.265625" style="256" customWidth="1"/>
    <col min="5828" max="5828" width="7.73046875" style="256" customWidth="1"/>
    <col min="5829" max="5830" width="9.1328125" style="256"/>
    <col min="5831" max="5831" width="6.73046875" style="256" customWidth="1"/>
    <col min="5832" max="5832" width="7.59765625" style="256" customWidth="1"/>
    <col min="5833" max="5833" width="6.265625" style="256" customWidth="1"/>
    <col min="5834" max="5834" width="8.1328125" style="256" customWidth="1"/>
    <col min="5835" max="5835" width="7.1328125" style="256" customWidth="1"/>
    <col min="5836" max="5836" width="4.3984375" style="256" customWidth="1"/>
    <col min="5837" max="5837" width="9.1328125" style="256"/>
    <col min="5838" max="5838" width="3.86328125" style="256" customWidth="1"/>
    <col min="5839" max="5839" width="12.265625" style="256" customWidth="1"/>
    <col min="5840" max="5840" width="8.3984375" style="256" customWidth="1"/>
    <col min="5841" max="5842" width="9.1328125" style="256"/>
    <col min="5843" max="5843" width="8.1328125" style="256" customWidth="1"/>
    <col min="5844" max="5844" width="8.3984375" style="256" customWidth="1"/>
    <col min="5845" max="5845" width="7" style="256" customWidth="1"/>
    <col min="5846" max="5846" width="8.3984375" style="256" customWidth="1"/>
    <col min="5847" max="5847" width="9.1328125" style="256"/>
    <col min="5848" max="5848" width="6.1328125" style="256" customWidth="1"/>
    <col min="5849" max="5849" width="9.1328125" style="256"/>
    <col min="5850" max="5850" width="6.73046875" style="256" customWidth="1"/>
    <col min="5851" max="5867" width="9.1328125" style="256"/>
    <col min="5868" max="5868" width="5.59765625" style="256" customWidth="1"/>
    <col min="5869" max="5869" width="5.73046875" style="256" customWidth="1"/>
    <col min="5870" max="5870" width="8.1328125" style="256" customWidth="1"/>
    <col min="5871" max="5872" width="7.59765625" style="256" customWidth="1"/>
    <col min="5873" max="5873" width="6.73046875" style="256" customWidth="1"/>
    <col min="5874" max="5874" width="4" style="256" customWidth="1"/>
    <col min="5875" max="5875" width="7.265625" style="256" customWidth="1"/>
    <col min="5876" max="5876" width="4" style="256" customWidth="1"/>
    <col min="5877" max="5877" width="13" style="256" customWidth="1"/>
    <col min="5878" max="5878" width="8" style="256" customWidth="1"/>
    <col min="5879" max="5879" width="5.59765625" style="256" customWidth="1"/>
    <col min="5880" max="5880" width="5.73046875" style="256" customWidth="1"/>
    <col min="5881" max="5881" width="8.1328125" style="256" customWidth="1"/>
    <col min="5882" max="5883" width="7.59765625" style="256" customWidth="1"/>
    <col min="5884" max="5884" width="6.73046875" style="256" customWidth="1"/>
    <col min="5885" max="5885" width="4" style="256" customWidth="1"/>
    <col min="5886" max="5886" width="7.265625" style="256" customWidth="1"/>
    <col min="5887" max="5887" width="4" style="256" customWidth="1"/>
    <col min="5888" max="5888" width="13" style="256" customWidth="1"/>
    <col min="5889" max="5889" width="7.73046875" style="256" customWidth="1"/>
    <col min="5890" max="5890" width="5.59765625" style="256" customWidth="1"/>
    <col min="5891" max="5891" width="5.73046875" style="256" customWidth="1"/>
    <col min="5892" max="5892" width="8.1328125" style="256" customWidth="1"/>
    <col min="5893" max="5894" width="7.59765625" style="256" customWidth="1"/>
    <col min="5895" max="5895" width="6.73046875" style="256" customWidth="1"/>
    <col min="5896" max="5896" width="4" style="256" customWidth="1"/>
    <col min="5897" max="5897" width="7.265625" style="256" customWidth="1"/>
    <col min="5898" max="5898" width="4" style="256" customWidth="1"/>
    <col min="5899" max="5899" width="13" style="256" customWidth="1"/>
    <col min="5900" max="5900" width="7.73046875" style="256" customWidth="1"/>
    <col min="5901" max="5901" width="5.59765625" style="256" customWidth="1"/>
    <col min="5902" max="5902" width="5.73046875" style="256" customWidth="1"/>
    <col min="5903" max="5903" width="8.1328125" style="256" customWidth="1"/>
    <col min="5904" max="5905" width="7.59765625" style="256" customWidth="1"/>
    <col min="5906" max="5906" width="6.73046875" style="256" customWidth="1"/>
    <col min="5907" max="5907" width="4" style="256" customWidth="1"/>
    <col min="5908" max="5908" width="7.265625" style="256" customWidth="1"/>
    <col min="5909" max="5909" width="4" style="256" customWidth="1"/>
    <col min="5910" max="5910" width="13" style="256" customWidth="1"/>
    <col min="5911" max="5911" width="7.73046875" style="256" customWidth="1"/>
    <col min="5912" max="5912" width="5.59765625" style="256" customWidth="1"/>
    <col min="5913" max="5913" width="5.73046875" style="256" customWidth="1"/>
    <col min="5914" max="5914" width="8.1328125" style="256" customWidth="1"/>
    <col min="5915" max="5916" width="7.59765625" style="256" customWidth="1"/>
    <col min="5917" max="5917" width="6.73046875" style="256" customWidth="1"/>
    <col min="5918" max="5918" width="4" style="256" customWidth="1"/>
    <col min="5919" max="5919" width="7.265625" style="256" customWidth="1"/>
    <col min="5920" max="5920" width="4" style="256" customWidth="1"/>
    <col min="5921" max="5921" width="13" style="256" customWidth="1"/>
    <col min="5922" max="5922" width="7.73046875" style="256" customWidth="1"/>
    <col min="5923" max="5923" width="5.59765625" style="256" customWidth="1"/>
    <col min="5924" max="5924" width="5.73046875" style="256" customWidth="1"/>
    <col min="5925" max="5925" width="8.1328125" style="256" customWidth="1"/>
    <col min="5926" max="5927" width="7.59765625" style="256" customWidth="1"/>
    <col min="5928" max="5928" width="6.73046875" style="256" customWidth="1"/>
    <col min="5929" max="5929" width="4" style="256" customWidth="1"/>
    <col min="5930" max="5930" width="7.265625" style="256" customWidth="1"/>
    <col min="5931" max="5931" width="4" style="256" customWidth="1"/>
    <col min="5932" max="5932" width="13" style="256" customWidth="1"/>
    <col min="5933" max="5933" width="7.73046875" style="256" customWidth="1"/>
    <col min="5934" max="5934" width="5.59765625" style="256" customWidth="1"/>
    <col min="5935" max="5935" width="5.73046875" style="256" customWidth="1"/>
    <col min="5936" max="5936" width="8.1328125" style="256" customWidth="1"/>
    <col min="5937" max="5938" width="7.59765625" style="256" customWidth="1"/>
    <col min="5939" max="5939" width="6.73046875" style="256" customWidth="1"/>
    <col min="5940" max="5940" width="4" style="256" customWidth="1"/>
    <col min="5941" max="5941" width="7.265625" style="256" customWidth="1"/>
    <col min="5942" max="5942" width="4" style="256" customWidth="1"/>
    <col min="5943" max="5943" width="13" style="256" customWidth="1"/>
    <col min="5944" max="5944" width="7.73046875" style="256" customWidth="1"/>
    <col min="5945" max="5945" width="5.59765625" style="256" customWidth="1"/>
    <col min="5946" max="5946" width="5.73046875" style="256" customWidth="1"/>
    <col min="5947" max="5947" width="8.1328125" style="256" customWidth="1"/>
    <col min="5948" max="5949" width="7.59765625" style="256" customWidth="1"/>
    <col min="5950" max="5950" width="6.73046875" style="256" customWidth="1"/>
    <col min="5951" max="5951" width="4" style="256" customWidth="1"/>
    <col min="5952" max="5952" width="7.265625" style="256" customWidth="1"/>
    <col min="5953" max="5953" width="4.3984375" style="256" customWidth="1"/>
    <col min="5954" max="5954" width="13" style="256" customWidth="1"/>
    <col min="5955" max="5955" width="7.73046875" style="256" customWidth="1"/>
    <col min="5956" max="5956" width="5.59765625" style="256" customWidth="1"/>
    <col min="5957" max="5957" width="5.73046875" style="256" customWidth="1"/>
    <col min="5958" max="5958" width="8.1328125" style="256" customWidth="1"/>
    <col min="5959" max="5960" width="7.59765625" style="256" customWidth="1"/>
    <col min="5961" max="5961" width="6.73046875" style="256" customWidth="1"/>
    <col min="5962" max="5962" width="4" style="256" customWidth="1"/>
    <col min="5963" max="5963" width="7.265625" style="256" customWidth="1"/>
    <col min="5964" max="5964" width="4" style="256" customWidth="1"/>
    <col min="5965" max="5965" width="13" style="256" customWidth="1"/>
    <col min="5966" max="5966" width="7.73046875" style="256" customWidth="1"/>
    <col min="5967" max="5967" width="5.59765625" style="256" customWidth="1"/>
    <col min="5968" max="5968" width="5.73046875" style="256" customWidth="1"/>
    <col min="5969" max="5969" width="8.1328125" style="256" customWidth="1"/>
    <col min="5970" max="5971" width="7.59765625" style="256" customWidth="1"/>
    <col min="5972" max="5972" width="6.73046875" style="256" customWidth="1"/>
    <col min="5973" max="5973" width="4" style="256" customWidth="1"/>
    <col min="5974" max="5974" width="7.265625" style="256" customWidth="1"/>
    <col min="5975" max="5975" width="4" style="256" customWidth="1"/>
    <col min="5976" max="5976" width="13" style="256" customWidth="1"/>
    <col min="5977" max="5977" width="7.73046875" style="256" customWidth="1"/>
    <col min="5978" max="5978" width="5.59765625" style="256" customWidth="1"/>
    <col min="5979" max="5979" width="5.73046875" style="256" customWidth="1"/>
    <col min="5980" max="5980" width="8.1328125" style="256" customWidth="1"/>
    <col min="5981" max="5982" width="7.59765625" style="256" customWidth="1"/>
    <col min="5983" max="5983" width="6.73046875" style="256" customWidth="1"/>
    <col min="5984" max="5984" width="4" style="256" customWidth="1"/>
    <col min="5985" max="5985" width="7.265625" style="256" customWidth="1"/>
    <col min="5986" max="5986" width="4" style="256" customWidth="1"/>
    <col min="5987" max="5987" width="13" style="256" customWidth="1"/>
    <col min="5988" max="5988" width="7.73046875" style="256" customWidth="1"/>
    <col min="5989" max="5989" width="5.59765625" style="256" customWidth="1"/>
    <col min="5990" max="5990" width="5.73046875" style="256" customWidth="1"/>
    <col min="5991" max="5991" width="8.1328125" style="256" customWidth="1"/>
    <col min="5992" max="5993" width="7.59765625" style="256" customWidth="1"/>
    <col min="5994" max="5994" width="6.73046875" style="256" customWidth="1"/>
    <col min="5995" max="5995" width="4" style="256" customWidth="1"/>
    <col min="5996" max="5996" width="7.265625" style="256" customWidth="1"/>
    <col min="5997" max="5997" width="4" style="256" customWidth="1"/>
    <col min="5998" max="5998" width="13" style="256" customWidth="1"/>
    <col min="5999" max="5999" width="7.73046875" style="256" customWidth="1"/>
    <col min="6000" max="6000" width="5.59765625" style="256" customWidth="1"/>
    <col min="6001" max="6001" width="5.73046875" style="256" customWidth="1"/>
    <col min="6002" max="6002" width="8.1328125" style="256" customWidth="1"/>
    <col min="6003" max="6004" width="7.59765625" style="256" customWidth="1"/>
    <col min="6005" max="6005" width="6.73046875" style="256" customWidth="1"/>
    <col min="6006" max="6006" width="4" style="256" customWidth="1"/>
    <col min="6007" max="6007" width="7.265625" style="256" customWidth="1"/>
    <col min="6008" max="6008" width="4" style="256" customWidth="1"/>
    <col min="6009" max="6009" width="13" style="256" customWidth="1"/>
    <col min="6010" max="6010" width="7.73046875" style="256" customWidth="1"/>
    <col min="6011" max="6011" width="5.59765625" style="256" customWidth="1"/>
    <col min="6012" max="6012" width="5.73046875" style="256" customWidth="1"/>
    <col min="6013" max="6013" width="8.1328125" style="256" customWidth="1"/>
    <col min="6014" max="6015" width="7.59765625" style="256" customWidth="1"/>
    <col min="6016" max="6016" width="6.73046875" style="256" customWidth="1"/>
    <col min="6017" max="6017" width="4" style="256" customWidth="1"/>
    <col min="6018" max="6018" width="7.265625" style="256" customWidth="1"/>
    <col min="6019" max="6019" width="4" style="256" customWidth="1"/>
    <col min="6020" max="6020" width="13" style="256" customWidth="1"/>
    <col min="6021" max="6021" width="7.73046875" style="256" customWidth="1"/>
    <col min="6022" max="6022" width="5.59765625" style="256" customWidth="1"/>
    <col min="6023" max="6023" width="5.73046875" style="256" customWidth="1"/>
    <col min="6024" max="6024" width="8.1328125" style="256" customWidth="1"/>
    <col min="6025" max="6026" width="7.59765625" style="256" customWidth="1"/>
    <col min="6027" max="6027" width="6.73046875" style="256" customWidth="1"/>
    <col min="6028" max="6028" width="4" style="256" customWidth="1"/>
    <col min="6029" max="6029" width="7.265625" style="256" customWidth="1"/>
    <col min="6030" max="6030" width="4" style="256" customWidth="1"/>
    <col min="6031" max="6031" width="13" style="256" customWidth="1"/>
    <col min="6032" max="6032" width="7.73046875" style="256" customWidth="1"/>
    <col min="6033" max="6033" width="5.59765625" style="256" customWidth="1"/>
    <col min="6034" max="6035" width="9.1328125" style="256"/>
    <col min="6036" max="6036" width="6.59765625" style="256" customWidth="1"/>
    <col min="6037" max="6037" width="8.73046875" style="256" customWidth="1"/>
    <col min="6038" max="6038" width="7.3984375" style="256" customWidth="1"/>
    <col min="6039" max="6039" width="7.265625" style="256" customWidth="1"/>
    <col min="6040" max="6040" width="7.73046875" style="256" customWidth="1"/>
    <col min="6041" max="6041" width="4.3984375" style="256" customWidth="1"/>
    <col min="6042" max="6042" width="9.1328125" style="256"/>
    <col min="6043" max="6043" width="6" style="256" customWidth="1"/>
    <col min="6044" max="6044" width="12.265625" style="256" customWidth="1"/>
    <col min="6045" max="6045" width="8" style="256" customWidth="1"/>
    <col min="6046" max="6048" width="9.1328125" style="256"/>
    <col min="6049" max="6049" width="7.73046875" style="256" customWidth="1"/>
    <col min="6050" max="6050" width="8.265625" style="256" customWidth="1"/>
    <col min="6051" max="6051" width="7.1328125" style="256" customWidth="1"/>
    <col min="6052" max="6052" width="7.59765625" style="256" customWidth="1"/>
    <col min="6053" max="6053" width="7.3984375" style="256" customWidth="1"/>
    <col min="6054" max="6054" width="4.86328125" style="256" customWidth="1"/>
    <col min="6055" max="6055" width="9.1328125" style="256"/>
    <col min="6056" max="6056" width="5" style="256" customWidth="1"/>
    <col min="6057" max="6057" width="12.265625" style="256" customWidth="1"/>
    <col min="6058" max="6058" width="7.86328125" style="256" customWidth="1"/>
    <col min="6059" max="6061" width="9.1328125" style="256"/>
    <col min="6062" max="6062" width="7.265625" style="256" customWidth="1"/>
    <col min="6063" max="6063" width="8.1328125" style="256" customWidth="1"/>
    <col min="6064" max="6064" width="6.86328125" style="256" customWidth="1"/>
    <col min="6065" max="6065" width="8" style="256" customWidth="1"/>
    <col min="6066" max="6066" width="7.3984375" style="256" customWidth="1"/>
    <col min="6067" max="6067" width="4.59765625" style="256" customWidth="1"/>
    <col min="6068" max="6068" width="9.1328125" style="256"/>
    <col min="6069" max="6069" width="4.1328125" style="256" customWidth="1"/>
    <col min="6070" max="6070" width="12" style="256" customWidth="1"/>
    <col min="6071" max="6071" width="8.1328125" style="256" customWidth="1"/>
    <col min="6072" max="6074" width="9.1328125" style="256"/>
    <col min="6075" max="6075" width="5.3984375" style="256" customWidth="1"/>
    <col min="6076" max="6076" width="7.73046875" style="256" customWidth="1"/>
    <col min="6077" max="6077" width="5.1328125" style="256" customWidth="1"/>
    <col min="6078" max="6078" width="7.3984375" style="256" customWidth="1"/>
    <col min="6079" max="6079" width="7.1328125" style="256" customWidth="1"/>
    <col min="6080" max="6080" width="4.265625" style="256" customWidth="1"/>
    <col min="6081" max="6081" width="9.1328125" style="256"/>
    <col min="6082" max="6082" width="5.1328125" style="256" customWidth="1"/>
    <col min="6083" max="6083" width="12.265625" style="256" customWidth="1"/>
    <col min="6084" max="6084" width="7.73046875" style="256" customWidth="1"/>
    <col min="6085" max="6086" width="9.1328125" style="256"/>
    <col min="6087" max="6087" width="6.73046875" style="256" customWidth="1"/>
    <col min="6088" max="6088" width="7.59765625" style="256" customWidth="1"/>
    <col min="6089" max="6089" width="6.265625" style="256" customWidth="1"/>
    <col min="6090" max="6090" width="8.1328125" style="256" customWidth="1"/>
    <col min="6091" max="6091" width="7.1328125" style="256" customWidth="1"/>
    <col min="6092" max="6092" width="4.3984375" style="256" customWidth="1"/>
    <col min="6093" max="6093" width="9.1328125" style="256"/>
    <col min="6094" max="6094" width="3.86328125" style="256" customWidth="1"/>
    <col min="6095" max="6095" width="12.265625" style="256" customWidth="1"/>
    <col min="6096" max="6096" width="8.3984375" style="256" customWidth="1"/>
    <col min="6097" max="6098" width="9.1328125" style="256"/>
    <col min="6099" max="6099" width="8.1328125" style="256" customWidth="1"/>
    <col min="6100" max="6100" width="8.3984375" style="256" customWidth="1"/>
    <col min="6101" max="6101" width="7" style="256" customWidth="1"/>
    <col min="6102" max="6102" width="8.3984375" style="256" customWidth="1"/>
    <col min="6103" max="6103" width="9.1328125" style="256"/>
    <col min="6104" max="6104" width="6.1328125" style="256" customWidth="1"/>
    <col min="6105" max="6105" width="9.1328125" style="256"/>
    <col min="6106" max="6106" width="6.73046875" style="256" customWidth="1"/>
    <col min="6107" max="6123" width="9.1328125" style="256"/>
    <col min="6124" max="6124" width="5.59765625" style="256" customWidth="1"/>
    <col min="6125" max="6125" width="5.73046875" style="256" customWidth="1"/>
    <col min="6126" max="6126" width="8.1328125" style="256" customWidth="1"/>
    <col min="6127" max="6128" width="7.59765625" style="256" customWidth="1"/>
    <col min="6129" max="6129" width="6.73046875" style="256" customWidth="1"/>
    <col min="6130" max="6130" width="4" style="256" customWidth="1"/>
    <col min="6131" max="6131" width="7.265625" style="256" customWidth="1"/>
    <col min="6132" max="6132" width="4" style="256" customWidth="1"/>
    <col min="6133" max="6133" width="13" style="256" customWidth="1"/>
    <col min="6134" max="6134" width="8" style="256" customWidth="1"/>
    <col min="6135" max="6135" width="5.59765625" style="256" customWidth="1"/>
    <col min="6136" max="6136" width="5.73046875" style="256" customWidth="1"/>
    <col min="6137" max="6137" width="8.1328125" style="256" customWidth="1"/>
    <col min="6138" max="6139" width="7.59765625" style="256" customWidth="1"/>
    <col min="6140" max="6140" width="6.73046875" style="256" customWidth="1"/>
    <col min="6141" max="6141" width="4" style="256" customWidth="1"/>
    <col min="6142" max="6142" width="7.265625" style="256" customWidth="1"/>
    <col min="6143" max="6143" width="4" style="256" customWidth="1"/>
    <col min="6144" max="6144" width="13" style="256" customWidth="1"/>
    <col min="6145" max="6145" width="7.73046875" style="256" customWidth="1"/>
    <col min="6146" max="6146" width="5.59765625" style="256" customWidth="1"/>
    <col min="6147" max="6147" width="5.73046875" style="256" customWidth="1"/>
    <col min="6148" max="6148" width="8.1328125" style="256" customWidth="1"/>
    <col min="6149" max="6150" width="7.59765625" style="256" customWidth="1"/>
    <col min="6151" max="6151" width="6.73046875" style="256" customWidth="1"/>
    <col min="6152" max="6152" width="4" style="256" customWidth="1"/>
    <col min="6153" max="6153" width="7.265625" style="256" customWidth="1"/>
    <col min="6154" max="6154" width="4" style="256" customWidth="1"/>
    <col min="6155" max="6155" width="13" style="256" customWidth="1"/>
    <col min="6156" max="6156" width="7.73046875" style="256" customWidth="1"/>
    <col min="6157" max="6157" width="5.59765625" style="256" customWidth="1"/>
    <col min="6158" max="6158" width="5.73046875" style="256" customWidth="1"/>
    <col min="6159" max="6159" width="8.1328125" style="256" customWidth="1"/>
    <col min="6160" max="6161" width="7.59765625" style="256" customWidth="1"/>
    <col min="6162" max="6162" width="6.73046875" style="256" customWidth="1"/>
    <col min="6163" max="6163" width="4" style="256" customWidth="1"/>
    <col min="6164" max="6164" width="7.265625" style="256" customWidth="1"/>
    <col min="6165" max="6165" width="4" style="256" customWidth="1"/>
    <col min="6166" max="6166" width="13" style="256" customWidth="1"/>
    <col min="6167" max="6167" width="7.73046875" style="256" customWidth="1"/>
    <col min="6168" max="6168" width="5.59765625" style="256" customWidth="1"/>
    <col min="6169" max="6169" width="5.73046875" style="256" customWidth="1"/>
    <col min="6170" max="6170" width="8.1328125" style="256" customWidth="1"/>
    <col min="6171" max="6172" width="7.59765625" style="256" customWidth="1"/>
    <col min="6173" max="6173" width="6.73046875" style="256" customWidth="1"/>
    <col min="6174" max="6174" width="4" style="256" customWidth="1"/>
    <col min="6175" max="6175" width="7.265625" style="256" customWidth="1"/>
    <col min="6176" max="6176" width="4" style="256" customWidth="1"/>
    <col min="6177" max="6177" width="13" style="256" customWidth="1"/>
    <col min="6178" max="6178" width="7.73046875" style="256" customWidth="1"/>
    <col min="6179" max="6179" width="5.59765625" style="256" customWidth="1"/>
    <col min="6180" max="6180" width="5.73046875" style="256" customWidth="1"/>
    <col min="6181" max="6181" width="8.1328125" style="256" customWidth="1"/>
    <col min="6182" max="6183" width="7.59765625" style="256" customWidth="1"/>
    <col min="6184" max="6184" width="6.73046875" style="256" customWidth="1"/>
    <col min="6185" max="6185" width="4" style="256" customWidth="1"/>
    <col min="6186" max="6186" width="7.265625" style="256" customWidth="1"/>
    <col min="6187" max="6187" width="4" style="256" customWidth="1"/>
    <col min="6188" max="6188" width="13" style="256" customWidth="1"/>
    <col min="6189" max="6189" width="7.73046875" style="256" customWidth="1"/>
    <col min="6190" max="6190" width="5.59765625" style="256" customWidth="1"/>
    <col min="6191" max="6191" width="5.73046875" style="256" customWidth="1"/>
    <col min="6192" max="6192" width="8.1328125" style="256" customWidth="1"/>
    <col min="6193" max="6194" width="7.59765625" style="256" customWidth="1"/>
    <col min="6195" max="6195" width="6.73046875" style="256" customWidth="1"/>
    <col min="6196" max="6196" width="4" style="256" customWidth="1"/>
    <col min="6197" max="6197" width="7.265625" style="256" customWidth="1"/>
    <col min="6198" max="6198" width="4" style="256" customWidth="1"/>
    <col min="6199" max="6199" width="13" style="256" customWidth="1"/>
    <col min="6200" max="6200" width="7.73046875" style="256" customWidth="1"/>
    <col min="6201" max="6201" width="5.59765625" style="256" customWidth="1"/>
    <col min="6202" max="6202" width="5.73046875" style="256" customWidth="1"/>
    <col min="6203" max="6203" width="8.1328125" style="256" customWidth="1"/>
    <col min="6204" max="6205" width="7.59765625" style="256" customWidth="1"/>
    <col min="6206" max="6206" width="6.73046875" style="256" customWidth="1"/>
    <col min="6207" max="6207" width="4" style="256" customWidth="1"/>
    <col min="6208" max="6208" width="7.265625" style="256" customWidth="1"/>
    <col min="6209" max="6209" width="4.3984375" style="256" customWidth="1"/>
    <col min="6210" max="6210" width="13" style="256" customWidth="1"/>
    <col min="6211" max="6211" width="7.73046875" style="256" customWidth="1"/>
    <col min="6212" max="6212" width="5.59765625" style="256" customWidth="1"/>
    <col min="6213" max="6213" width="5.73046875" style="256" customWidth="1"/>
    <col min="6214" max="6214" width="8.1328125" style="256" customWidth="1"/>
    <col min="6215" max="6216" width="7.59765625" style="256" customWidth="1"/>
    <col min="6217" max="6217" width="6.73046875" style="256" customWidth="1"/>
    <col min="6218" max="6218" width="4" style="256" customWidth="1"/>
    <col min="6219" max="6219" width="7.265625" style="256" customWidth="1"/>
    <col min="6220" max="6220" width="4" style="256" customWidth="1"/>
    <col min="6221" max="6221" width="13" style="256" customWidth="1"/>
    <col min="6222" max="6222" width="7.73046875" style="256" customWidth="1"/>
    <col min="6223" max="6223" width="5.59765625" style="256" customWidth="1"/>
    <col min="6224" max="6224" width="5.73046875" style="256" customWidth="1"/>
    <col min="6225" max="6225" width="8.1328125" style="256" customWidth="1"/>
    <col min="6226" max="6227" width="7.59765625" style="256" customWidth="1"/>
    <col min="6228" max="6228" width="6.73046875" style="256" customWidth="1"/>
    <col min="6229" max="6229" width="4" style="256" customWidth="1"/>
    <col min="6230" max="6230" width="7.265625" style="256" customWidth="1"/>
    <col min="6231" max="6231" width="4" style="256" customWidth="1"/>
    <col min="6232" max="6232" width="13" style="256" customWidth="1"/>
    <col min="6233" max="6233" width="7.73046875" style="256" customWidth="1"/>
    <col min="6234" max="6234" width="5.59765625" style="256" customWidth="1"/>
    <col min="6235" max="6235" width="5.73046875" style="256" customWidth="1"/>
    <col min="6236" max="6236" width="8.1328125" style="256" customWidth="1"/>
    <col min="6237" max="6238" width="7.59765625" style="256" customWidth="1"/>
    <col min="6239" max="6239" width="6.73046875" style="256" customWidth="1"/>
    <col min="6240" max="6240" width="4" style="256" customWidth="1"/>
    <col min="6241" max="6241" width="7.265625" style="256" customWidth="1"/>
    <col min="6242" max="6242" width="4" style="256" customWidth="1"/>
    <col min="6243" max="6243" width="13" style="256" customWidth="1"/>
    <col min="6244" max="6244" width="7.73046875" style="256" customWidth="1"/>
    <col min="6245" max="6245" width="5.59765625" style="256" customWidth="1"/>
    <col min="6246" max="6246" width="5.73046875" style="256" customWidth="1"/>
    <col min="6247" max="6247" width="8.1328125" style="256" customWidth="1"/>
    <col min="6248" max="6249" width="7.59765625" style="256" customWidth="1"/>
    <col min="6250" max="6250" width="6.73046875" style="256" customWidth="1"/>
    <col min="6251" max="6251" width="4" style="256" customWidth="1"/>
    <col min="6252" max="6252" width="7.265625" style="256" customWidth="1"/>
    <col min="6253" max="6253" width="4" style="256" customWidth="1"/>
    <col min="6254" max="6254" width="13" style="256" customWidth="1"/>
    <col min="6255" max="6255" width="7.73046875" style="256" customWidth="1"/>
    <col min="6256" max="6256" width="5.59765625" style="256" customWidth="1"/>
    <col min="6257" max="6257" width="5.73046875" style="256" customWidth="1"/>
    <col min="6258" max="6258" width="8.1328125" style="256" customWidth="1"/>
    <col min="6259" max="6260" width="7.59765625" style="256" customWidth="1"/>
    <col min="6261" max="6261" width="6.73046875" style="256" customWidth="1"/>
    <col min="6262" max="6262" width="4" style="256" customWidth="1"/>
    <col min="6263" max="6263" width="7.265625" style="256" customWidth="1"/>
    <col min="6264" max="6264" width="4" style="256" customWidth="1"/>
    <col min="6265" max="6265" width="13" style="256" customWidth="1"/>
    <col min="6266" max="6266" width="7.73046875" style="256" customWidth="1"/>
    <col min="6267" max="6267" width="5.59765625" style="256" customWidth="1"/>
    <col min="6268" max="6268" width="5.73046875" style="256" customWidth="1"/>
    <col min="6269" max="6269" width="8.1328125" style="256" customWidth="1"/>
    <col min="6270" max="6271" width="7.59765625" style="256" customWidth="1"/>
    <col min="6272" max="6272" width="6.73046875" style="256" customWidth="1"/>
    <col min="6273" max="6273" width="4" style="256" customWidth="1"/>
    <col min="6274" max="6274" width="7.265625" style="256" customWidth="1"/>
    <col min="6275" max="6275" width="4" style="256" customWidth="1"/>
    <col min="6276" max="6276" width="13" style="256" customWidth="1"/>
    <col min="6277" max="6277" width="7.73046875" style="256" customWidth="1"/>
    <col min="6278" max="6278" width="5.59765625" style="256" customWidth="1"/>
    <col min="6279" max="6279" width="5.73046875" style="256" customWidth="1"/>
    <col min="6280" max="6280" width="8.1328125" style="256" customWidth="1"/>
    <col min="6281" max="6282" width="7.59765625" style="256" customWidth="1"/>
    <col min="6283" max="6283" width="6.73046875" style="256" customWidth="1"/>
    <col min="6284" max="6284" width="4" style="256" customWidth="1"/>
    <col min="6285" max="6285" width="7.265625" style="256" customWidth="1"/>
    <col min="6286" max="6286" width="4" style="256" customWidth="1"/>
    <col min="6287" max="6287" width="13" style="256" customWidth="1"/>
    <col min="6288" max="6288" width="7.73046875" style="256" customWidth="1"/>
    <col min="6289" max="6289" width="5.59765625" style="256" customWidth="1"/>
    <col min="6290" max="6291" width="9.1328125" style="256"/>
    <col min="6292" max="6292" width="6.59765625" style="256" customWidth="1"/>
    <col min="6293" max="6293" width="8.73046875" style="256" customWidth="1"/>
    <col min="6294" max="6294" width="7.3984375" style="256" customWidth="1"/>
    <col min="6295" max="6295" width="7.265625" style="256" customWidth="1"/>
    <col min="6296" max="6296" width="7.73046875" style="256" customWidth="1"/>
    <col min="6297" max="6297" width="4.3984375" style="256" customWidth="1"/>
    <col min="6298" max="6298" width="9.1328125" style="256"/>
    <col min="6299" max="6299" width="6" style="256" customWidth="1"/>
    <col min="6300" max="6300" width="12.265625" style="256" customWidth="1"/>
    <col min="6301" max="6301" width="8" style="256" customWidth="1"/>
    <col min="6302" max="6304" width="9.1328125" style="256"/>
    <col min="6305" max="6305" width="7.73046875" style="256" customWidth="1"/>
    <col min="6306" max="6306" width="8.265625" style="256" customWidth="1"/>
    <col min="6307" max="6307" width="7.1328125" style="256" customWidth="1"/>
    <col min="6308" max="6308" width="7.59765625" style="256" customWidth="1"/>
    <col min="6309" max="6309" width="7.3984375" style="256" customWidth="1"/>
    <col min="6310" max="6310" width="4.86328125" style="256" customWidth="1"/>
    <col min="6311" max="6311" width="9.1328125" style="256"/>
    <col min="6312" max="6312" width="5" style="256" customWidth="1"/>
    <col min="6313" max="6313" width="12.265625" style="256" customWidth="1"/>
    <col min="6314" max="6314" width="7.86328125" style="256" customWidth="1"/>
    <col min="6315" max="6317" width="9.1328125" style="256"/>
    <col min="6318" max="6318" width="7.265625" style="256" customWidth="1"/>
    <col min="6319" max="6319" width="8.1328125" style="256" customWidth="1"/>
    <col min="6320" max="6320" width="6.86328125" style="256" customWidth="1"/>
    <col min="6321" max="6321" width="8" style="256" customWidth="1"/>
    <col min="6322" max="6322" width="7.3984375" style="256" customWidth="1"/>
    <col min="6323" max="6323" width="4.59765625" style="256" customWidth="1"/>
    <col min="6324" max="6324" width="9.1328125" style="256"/>
    <col min="6325" max="6325" width="4.1328125" style="256" customWidth="1"/>
    <col min="6326" max="6326" width="12" style="256" customWidth="1"/>
    <col min="6327" max="6327" width="8.1328125" style="256" customWidth="1"/>
    <col min="6328" max="6330" width="9.1328125" style="256"/>
    <col min="6331" max="6331" width="5.3984375" style="256" customWidth="1"/>
    <col min="6332" max="6332" width="7.73046875" style="256" customWidth="1"/>
    <col min="6333" max="6333" width="5.1328125" style="256" customWidth="1"/>
    <col min="6334" max="6334" width="7.3984375" style="256" customWidth="1"/>
    <col min="6335" max="6335" width="7.1328125" style="256" customWidth="1"/>
    <col min="6336" max="6336" width="4.265625" style="256" customWidth="1"/>
    <col min="6337" max="6337" width="9.1328125" style="256"/>
    <col min="6338" max="6338" width="5.1328125" style="256" customWidth="1"/>
    <col min="6339" max="6339" width="12.265625" style="256" customWidth="1"/>
    <col min="6340" max="6340" width="7.73046875" style="256" customWidth="1"/>
    <col min="6341" max="6342" width="9.1328125" style="256"/>
    <col min="6343" max="6343" width="6.73046875" style="256" customWidth="1"/>
    <col min="6344" max="6344" width="7.59765625" style="256" customWidth="1"/>
    <col min="6345" max="6345" width="6.265625" style="256" customWidth="1"/>
    <col min="6346" max="6346" width="8.1328125" style="256" customWidth="1"/>
    <col min="6347" max="6347" width="7.1328125" style="256" customWidth="1"/>
    <col min="6348" max="6348" width="4.3984375" style="256" customWidth="1"/>
    <col min="6349" max="6349" width="9.1328125" style="256"/>
    <col min="6350" max="6350" width="3.86328125" style="256" customWidth="1"/>
    <col min="6351" max="6351" width="12.265625" style="256" customWidth="1"/>
    <col min="6352" max="6352" width="8.3984375" style="256" customWidth="1"/>
    <col min="6353" max="6354" width="9.1328125" style="256"/>
    <col min="6355" max="6355" width="8.1328125" style="256" customWidth="1"/>
    <col min="6356" max="6356" width="8.3984375" style="256" customWidth="1"/>
    <col min="6357" max="6357" width="7" style="256" customWidth="1"/>
    <col min="6358" max="6358" width="8.3984375" style="256" customWidth="1"/>
    <col min="6359" max="6359" width="9.1328125" style="256"/>
    <col min="6360" max="6360" width="6.1328125" style="256" customWidth="1"/>
    <col min="6361" max="6361" width="9.1328125" style="256"/>
    <col min="6362" max="6362" width="6.73046875" style="256" customWidth="1"/>
    <col min="6363" max="6379" width="9.1328125" style="256"/>
    <col min="6380" max="6380" width="5.59765625" style="256" customWidth="1"/>
    <col min="6381" max="6381" width="5.73046875" style="256" customWidth="1"/>
    <col min="6382" max="6382" width="8.1328125" style="256" customWidth="1"/>
    <col min="6383" max="6384" width="7.59765625" style="256" customWidth="1"/>
    <col min="6385" max="6385" width="6.73046875" style="256" customWidth="1"/>
    <col min="6386" max="6386" width="4" style="256" customWidth="1"/>
    <col min="6387" max="6387" width="7.265625" style="256" customWidth="1"/>
    <col min="6388" max="6388" width="4" style="256" customWidth="1"/>
    <col min="6389" max="6389" width="13" style="256" customWidth="1"/>
    <col min="6390" max="6390" width="8" style="256" customWidth="1"/>
    <col min="6391" max="6391" width="5.59765625" style="256" customWidth="1"/>
    <col min="6392" max="6392" width="5.73046875" style="256" customWidth="1"/>
    <col min="6393" max="6393" width="8.1328125" style="256" customWidth="1"/>
    <col min="6394" max="6395" width="7.59765625" style="256" customWidth="1"/>
    <col min="6396" max="6396" width="6.73046875" style="256" customWidth="1"/>
    <col min="6397" max="6397" width="4" style="256" customWidth="1"/>
    <col min="6398" max="6398" width="7.265625" style="256" customWidth="1"/>
    <col min="6399" max="6399" width="4" style="256" customWidth="1"/>
    <col min="6400" max="6400" width="13" style="256" customWidth="1"/>
    <col min="6401" max="6401" width="7.73046875" style="256" customWidth="1"/>
    <col min="6402" max="6402" width="5.59765625" style="256" customWidth="1"/>
    <col min="6403" max="6403" width="5.73046875" style="256" customWidth="1"/>
    <col min="6404" max="6404" width="8.1328125" style="256" customWidth="1"/>
    <col min="6405" max="6406" width="7.59765625" style="256" customWidth="1"/>
    <col min="6407" max="6407" width="6.73046875" style="256" customWidth="1"/>
    <col min="6408" max="6408" width="4" style="256" customWidth="1"/>
    <col min="6409" max="6409" width="7.265625" style="256" customWidth="1"/>
    <col min="6410" max="6410" width="4" style="256" customWidth="1"/>
    <col min="6411" max="6411" width="13" style="256" customWidth="1"/>
    <col min="6412" max="6412" width="7.73046875" style="256" customWidth="1"/>
    <col min="6413" max="6413" width="5.59765625" style="256" customWidth="1"/>
    <col min="6414" max="6414" width="5.73046875" style="256" customWidth="1"/>
    <col min="6415" max="6415" width="8.1328125" style="256" customWidth="1"/>
    <col min="6416" max="6417" width="7.59765625" style="256" customWidth="1"/>
    <col min="6418" max="6418" width="6.73046875" style="256" customWidth="1"/>
    <col min="6419" max="6419" width="4" style="256" customWidth="1"/>
    <col min="6420" max="6420" width="7.265625" style="256" customWidth="1"/>
    <col min="6421" max="6421" width="4" style="256" customWidth="1"/>
    <col min="6422" max="6422" width="13" style="256" customWidth="1"/>
    <col min="6423" max="6423" width="7.73046875" style="256" customWidth="1"/>
    <col min="6424" max="6424" width="5.59765625" style="256" customWidth="1"/>
    <col min="6425" max="6425" width="5.73046875" style="256" customWidth="1"/>
    <col min="6426" max="6426" width="8.1328125" style="256" customWidth="1"/>
    <col min="6427" max="6428" width="7.59765625" style="256" customWidth="1"/>
    <col min="6429" max="6429" width="6.73046875" style="256" customWidth="1"/>
    <col min="6430" max="6430" width="4" style="256" customWidth="1"/>
    <col min="6431" max="6431" width="7.265625" style="256" customWidth="1"/>
    <col min="6432" max="6432" width="4" style="256" customWidth="1"/>
    <col min="6433" max="6433" width="13" style="256" customWidth="1"/>
    <col min="6434" max="6434" width="7.73046875" style="256" customWidth="1"/>
    <col min="6435" max="6435" width="5.59765625" style="256" customWidth="1"/>
    <col min="6436" max="6436" width="5.73046875" style="256" customWidth="1"/>
    <col min="6437" max="6437" width="8.1328125" style="256" customWidth="1"/>
    <col min="6438" max="6439" width="7.59765625" style="256" customWidth="1"/>
    <col min="6440" max="6440" width="6.73046875" style="256" customWidth="1"/>
    <col min="6441" max="6441" width="4" style="256" customWidth="1"/>
    <col min="6442" max="6442" width="7.265625" style="256" customWidth="1"/>
    <col min="6443" max="6443" width="4" style="256" customWidth="1"/>
    <col min="6444" max="6444" width="13" style="256" customWidth="1"/>
    <col min="6445" max="6445" width="7.73046875" style="256" customWidth="1"/>
    <col min="6446" max="6446" width="5.59765625" style="256" customWidth="1"/>
    <col min="6447" max="6447" width="5.73046875" style="256" customWidth="1"/>
    <col min="6448" max="6448" width="8.1328125" style="256" customWidth="1"/>
    <col min="6449" max="6450" width="7.59765625" style="256" customWidth="1"/>
    <col min="6451" max="6451" width="6.73046875" style="256" customWidth="1"/>
    <col min="6452" max="6452" width="4" style="256" customWidth="1"/>
    <col min="6453" max="6453" width="7.265625" style="256" customWidth="1"/>
    <col min="6454" max="6454" width="4" style="256" customWidth="1"/>
    <col min="6455" max="6455" width="13" style="256" customWidth="1"/>
    <col min="6456" max="6456" width="7.73046875" style="256" customWidth="1"/>
    <col min="6457" max="6457" width="5.59765625" style="256" customWidth="1"/>
    <col min="6458" max="6458" width="5.73046875" style="256" customWidth="1"/>
    <col min="6459" max="6459" width="8.1328125" style="256" customWidth="1"/>
    <col min="6460" max="6461" width="7.59765625" style="256" customWidth="1"/>
    <col min="6462" max="6462" width="6.73046875" style="256" customWidth="1"/>
    <col min="6463" max="6463" width="4" style="256" customWidth="1"/>
    <col min="6464" max="6464" width="7.265625" style="256" customWidth="1"/>
    <col min="6465" max="6465" width="4.3984375" style="256" customWidth="1"/>
    <col min="6466" max="6466" width="13" style="256" customWidth="1"/>
    <col min="6467" max="6467" width="7.73046875" style="256" customWidth="1"/>
    <col min="6468" max="6468" width="5.59765625" style="256" customWidth="1"/>
    <col min="6469" max="6469" width="5.73046875" style="256" customWidth="1"/>
    <col min="6470" max="6470" width="8.1328125" style="256" customWidth="1"/>
    <col min="6471" max="6472" width="7.59765625" style="256" customWidth="1"/>
    <col min="6473" max="6473" width="6.73046875" style="256" customWidth="1"/>
    <col min="6474" max="6474" width="4" style="256" customWidth="1"/>
    <col min="6475" max="6475" width="7.265625" style="256" customWidth="1"/>
    <col min="6476" max="6476" width="4" style="256" customWidth="1"/>
    <col min="6477" max="6477" width="13" style="256" customWidth="1"/>
    <col min="6478" max="6478" width="7.73046875" style="256" customWidth="1"/>
    <col min="6479" max="6479" width="5.59765625" style="256" customWidth="1"/>
    <col min="6480" max="6480" width="5.73046875" style="256" customWidth="1"/>
    <col min="6481" max="6481" width="8.1328125" style="256" customWidth="1"/>
    <col min="6482" max="6483" width="7.59765625" style="256" customWidth="1"/>
    <col min="6484" max="6484" width="6.73046875" style="256" customWidth="1"/>
    <col min="6485" max="6485" width="4" style="256" customWidth="1"/>
    <col min="6486" max="6486" width="7.265625" style="256" customWidth="1"/>
    <col min="6487" max="6487" width="4" style="256" customWidth="1"/>
    <col min="6488" max="6488" width="13" style="256" customWidth="1"/>
    <col min="6489" max="6489" width="7.73046875" style="256" customWidth="1"/>
    <col min="6490" max="6490" width="5.59765625" style="256" customWidth="1"/>
    <col min="6491" max="6491" width="5.73046875" style="256" customWidth="1"/>
    <col min="6492" max="6492" width="8.1328125" style="256" customWidth="1"/>
    <col min="6493" max="6494" width="7.59765625" style="256" customWidth="1"/>
    <col min="6495" max="6495" width="6.73046875" style="256" customWidth="1"/>
    <col min="6496" max="6496" width="4" style="256" customWidth="1"/>
    <col min="6497" max="6497" width="7.265625" style="256" customWidth="1"/>
    <col min="6498" max="6498" width="4" style="256" customWidth="1"/>
    <col min="6499" max="6499" width="13" style="256" customWidth="1"/>
    <col min="6500" max="6500" width="7.73046875" style="256" customWidth="1"/>
    <col min="6501" max="6501" width="5.59765625" style="256" customWidth="1"/>
    <col min="6502" max="6502" width="5.73046875" style="256" customWidth="1"/>
    <col min="6503" max="6503" width="8.1328125" style="256" customWidth="1"/>
    <col min="6504" max="6505" width="7.59765625" style="256" customWidth="1"/>
    <col min="6506" max="6506" width="6.73046875" style="256" customWidth="1"/>
    <col min="6507" max="6507" width="4" style="256" customWidth="1"/>
    <col min="6508" max="6508" width="7.265625" style="256" customWidth="1"/>
    <col min="6509" max="6509" width="4" style="256" customWidth="1"/>
    <col min="6510" max="6510" width="13" style="256" customWidth="1"/>
    <col min="6511" max="6511" width="7.73046875" style="256" customWidth="1"/>
    <col min="6512" max="6512" width="5.59765625" style="256" customWidth="1"/>
    <col min="6513" max="6513" width="5.73046875" style="256" customWidth="1"/>
    <col min="6514" max="6514" width="8.1328125" style="256" customWidth="1"/>
    <col min="6515" max="6516" width="7.59765625" style="256" customWidth="1"/>
    <col min="6517" max="6517" width="6.73046875" style="256" customWidth="1"/>
    <col min="6518" max="6518" width="4" style="256" customWidth="1"/>
    <col min="6519" max="6519" width="7.265625" style="256" customWidth="1"/>
    <col min="6520" max="6520" width="4" style="256" customWidth="1"/>
    <col min="6521" max="6521" width="13" style="256" customWidth="1"/>
    <col min="6522" max="6522" width="7.73046875" style="256" customWidth="1"/>
    <col min="6523" max="6523" width="5.59765625" style="256" customWidth="1"/>
    <col min="6524" max="6524" width="5.73046875" style="256" customWidth="1"/>
    <col min="6525" max="6525" width="8.1328125" style="256" customWidth="1"/>
    <col min="6526" max="6527" width="7.59765625" style="256" customWidth="1"/>
    <col min="6528" max="6528" width="6.73046875" style="256" customWidth="1"/>
    <col min="6529" max="6529" width="4" style="256" customWidth="1"/>
    <col min="6530" max="6530" width="7.265625" style="256" customWidth="1"/>
    <col min="6531" max="6531" width="4" style="256" customWidth="1"/>
    <col min="6532" max="6532" width="13" style="256" customWidth="1"/>
    <col min="6533" max="6533" width="7.73046875" style="256" customWidth="1"/>
    <col min="6534" max="6534" width="5.59765625" style="256" customWidth="1"/>
    <col min="6535" max="6535" width="5.73046875" style="256" customWidth="1"/>
    <col min="6536" max="6536" width="8.1328125" style="256" customWidth="1"/>
    <col min="6537" max="6538" width="7.59765625" style="256" customWidth="1"/>
    <col min="6539" max="6539" width="6.73046875" style="256" customWidth="1"/>
    <col min="6540" max="6540" width="4" style="256" customWidth="1"/>
    <col min="6541" max="6541" width="7.265625" style="256" customWidth="1"/>
    <col min="6542" max="6542" width="4" style="256" customWidth="1"/>
    <col min="6543" max="6543" width="13" style="256" customWidth="1"/>
    <col min="6544" max="6544" width="7.73046875" style="256" customWidth="1"/>
    <col min="6545" max="6545" width="5.59765625" style="256" customWidth="1"/>
    <col min="6546" max="6547" width="9.1328125" style="256"/>
    <col min="6548" max="6548" width="6.59765625" style="256" customWidth="1"/>
    <col min="6549" max="6549" width="8.73046875" style="256" customWidth="1"/>
    <col min="6550" max="6550" width="7.3984375" style="256" customWidth="1"/>
    <col min="6551" max="6551" width="7.265625" style="256" customWidth="1"/>
    <col min="6552" max="6552" width="7.73046875" style="256" customWidth="1"/>
    <col min="6553" max="6553" width="4.3984375" style="256" customWidth="1"/>
    <col min="6554" max="6554" width="9.1328125" style="256"/>
    <col min="6555" max="6555" width="6" style="256" customWidth="1"/>
    <col min="6556" max="6556" width="12.265625" style="256" customWidth="1"/>
    <col min="6557" max="6557" width="8" style="256" customWidth="1"/>
    <col min="6558" max="6560" width="9.1328125" style="256"/>
    <col min="6561" max="6561" width="7.73046875" style="256" customWidth="1"/>
    <col min="6562" max="6562" width="8.265625" style="256" customWidth="1"/>
    <col min="6563" max="6563" width="7.1328125" style="256" customWidth="1"/>
    <col min="6564" max="6564" width="7.59765625" style="256" customWidth="1"/>
    <col min="6565" max="6565" width="7.3984375" style="256" customWidth="1"/>
    <col min="6566" max="6566" width="4.86328125" style="256" customWidth="1"/>
    <col min="6567" max="6567" width="9.1328125" style="256"/>
    <col min="6568" max="6568" width="5" style="256" customWidth="1"/>
    <col min="6569" max="6569" width="12.265625" style="256" customWidth="1"/>
    <col min="6570" max="6570" width="7.86328125" style="256" customWidth="1"/>
    <col min="6571" max="6573" width="9.1328125" style="256"/>
    <col min="6574" max="6574" width="7.265625" style="256" customWidth="1"/>
    <col min="6575" max="6575" width="8.1328125" style="256" customWidth="1"/>
    <col min="6576" max="6576" width="6.86328125" style="256" customWidth="1"/>
    <col min="6577" max="6577" width="8" style="256" customWidth="1"/>
    <col min="6578" max="6578" width="7.3984375" style="256" customWidth="1"/>
    <col min="6579" max="6579" width="4.59765625" style="256" customWidth="1"/>
    <col min="6580" max="6580" width="9.1328125" style="256"/>
    <col min="6581" max="6581" width="4.1328125" style="256" customWidth="1"/>
    <col min="6582" max="6582" width="12" style="256" customWidth="1"/>
    <col min="6583" max="6583" width="8.1328125" style="256" customWidth="1"/>
    <col min="6584" max="6586" width="9.1328125" style="256"/>
    <col min="6587" max="6587" width="5.3984375" style="256" customWidth="1"/>
    <col min="6588" max="6588" width="7.73046875" style="256" customWidth="1"/>
    <col min="6589" max="6589" width="5.1328125" style="256" customWidth="1"/>
    <col min="6590" max="6590" width="7.3984375" style="256" customWidth="1"/>
    <col min="6591" max="6591" width="7.1328125" style="256" customWidth="1"/>
    <col min="6592" max="6592" width="4.265625" style="256" customWidth="1"/>
    <col min="6593" max="6593" width="9.1328125" style="256"/>
    <col min="6594" max="6594" width="5.1328125" style="256" customWidth="1"/>
    <col min="6595" max="6595" width="12.265625" style="256" customWidth="1"/>
    <col min="6596" max="6596" width="7.73046875" style="256" customWidth="1"/>
    <col min="6597" max="6598" width="9.1328125" style="256"/>
    <col min="6599" max="6599" width="6.73046875" style="256" customWidth="1"/>
    <col min="6600" max="6600" width="7.59765625" style="256" customWidth="1"/>
    <col min="6601" max="6601" width="6.265625" style="256" customWidth="1"/>
    <col min="6602" max="6602" width="8.1328125" style="256" customWidth="1"/>
    <col min="6603" max="6603" width="7.1328125" style="256" customWidth="1"/>
    <col min="6604" max="6604" width="4.3984375" style="256" customWidth="1"/>
    <col min="6605" max="6605" width="9.1328125" style="256"/>
    <col min="6606" max="6606" width="3.86328125" style="256" customWidth="1"/>
    <col min="6607" max="6607" width="12.265625" style="256" customWidth="1"/>
    <col min="6608" max="6608" width="8.3984375" style="256" customWidth="1"/>
    <col min="6609" max="6610" width="9.1328125" style="256"/>
    <col min="6611" max="6611" width="8.1328125" style="256" customWidth="1"/>
    <col min="6612" max="6612" width="8.3984375" style="256" customWidth="1"/>
    <col min="6613" max="6613" width="7" style="256" customWidth="1"/>
    <col min="6614" max="6614" width="8.3984375" style="256" customWidth="1"/>
    <col min="6615" max="6615" width="9.1328125" style="256"/>
    <col min="6616" max="6616" width="6.1328125" style="256" customWidth="1"/>
    <col min="6617" max="6617" width="9.1328125" style="256"/>
    <col min="6618" max="6618" width="6.73046875" style="256" customWidth="1"/>
    <col min="6619" max="6635" width="9.1328125" style="256"/>
    <col min="6636" max="6636" width="5.59765625" style="256" customWidth="1"/>
    <col min="6637" max="6637" width="5.73046875" style="256" customWidth="1"/>
    <col min="6638" max="6638" width="8.1328125" style="256" customWidth="1"/>
    <col min="6639" max="6640" width="7.59765625" style="256" customWidth="1"/>
    <col min="6641" max="6641" width="6.73046875" style="256" customWidth="1"/>
    <col min="6642" max="6642" width="4" style="256" customWidth="1"/>
    <col min="6643" max="6643" width="7.265625" style="256" customWidth="1"/>
    <col min="6644" max="6644" width="4" style="256" customWidth="1"/>
    <col min="6645" max="6645" width="13" style="256" customWidth="1"/>
    <col min="6646" max="6646" width="8" style="256" customWidth="1"/>
    <col min="6647" max="6647" width="5.59765625" style="256" customWidth="1"/>
    <col min="6648" max="6648" width="5.73046875" style="256" customWidth="1"/>
    <col min="6649" max="6649" width="8.1328125" style="256" customWidth="1"/>
    <col min="6650" max="6651" width="7.59765625" style="256" customWidth="1"/>
    <col min="6652" max="6652" width="6.73046875" style="256" customWidth="1"/>
    <col min="6653" max="6653" width="4" style="256" customWidth="1"/>
    <col min="6654" max="6654" width="7.265625" style="256" customWidth="1"/>
    <col min="6655" max="6655" width="4" style="256" customWidth="1"/>
    <col min="6656" max="6656" width="13" style="256" customWidth="1"/>
    <col min="6657" max="6657" width="7.73046875" style="256" customWidth="1"/>
    <col min="6658" max="6658" width="5.59765625" style="256" customWidth="1"/>
    <col min="6659" max="6659" width="5.73046875" style="256" customWidth="1"/>
    <col min="6660" max="6660" width="8.1328125" style="256" customWidth="1"/>
    <col min="6661" max="6662" width="7.59765625" style="256" customWidth="1"/>
    <col min="6663" max="6663" width="6.73046875" style="256" customWidth="1"/>
    <col min="6664" max="6664" width="4" style="256" customWidth="1"/>
    <col min="6665" max="6665" width="7.265625" style="256" customWidth="1"/>
    <col min="6666" max="6666" width="4" style="256" customWidth="1"/>
    <col min="6667" max="6667" width="13" style="256" customWidth="1"/>
    <col min="6668" max="6668" width="7.73046875" style="256" customWidth="1"/>
    <col min="6669" max="6669" width="5.59765625" style="256" customWidth="1"/>
    <col min="6670" max="6670" width="5.73046875" style="256" customWidth="1"/>
    <col min="6671" max="6671" width="8.1328125" style="256" customWidth="1"/>
    <col min="6672" max="6673" width="7.59765625" style="256" customWidth="1"/>
    <col min="6674" max="6674" width="6.73046875" style="256" customWidth="1"/>
    <col min="6675" max="6675" width="4" style="256" customWidth="1"/>
    <col min="6676" max="6676" width="7.265625" style="256" customWidth="1"/>
    <col min="6677" max="6677" width="4" style="256" customWidth="1"/>
    <col min="6678" max="6678" width="13" style="256" customWidth="1"/>
    <col min="6679" max="6679" width="7.73046875" style="256" customWidth="1"/>
    <col min="6680" max="6680" width="5.59765625" style="256" customWidth="1"/>
    <col min="6681" max="6681" width="5.73046875" style="256" customWidth="1"/>
    <col min="6682" max="6682" width="8.1328125" style="256" customWidth="1"/>
    <col min="6683" max="6684" width="7.59765625" style="256" customWidth="1"/>
    <col min="6685" max="6685" width="6.73046875" style="256" customWidth="1"/>
    <col min="6686" max="6686" width="4" style="256" customWidth="1"/>
    <col min="6687" max="6687" width="7.265625" style="256" customWidth="1"/>
    <col min="6688" max="6688" width="4" style="256" customWidth="1"/>
    <col min="6689" max="6689" width="13" style="256" customWidth="1"/>
    <col min="6690" max="6690" width="7.73046875" style="256" customWidth="1"/>
    <col min="6691" max="6691" width="5.59765625" style="256" customWidth="1"/>
    <col min="6692" max="6692" width="5.73046875" style="256" customWidth="1"/>
    <col min="6693" max="6693" width="8.1328125" style="256" customWidth="1"/>
    <col min="6694" max="6695" width="7.59765625" style="256" customWidth="1"/>
    <col min="6696" max="6696" width="6.73046875" style="256" customWidth="1"/>
    <col min="6697" max="6697" width="4" style="256" customWidth="1"/>
    <col min="6698" max="6698" width="7.265625" style="256" customWidth="1"/>
    <col min="6699" max="6699" width="4" style="256" customWidth="1"/>
    <col min="6700" max="6700" width="13" style="256" customWidth="1"/>
    <col min="6701" max="6701" width="7.73046875" style="256" customWidth="1"/>
    <col min="6702" max="6702" width="5.59765625" style="256" customWidth="1"/>
    <col min="6703" max="6703" width="5.73046875" style="256" customWidth="1"/>
    <col min="6704" max="6704" width="8.1328125" style="256" customWidth="1"/>
    <col min="6705" max="6706" width="7.59765625" style="256" customWidth="1"/>
    <col min="6707" max="6707" width="6.73046875" style="256" customWidth="1"/>
    <col min="6708" max="6708" width="4" style="256" customWidth="1"/>
    <col min="6709" max="6709" width="7.265625" style="256" customWidth="1"/>
    <col min="6710" max="6710" width="4" style="256" customWidth="1"/>
    <col min="6711" max="6711" width="13" style="256" customWidth="1"/>
    <col min="6712" max="6712" width="7.73046875" style="256" customWidth="1"/>
    <col min="6713" max="6713" width="5.59765625" style="256" customWidth="1"/>
    <col min="6714" max="6714" width="5.73046875" style="256" customWidth="1"/>
    <col min="6715" max="6715" width="8.1328125" style="256" customWidth="1"/>
    <col min="6716" max="6717" width="7.59765625" style="256" customWidth="1"/>
    <col min="6718" max="6718" width="6.73046875" style="256" customWidth="1"/>
    <col min="6719" max="6719" width="4" style="256" customWidth="1"/>
    <col min="6720" max="6720" width="7.265625" style="256" customWidth="1"/>
    <col min="6721" max="6721" width="4.3984375" style="256" customWidth="1"/>
    <col min="6722" max="6722" width="13" style="256" customWidth="1"/>
    <col min="6723" max="6723" width="7.73046875" style="256" customWidth="1"/>
    <col min="6724" max="6724" width="5.59765625" style="256" customWidth="1"/>
    <col min="6725" max="6725" width="5.73046875" style="256" customWidth="1"/>
    <col min="6726" max="6726" width="8.1328125" style="256" customWidth="1"/>
    <col min="6727" max="6728" width="7.59765625" style="256" customWidth="1"/>
    <col min="6729" max="6729" width="6.73046875" style="256" customWidth="1"/>
    <col min="6730" max="6730" width="4" style="256" customWidth="1"/>
    <col min="6731" max="6731" width="7.265625" style="256" customWidth="1"/>
    <col min="6732" max="6732" width="4" style="256" customWidth="1"/>
    <col min="6733" max="6733" width="13" style="256" customWidth="1"/>
    <col min="6734" max="6734" width="7.73046875" style="256" customWidth="1"/>
    <col min="6735" max="6735" width="5.59765625" style="256" customWidth="1"/>
    <col min="6736" max="6736" width="5.73046875" style="256" customWidth="1"/>
    <col min="6737" max="6737" width="8.1328125" style="256" customWidth="1"/>
    <col min="6738" max="6739" width="7.59765625" style="256" customWidth="1"/>
    <col min="6740" max="6740" width="6.73046875" style="256" customWidth="1"/>
    <col min="6741" max="6741" width="4" style="256" customWidth="1"/>
    <col min="6742" max="6742" width="7.265625" style="256" customWidth="1"/>
    <col min="6743" max="6743" width="4" style="256" customWidth="1"/>
    <col min="6744" max="6744" width="13" style="256" customWidth="1"/>
    <col min="6745" max="6745" width="7.73046875" style="256" customWidth="1"/>
    <col min="6746" max="6746" width="5.59765625" style="256" customWidth="1"/>
    <col min="6747" max="6747" width="5.73046875" style="256" customWidth="1"/>
    <col min="6748" max="6748" width="8.1328125" style="256" customWidth="1"/>
    <col min="6749" max="6750" width="7.59765625" style="256" customWidth="1"/>
    <col min="6751" max="6751" width="6.73046875" style="256" customWidth="1"/>
    <col min="6752" max="6752" width="4" style="256" customWidth="1"/>
    <col min="6753" max="6753" width="7.265625" style="256" customWidth="1"/>
    <col min="6754" max="6754" width="4" style="256" customWidth="1"/>
    <col min="6755" max="6755" width="13" style="256" customWidth="1"/>
    <col min="6756" max="6756" width="7.73046875" style="256" customWidth="1"/>
    <col min="6757" max="6757" width="5.59765625" style="256" customWidth="1"/>
    <col min="6758" max="6758" width="5.73046875" style="256" customWidth="1"/>
    <col min="6759" max="6759" width="8.1328125" style="256" customWidth="1"/>
    <col min="6760" max="6761" width="7.59765625" style="256" customWidth="1"/>
    <col min="6762" max="6762" width="6.73046875" style="256" customWidth="1"/>
    <col min="6763" max="6763" width="4" style="256" customWidth="1"/>
    <col min="6764" max="6764" width="7.265625" style="256" customWidth="1"/>
    <col min="6765" max="6765" width="4" style="256" customWidth="1"/>
    <col min="6766" max="6766" width="13" style="256" customWidth="1"/>
    <col min="6767" max="6767" width="7.73046875" style="256" customWidth="1"/>
    <col min="6768" max="6768" width="5.59765625" style="256" customWidth="1"/>
    <col min="6769" max="6769" width="5.73046875" style="256" customWidth="1"/>
    <col min="6770" max="6770" width="8.1328125" style="256" customWidth="1"/>
    <col min="6771" max="6772" width="7.59765625" style="256" customWidth="1"/>
    <col min="6773" max="6773" width="6.73046875" style="256" customWidth="1"/>
    <col min="6774" max="6774" width="4" style="256" customWidth="1"/>
    <col min="6775" max="6775" width="7.265625" style="256" customWidth="1"/>
    <col min="6776" max="6776" width="4" style="256" customWidth="1"/>
    <col min="6777" max="6777" width="13" style="256" customWidth="1"/>
    <col min="6778" max="6778" width="7.73046875" style="256" customWidth="1"/>
    <col min="6779" max="6779" width="5.59765625" style="256" customWidth="1"/>
    <col min="6780" max="6780" width="5.73046875" style="256" customWidth="1"/>
    <col min="6781" max="6781" width="8.1328125" style="256" customWidth="1"/>
    <col min="6782" max="6783" width="7.59765625" style="256" customWidth="1"/>
    <col min="6784" max="6784" width="6.73046875" style="256" customWidth="1"/>
    <col min="6785" max="6785" width="4" style="256" customWidth="1"/>
    <col min="6786" max="6786" width="7.265625" style="256" customWidth="1"/>
    <col min="6787" max="6787" width="4" style="256" customWidth="1"/>
    <col min="6788" max="6788" width="13" style="256" customWidth="1"/>
    <col min="6789" max="6789" width="7.73046875" style="256" customWidth="1"/>
    <col min="6790" max="6790" width="5.59765625" style="256" customWidth="1"/>
    <col min="6791" max="6791" width="5.73046875" style="256" customWidth="1"/>
    <col min="6792" max="6792" width="8.1328125" style="256" customWidth="1"/>
    <col min="6793" max="6794" width="7.59765625" style="256" customWidth="1"/>
    <col min="6795" max="6795" width="6.73046875" style="256" customWidth="1"/>
    <col min="6796" max="6796" width="4" style="256" customWidth="1"/>
    <col min="6797" max="6797" width="7.265625" style="256" customWidth="1"/>
    <col min="6798" max="6798" width="4" style="256" customWidth="1"/>
    <col min="6799" max="6799" width="13" style="256" customWidth="1"/>
    <col min="6800" max="6800" width="7.73046875" style="256" customWidth="1"/>
    <col min="6801" max="6801" width="5.59765625" style="256" customWidth="1"/>
    <col min="6802" max="6803" width="9.1328125" style="256"/>
    <col min="6804" max="6804" width="6.59765625" style="256" customWidth="1"/>
    <col min="6805" max="6805" width="8.73046875" style="256" customWidth="1"/>
    <col min="6806" max="6806" width="7.3984375" style="256" customWidth="1"/>
    <col min="6807" max="6807" width="7.265625" style="256" customWidth="1"/>
    <col min="6808" max="6808" width="7.73046875" style="256" customWidth="1"/>
    <col min="6809" max="6809" width="4.3984375" style="256" customWidth="1"/>
    <col min="6810" max="6810" width="9.1328125" style="256"/>
    <col min="6811" max="6811" width="6" style="256" customWidth="1"/>
    <col min="6812" max="6812" width="12.265625" style="256" customWidth="1"/>
    <col min="6813" max="6813" width="8" style="256" customWidth="1"/>
    <col min="6814" max="6816" width="9.1328125" style="256"/>
    <col min="6817" max="6817" width="7.73046875" style="256" customWidth="1"/>
    <col min="6818" max="6818" width="8.265625" style="256" customWidth="1"/>
    <col min="6819" max="6819" width="7.1328125" style="256" customWidth="1"/>
    <col min="6820" max="6820" width="7.59765625" style="256" customWidth="1"/>
    <col min="6821" max="6821" width="7.3984375" style="256" customWidth="1"/>
    <col min="6822" max="6822" width="4.86328125" style="256" customWidth="1"/>
    <col min="6823" max="6823" width="9.1328125" style="256"/>
    <col min="6824" max="6824" width="5" style="256" customWidth="1"/>
    <col min="6825" max="6825" width="12.265625" style="256" customWidth="1"/>
    <col min="6826" max="6826" width="7.86328125" style="256" customWidth="1"/>
    <col min="6827" max="6829" width="9.1328125" style="256"/>
    <col min="6830" max="6830" width="7.265625" style="256" customWidth="1"/>
    <col min="6831" max="6831" width="8.1328125" style="256" customWidth="1"/>
    <col min="6832" max="6832" width="6.86328125" style="256" customWidth="1"/>
    <col min="6833" max="6833" width="8" style="256" customWidth="1"/>
    <col min="6834" max="6834" width="7.3984375" style="256" customWidth="1"/>
    <col min="6835" max="6835" width="4.59765625" style="256" customWidth="1"/>
    <col min="6836" max="6836" width="9.1328125" style="256"/>
    <col min="6837" max="6837" width="4.1328125" style="256" customWidth="1"/>
    <col min="6838" max="6838" width="12" style="256" customWidth="1"/>
    <col min="6839" max="6839" width="8.1328125" style="256" customWidth="1"/>
    <col min="6840" max="6842" width="9.1328125" style="256"/>
    <col min="6843" max="6843" width="5.3984375" style="256" customWidth="1"/>
    <col min="6844" max="6844" width="7.73046875" style="256" customWidth="1"/>
    <col min="6845" max="6845" width="5.1328125" style="256" customWidth="1"/>
    <col min="6846" max="6846" width="7.3984375" style="256" customWidth="1"/>
    <col min="6847" max="6847" width="7.1328125" style="256" customWidth="1"/>
    <col min="6848" max="6848" width="4.265625" style="256" customWidth="1"/>
    <col min="6849" max="6849" width="9.1328125" style="256"/>
    <col min="6850" max="6850" width="5.1328125" style="256" customWidth="1"/>
    <col min="6851" max="6851" width="12.265625" style="256" customWidth="1"/>
    <col min="6852" max="6852" width="7.73046875" style="256" customWidth="1"/>
    <col min="6853" max="6854" width="9.1328125" style="256"/>
    <col min="6855" max="6855" width="6.73046875" style="256" customWidth="1"/>
    <col min="6856" max="6856" width="7.59765625" style="256" customWidth="1"/>
    <col min="6857" max="6857" width="6.265625" style="256" customWidth="1"/>
    <col min="6858" max="6858" width="8.1328125" style="256" customWidth="1"/>
    <col min="6859" max="6859" width="7.1328125" style="256" customWidth="1"/>
    <col min="6860" max="6860" width="4.3984375" style="256" customWidth="1"/>
    <col min="6861" max="6861" width="9.1328125" style="256"/>
    <col min="6862" max="6862" width="3.86328125" style="256" customWidth="1"/>
    <col min="6863" max="6863" width="12.265625" style="256" customWidth="1"/>
    <col min="6864" max="6864" width="8.3984375" style="256" customWidth="1"/>
    <col min="6865" max="6866" width="9.1328125" style="256"/>
    <col min="6867" max="6867" width="8.1328125" style="256" customWidth="1"/>
    <col min="6868" max="6868" width="8.3984375" style="256" customWidth="1"/>
    <col min="6869" max="6869" width="7" style="256" customWidth="1"/>
    <col min="6870" max="6870" width="8.3984375" style="256" customWidth="1"/>
    <col min="6871" max="6871" width="9.1328125" style="256"/>
    <col min="6872" max="6872" width="6.1328125" style="256" customWidth="1"/>
    <col min="6873" max="6873" width="9.1328125" style="256"/>
    <col min="6874" max="6874" width="6.73046875" style="256" customWidth="1"/>
    <col min="6875" max="6891" width="9.1328125" style="256"/>
    <col min="6892" max="6892" width="5.59765625" style="256" customWidth="1"/>
    <col min="6893" max="6893" width="5.73046875" style="256" customWidth="1"/>
    <col min="6894" max="6894" width="8.1328125" style="256" customWidth="1"/>
    <col min="6895" max="6896" width="7.59765625" style="256" customWidth="1"/>
    <col min="6897" max="6897" width="6.73046875" style="256" customWidth="1"/>
    <col min="6898" max="6898" width="4" style="256" customWidth="1"/>
    <col min="6899" max="6899" width="7.265625" style="256" customWidth="1"/>
    <col min="6900" max="6900" width="4" style="256" customWidth="1"/>
    <col min="6901" max="6901" width="13" style="256" customWidth="1"/>
    <col min="6902" max="6902" width="8" style="256" customWidth="1"/>
    <col min="6903" max="6903" width="5.59765625" style="256" customWidth="1"/>
    <col min="6904" max="6904" width="5.73046875" style="256" customWidth="1"/>
    <col min="6905" max="6905" width="8.1328125" style="256" customWidth="1"/>
    <col min="6906" max="6907" width="7.59765625" style="256" customWidth="1"/>
    <col min="6908" max="6908" width="6.73046875" style="256" customWidth="1"/>
    <col min="6909" max="6909" width="4" style="256" customWidth="1"/>
    <col min="6910" max="6910" width="7.265625" style="256" customWidth="1"/>
    <col min="6911" max="6911" width="4" style="256" customWidth="1"/>
    <col min="6912" max="6912" width="13" style="256" customWidth="1"/>
    <col min="6913" max="6913" width="7.73046875" style="256" customWidth="1"/>
    <col min="6914" max="6914" width="5.59765625" style="256" customWidth="1"/>
    <col min="6915" max="6915" width="5.73046875" style="256" customWidth="1"/>
    <col min="6916" max="6916" width="8.1328125" style="256" customWidth="1"/>
    <col min="6917" max="6918" width="7.59765625" style="256" customWidth="1"/>
    <col min="6919" max="6919" width="6.73046875" style="256" customWidth="1"/>
    <col min="6920" max="6920" width="4" style="256" customWidth="1"/>
    <col min="6921" max="6921" width="7.265625" style="256" customWidth="1"/>
    <col min="6922" max="6922" width="4" style="256" customWidth="1"/>
    <col min="6923" max="6923" width="13" style="256" customWidth="1"/>
    <col min="6924" max="6924" width="7.73046875" style="256" customWidth="1"/>
    <col min="6925" max="6925" width="5.59765625" style="256" customWidth="1"/>
    <col min="6926" max="6926" width="5.73046875" style="256" customWidth="1"/>
    <col min="6927" max="6927" width="8.1328125" style="256" customWidth="1"/>
    <col min="6928" max="6929" width="7.59765625" style="256" customWidth="1"/>
    <col min="6930" max="6930" width="6.73046875" style="256" customWidth="1"/>
    <col min="6931" max="6931" width="4" style="256" customWidth="1"/>
    <col min="6932" max="6932" width="7.265625" style="256" customWidth="1"/>
    <col min="6933" max="6933" width="4" style="256" customWidth="1"/>
    <col min="6934" max="6934" width="13" style="256" customWidth="1"/>
    <col min="6935" max="6935" width="7.73046875" style="256" customWidth="1"/>
    <col min="6936" max="6936" width="5.59765625" style="256" customWidth="1"/>
    <col min="6937" max="6937" width="5.73046875" style="256" customWidth="1"/>
    <col min="6938" max="6938" width="8.1328125" style="256" customWidth="1"/>
    <col min="6939" max="6940" width="7.59765625" style="256" customWidth="1"/>
    <col min="6941" max="6941" width="6.73046875" style="256" customWidth="1"/>
    <col min="6942" max="6942" width="4" style="256" customWidth="1"/>
    <col min="6943" max="6943" width="7.265625" style="256" customWidth="1"/>
    <col min="6944" max="6944" width="4" style="256" customWidth="1"/>
    <col min="6945" max="6945" width="13" style="256" customWidth="1"/>
    <col min="6946" max="6946" width="7.73046875" style="256" customWidth="1"/>
    <col min="6947" max="6947" width="5.59765625" style="256" customWidth="1"/>
    <col min="6948" max="6948" width="5.73046875" style="256" customWidth="1"/>
    <col min="6949" max="6949" width="8.1328125" style="256" customWidth="1"/>
    <col min="6950" max="6951" width="7.59765625" style="256" customWidth="1"/>
    <col min="6952" max="6952" width="6.73046875" style="256" customWidth="1"/>
    <col min="6953" max="6953" width="4" style="256" customWidth="1"/>
    <col min="6954" max="6954" width="7.265625" style="256" customWidth="1"/>
    <col min="6955" max="6955" width="4" style="256" customWidth="1"/>
    <col min="6956" max="6956" width="13" style="256" customWidth="1"/>
    <col min="6957" max="6957" width="7.73046875" style="256" customWidth="1"/>
    <col min="6958" max="6958" width="5.59765625" style="256" customWidth="1"/>
    <col min="6959" max="6959" width="5.73046875" style="256" customWidth="1"/>
    <col min="6960" max="6960" width="8.1328125" style="256" customWidth="1"/>
    <col min="6961" max="6962" width="7.59765625" style="256" customWidth="1"/>
    <col min="6963" max="6963" width="6.73046875" style="256" customWidth="1"/>
    <col min="6964" max="6964" width="4" style="256" customWidth="1"/>
    <col min="6965" max="6965" width="7.265625" style="256" customWidth="1"/>
    <col min="6966" max="6966" width="4" style="256" customWidth="1"/>
    <col min="6967" max="6967" width="13" style="256" customWidth="1"/>
    <col min="6968" max="6968" width="7.73046875" style="256" customWidth="1"/>
    <col min="6969" max="6969" width="5.59765625" style="256" customWidth="1"/>
    <col min="6970" max="6970" width="5.73046875" style="256" customWidth="1"/>
    <col min="6971" max="6971" width="8.1328125" style="256" customWidth="1"/>
    <col min="6972" max="6973" width="7.59765625" style="256" customWidth="1"/>
    <col min="6974" max="6974" width="6.73046875" style="256" customWidth="1"/>
    <col min="6975" max="6975" width="4" style="256" customWidth="1"/>
    <col min="6976" max="6976" width="7.265625" style="256" customWidth="1"/>
    <col min="6977" max="6977" width="4.3984375" style="256" customWidth="1"/>
    <col min="6978" max="6978" width="13" style="256" customWidth="1"/>
    <col min="6979" max="6979" width="7.73046875" style="256" customWidth="1"/>
    <col min="6980" max="6980" width="5.59765625" style="256" customWidth="1"/>
    <col min="6981" max="6981" width="5.73046875" style="256" customWidth="1"/>
    <col min="6982" max="6982" width="8.1328125" style="256" customWidth="1"/>
    <col min="6983" max="6984" width="7.59765625" style="256" customWidth="1"/>
    <col min="6985" max="6985" width="6.73046875" style="256" customWidth="1"/>
    <col min="6986" max="6986" width="4" style="256" customWidth="1"/>
    <col min="6987" max="6987" width="7.265625" style="256" customWidth="1"/>
    <col min="6988" max="6988" width="4" style="256" customWidth="1"/>
    <col min="6989" max="6989" width="13" style="256" customWidth="1"/>
    <col min="6990" max="6990" width="7.73046875" style="256" customWidth="1"/>
    <col min="6991" max="6991" width="5.59765625" style="256" customWidth="1"/>
    <col min="6992" max="6992" width="5.73046875" style="256" customWidth="1"/>
    <col min="6993" max="6993" width="8.1328125" style="256" customWidth="1"/>
    <col min="6994" max="6995" width="7.59765625" style="256" customWidth="1"/>
    <col min="6996" max="6996" width="6.73046875" style="256" customWidth="1"/>
    <col min="6997" max="6997" width="4" style="256" customWidth="1"/>
    <col min="6998" max="6998" width="7.265625" style="256" customWidth="1"/>
    <col min="6999" max="6999" width="4" style="256" customWidth="1"/>
    <col min="7000" max="7000" width="13" style="256" customWidth="1"/>
    <col min="7001" max="7001" width="7.73046875" style="256" customWidth="1"/>
    <col min="7002" max="7002" width="5.59765625" style="256" customWidth="1"/>
    <col min="7003" max="7003" width="5.73046875" style="256" customWidth="1"/>
    <col min="7004" max="7004" width="8.1328125" style="256" customWidth="1"/>
    <col min="7005" max="7006" width="7.59765625" style="256" customWidth="1"/>
    <col min="7007" max="7007" width="6.73046875" style="256" customWidth="1"/>
    <col min="7008" max="7008" width="4" style="256" customWidth="1"/>
    <col min="7009" max="7009" width="7.265625" style="256" customWidth="1"/>
    <col min="7010" max="7010" width="4" style="256" customWidth="1"/>
    <col min="7011" max="7011" width="13" style="256" customWidth="1"/>
    <col min="7012" max="7012" width="7.73046875" style="256" customWidth="1"/>
    <col min="7013" max="7013" width="5.59765625" style="256" customWidth="1"/>
    <col min="7014" max="7014" width="5.73046875" style="256" customWidth="1"/>
    <col min="7015" max="7015" width="8.1328125" style="256" customWidth="1"/>
    <col min="7016" max="7017" width="7.59765625" style="256" customWidth="1"/>
    <col min="7018" max="7018" width="6.73046875" style="256" customWidth="1"/>
    <col min="7019" max="7019" width="4" style="256" customWidth="1"/>
    <col min="7020" max="7020" width="7.265625" style="256" customWidth="1"/>
    <col min="7021" max="7021" width="4" style="256" customWidth="1"/>
    <col min="7022" max="7022" width="13" style="256" customWidth="1"/>
    <col min="7023" max="7023" width="7.73046875" style="256" customWidth="1"/>
    <col min="7024" max="7024" width="5.59765625" style="256" customWidth="1"/>
    <col min="7025" max="7025" width="5.73046875" style="256" customWidth="1"/>
    <col min="7026" max="7026" width="8.1328125" style="256" customWidth="1"/>
    <col min="7027" max="7028" width="7.59765625" style="256" customWidth="1"/>
    <col min="7029" max="7029" width="6.73046875" style="256" customWidth="1"/>
    <col min="7030" max="7030" width="4" style="256" customWidth="1"/>
    <col min="7031" max="7031" width="7.265625" style="256" customWidth="1"/>
    <col min="7032" max="7032" width="4" style="256" customWidth="1"/>
    <col min="7033" max="7033" width="13" style="256" customWidth="1"/>
    <col min="7034" max="7034" width="7.73046875" style="256" customWidth="1"/>
    <col min="7035" max="7035" width="5.59765625" style="256" customWidth="1"/>
    <col min="7036" max="7036" width="5.73046875" style="256" customWidth="1"/>
    <col min="7037" max="7037" width="8.1328125" style="256" customWidth="1"/>
    <col min="7038" max="7039" width="7.59765625" style="256" customWidth="1"/>
    <col min="7040" max="7040" width="6.73046875" style="256" customWidth="1"/>
    <col min="7041" max="7041" width="4" style="256" customWidth="1"/>
    <col min="7042" max="7042" width="7.265625" style="256" customWidth="1"/>
    <col min="7043" max="7043" width="4" style="256" customWidth="1"/>
    <col min="7044" max="7044" width="13" style="256" customWidth="1"/>
    <col min="7045" max="7045" width="7.73046875" style="256" customWidth="1"/>
    <col min="7046" max="7046" width="5.59765625" style="256" customWidth="1"/>
    <col min="7047" max="7047" width="5.73046875" style="256" customWidth="1"/>
    <col min="7048" max="7048" width="8.1328125" style="256" customWidth="1"/>
    <col min="7049" max="7050" width="7.59765625" style="256" customWidth="1"/>
    <col min="7051" max="7051" width="6.73046875" style="256" customWidth="1"/>
    <col min="7052" max="7052" width="4" style="256" customWidth="1"/>
    <col min="7053" max="7053" width="7.265625" style="256" customWidth="1"/>
    <col min="7054" max="7054" width="4" style="256" customWidth="1"/>
    <col min="7055" max="7055" width="13" style="256" customWidth="1"/>
    <col min="7056" max="7056" width="7.73046875" style="256" customWidth="1"/>
    <col min="7057" max="7057" width="5.59765625" style="256" customWidth="1"/>
    <col min="7058" max="7059" width="9.1328125" style="256"/>
    <col min="7060" max="7060" width="6.59765625" style="256" customWidth="1"/>
    <col min="7061" max="7061" width="8.73046875" style="256" customWidth="1"/>
    <col min="7062" max="7062" width="7.3984375" style="256" customWidth="1"/>
    <col min="7063" max="7063" width="7.265625" style="256" customWidth="1"/>
    <col min="7064" max="7064" width="7.73046875" style="256" customWidth="1"/>
    <col min="7065" max="7065" width="4.3984375" style="256" customWidth="1"/>
    <col min="7066" max="7066" width="9.1328125" style="256"/>
    <col min="7067" max="7067" width="6" style="256" customWidth="1"/>
    <col min="7068" max="7068" width="12.265625" style="256" customWidth="1"/>
    <col min="7069" max="7069" width="8" style="256" customWidth="1"/>
    <col min="7070" max="7072" width="9.1328125" style="256"/>
    <col min="7073" max="7073" width="7.73046875" style="256" customWidth="1"/>
    <col min="7074" max="7074" width="8.265625" style="256" customWidth="1"/>
    <col min="7075" max="7075" width="7.1328125" style="256" customWidth="1"/>
    <col min="7076" max="7076" width="7.59765625" style="256" customWidth="1"/>
    <col min="7077" max="7077" width="7.3984375" style="256" customWidth="1"/>
    <col min="7078" max="7078" width="4.86328125" style="256" customWidth="1"/>
    <col min="7079" max="7079" width="9.1328125" style="256"/>
    <col min="7080" max="7080" width="5" style="256" customWidth="1"/>
    <col min="7081" max="7081" width="12.265625" style="256" customWidth="1"/>
    <col min="7082" max="7082" width="7.86328125" style="256" customWidth="1"/>
    <col min="7083" max="7085" width="9.1328125" style="256"/>
    <col min="7086" max="7086" width="7.265625" style="256" customWidth="1"/>
    <col min="7087" max="7087" width="8.1328125" style="256" customWidth="1"/>
    <col min="7088" max="7088" width="6.86328125" style="256" customWidth="1"/>
    <col min="7089" max="7089" width="8" style="256" customWidth="1"/>
    <col min="7090" max="7090" width="7.3984375" style="256" customWidth="1"/>
    <col min="7091" max="7091" width="4.59765625" style="256" customWidth="1"/>
    <col min="7092" max="7092" width="9.1328125" style="256"/>
    <col min="7093" max="7093" width="4.1328125" style="256" customWidth="1"/>
    <col min="7094" max="7094" width="12" style="256" customWidth="1"/>
    <col min="7095" max="7095" width="8.1328125" style="256" customWidth="1"/>
    <col min="7096" max="7098" width="9.1328125" style="256"/>
    <col min="7099" max="7099" width="5.3984375" style="256" customWidth="1"/>
    <col min="7100" max="7100" width="7.73046875" style="256" customWidth="1"/>
    <col min="7101" max="7101" width="5.1328125" style="256" customWidth="1"/>
    <col min="7102" max="7102" width="7.3984375" style="256" customWidth="1"/>
    <col min="7103" max="7103" width="7.1328125" style="256" customWidth="1"/>
    <col min="7104" max="7104" width="4.265625" style="256" customWidth="1"/>
    <col min="7105" max="7105" width="9.1328125" style="256"/>
    <col min="7106" max="7106" width="5.1328125" style="256" customWidth="1"/>
    <col min="7107" max="7107" width="12.265625" style="256" customWidth="1"/>
    <col min="7108" max="7108" width="7.73046875" style="256" customWidth="1"/>
    <col min="7109" max="7110" width="9.1328125" style="256"/>
    <col min="7111" max="7111" width="6.73046875" style="256" customWidth="1"/>
    <col min="7112" max="7112" width="7.59765625" style="256" customWidth="1"/>
    <col min="7113" max="7113" width="6.265625" style="256" customWidth="1"/>
    <col min="7114" max="7114" width="8.1328125" style="256" customWidth="1"/>
    <col min="7115" max="7115" width="7.1328125" style="256" customWidth="1"/>
    <col min="7116" max="7116" width="4.3984375" style="256" customWidth="1"/>
    <col min="7117" max="7117" width="9.1328125" style="256"/>
    <col min="7118" max="7118" width="3.86328125" style="256" customWidth="1"/>
    <col min="7119" max="7119" width="12.265625" style="256" customWidth="1"/>
    <col min="7120" max="7120" width="8.3984375" style="256" customWidth="1"/>
    <col min="7121" max="7122" width="9.1328125" style="256"/>
    <col min="7123" max="7123" width="8.1328125" style="256" customWidth="1"/>
    <col min="7124" max="7124" width="8.3984375" style="256" customWidth="1"/>
    <col min="7125" max="7125" width="7" style="256" customWidth="1"/>
    <col min="7126" max="7126" width="8.3984375" style="256" customWidth="1"/>
    <col min="7127" max="7127" width="9.1328125" style="256"/>
    <col min="7128" max="7128" width="6.1328125" style="256" customWidth="1"/>
    <col min="7129" max="7129" width="9.1328125" style="256"/>
    <col min="7130" max="7130" width="6.73046875" style="256" customWidth="1"/>
    <col min="7131" max="7147" width="9.1328125" style="256"/>
    <col min="7148" max="7148" width="5.59765625" style="256" customWidth="1"/>
    <col min="7149" max="7149" width="5.73046875" style="256" customWidth="1"/>
    <col min="7150" max="7150" width="8.1328125" style="256" customWidth="1"/>
    <col min="7151" max="7152" width="7.59765625" style="256" customWidth="1"/>
    <col min="7153" max="7153" width="6.73046875" style="256" customWidth="1"/>
    <col min="7154" max="7154" width="4" style="256" customWidth="1"/>
    <col min="7155" max="7155" width="7.265625" style="256" customWidth="1"/>
    <col min="7156" max="7156" width="4" style="256" customWidth="1"/>
    <col min="7157" max="7157" width="13" style="256" customWidth="1"/>
    <col min="7158" max="7158" width="8" style="256" customWidth="1"/>
    <col min="7159" max="7159" width="5.59765625" style="256" customWidth="1"/>
    <col min="7160" max="7160" width="5.73046875" style="256" customWidth="1"/>
    <col min="7161" max="7161" width="8.1328125" style="256" customWidth="1"/>
    <col min="7162" max="7163" width="7.59765625" style="256" customWidth="1"/>
    <col min="7164" max="7164" width="6.73046875" style="256" customWidth="1"/>
    <col min="7165" max="7165" width="4" style="256" customWidth="1"/>
    <col min="7166" max="7166" width="7.265625" style="256" customWidth="1"/>
    <col min="7167" max="7167" width="4" style="256" customWidth="1"/>
    <col min="7168" max="7168" width="13" style="256" customWidth="1"/>
    <col min="7169" max="7169" width="7.73046875" style="256" customWidth="1"/>
    <col min="7170" max="7170" width="5.59765625" style="256" customWidth="1"/>
    <col min="7171" max="7171" width="5.73046875" style="256" customWidth="1"/>
    <col min="7172" max="7172" width="8.1328125" style="256" customWidth="1"/>
    <col min="7173" max="7174" width="7.59765625" style="256" customWidth="1"/>
    <col min="7175" max="7175" width="6.73046875" style="256" customWidth="1"/>
    <col min="7176" max="7176" width="4" style="256" customWidth="1"/>
    <col min="7177" max="7177" width="7.265625" style="256" customWidth="1"/>
    <col min="7178" max="7178" width="4" style="256" customWidth="1"/>
    <col min="7179" max="7179" width="13" style="256" customWidth="1"/>
    <col min="7180" max="7180" width="7.73046875" style="256" customWidth="1"/>
    <col min="7181" max="7181" width="5.59765625" style="256" customWidth="1"/>
    <col min="7182" max="7182" width="5.73046875" style="256" customWidth="1"/>
    <col min="7183" max="7183" width="8.1328125" style="256" customWidth="1"/>
    <col min="7184" max="7185" width="7.59765625" style="256" customWidth="1"/>
    <col min="7186" max="7186" width="6.73046875" style="256" customWidth="1"/>
    <col min="7187" max="7187" width="4" style="256" customWidth="1"/>
    <col min="7188" max="7188" width="7.265625" style="256" customWidth="1"/>
    <col min="7189" max="7189" width="4" style="256" customWidth="1"/>
    <col min="7190" max="7190" width="13" style="256" customWidth="1"/>
    <col min="7191" max="7191" width="7.73046875" style="256" customWidth="1"/>
    <col min="7192" max="7192" width="5.59765625" style="256" customWidth="1"/>
    <col min="7193" max="7193" width="5.73046875" style="256" customWidth="1"/>
    <col min="7194" max="7194" width="8.1328125" style="256" customWidth="1"/>
    <col min="7195" max="7196" width="7.59765625" style="256" customWidth="1"/>
    <col min="7197" max="7197" width="6.73046875" style="256" customWidth="1"/>
    <col min="7198" max="7198" width="4" style="256" customWidth="1"/>
    <col min="7199" max="7199" width="7.265625" style="256" customWidth="1"/>
    <col min="7200" max="7200" width="4" style="256" customWidth="1"/>
    <col min="7201" max="7201" width="13" style="256" customWidth="1"/>
    <col min="7202" max="7202" width="7.73046875" style="256" customWidth="1"/>
    <col min="7203" max="7203" width="5.59765625" style="256" customWidth="1"/>
    <col min="7204" max="7204" width="5.73046875" style="256" customWidth="1"/>
    <col min="7205" max="7205" width="8.1328125" style="256" customWidth="1"/>
    <col min="7206" max="7207" width="7.59765625" style="256" customWidth="1"/>
    <col min="7208" max="7208" width="6.73046875" style="256" customWidth="1"/>
    <col min="7209" max="7209" width="4" style="256" customWidth="1"/>
    <col min="7210" max="7210" width="7.265625" style="256" customWidth="1"/>
    <col min="7211" max="7211" width="4" style="256" customWidth="1"/>
    <col min="7212" max="7212" width="13" style="256" customWidth="1"/>
    <col min="7213" max="7213" width="7.73046875" style="256" customWidth="1"/>
    <col min="7214" max="7214" width="5.59765625" style="256" customWidth="1"/>
    <col min="7215" max="7215" width="5.73046875" style="256" customWidth="1"/>
    <col min="7216" max="7216" width="8.1328125" style="256" customWidth="1"/>
    <col min="7217" max="7218" width="7.59765625" style="256" customWidth="1"/>
    <col min="7219" max="7219" width="6.73046875" style="256" customWidth="1"/>
    <col min="7220" max="7220" width="4" style="256" customWidth="1"/>
    <col min="7221" max="7221" width="7.265625" style="256" customWidth="1"/>
    <col min="7222" max="7222" width="4" style="256" customWidth="1"/>
    <col min="7223" max="7223" width="13" style="256" customWidth="1"/>
    <col min="7224" max="7224" width="7.73046875" style="256" customWidth="1"/>
    <col min="7225" max="7225" width="5.59765625" style="256" customWidth="1"/>
    <col min="7226" max="7226" width="5.73046875" style="256" customWidth="1"/>
    <col min="7227" max="7227" width="8.1328125" style="256" customWidth="1"/>
    <col min="7228" max="7229" width="7.59765625" style="256" customWidth="1"/>
    <col min="7230" max="7230" width="6.73046875" style="256" customWidth="1"/>
    <col min="7231" max="7231" width="4" style="256" customWidth="1"/>
    <col min="7232" max="7232" width="7.265625" style="256" customWidth="1"/>
    <col min="7233" max="7233" width="4.3984375" style="256" customWidth="1"/>
    <col min="7234" max="7234" width="13" style="256" customWidth="1"/>
    <col min="7235" max="7235" width="7.73046875" style="256" customWidth="1"/>
    <col min="7236" max="7236" width="5.59765625" style="256" customWidth="1"/>
    <col min="7237" max="7237" width="5.73046875" style="256" customWidth="1"/>
    <col min="7238" max="7238" width="8.1328125" style="256" customWidth="1"/>
    <col min="7239" max="7240" width="7.59765625" style="256" customWidth="1"/>
    <col min="7241" max="7241" width="6.73046875" style="256" customWidth="1"/>
    <col min="7242" max="7242" width="4" style="256" customWidth="1"/>
    <col min="7243" max="7243" width="7.265625" style="256" customWidth="1"/>
    <col min="7244" max="7244" width="4" style="256" customWidth="1"/>
    <col min="7245" max="7245" width="13" style="256" customWidth="1"/>
    <col min="7246" max="7246" width="7.73046875" style="256" customWidth="1"/>
    <col min="7247" max="7247" width="5.59765625" style="256" customWidth="1"/>
    <col min="7248" max="7248" width="5.73046875" style="256" customWidth="1"/>
    <col min="7249" max="7249" width="8.1328125" style="256" customWidth="1"/>
    <col min="7250" max="7251" width="7.59765625" style="256" customWidth="1"/>
    <col min="7252" max="7252" width="6.73046875" style="256" customWidth="1"/>
    <col min="7253" max="7253" width="4" style="256" customWidth="1"/>
    <col min="7254" max="7254" width="7.265625" style="256" customWidth="1"/>
    <col min="7255" max="7255" width="4" style="256" customWidth="1"/>
    <col min="7256" max="7256" width="13" style="256" customWidth="1"/>
    <col min="7257" max="7257" width="7.73046875" style="256" customWidth="1"/>
    <col min="7258" max="7258" width="5.59765625" style="256" customWidth="1"/>
    <col min="7259" max="7259" width="5.73046875" style="256" customWidth="1"/>
    <col min="7260" max="7260" width="8.1328125" style="256" customWidth="1"/>
    <col min="7261" max="7262" width="7.59765625" style="256" customWidth="1"/>
    <col min="7263" max="7263" width="6.73046875" style="256" customWidth="1"/>
    <col min="7264" max="7264" width="4" style="256" customWidth="1"/>
    <col min="7265" max="7265" width="7.265625" style="256" customWidth="1"/>
    <col min="7266" max="7266" width="4" style="256" customWidth="1"/>
    <col min="7267" max="7267" width="13" style="256" customWidth="1"/>
    <col min="7268" max="7268" width="7.73046875" style="256" customWidth="1"/>
    <col min="7269" max="7269" width="5.59765625" style="256" customWidth="1"/>
    <col min="7270" max="7270" width="5.73046875" style="256" customWidth="1"/>
    <col min="7271" max="7271" width="8.1328125" style="256" customWidth="1"/>
    <col min="7272" max="7273" width="7.59765625" style="256" customWidth="1"/>
    <col min="7274" max="7274" width="6.73046875" style="256" customWidth="1"/>
    <col min="7275" max="7275" width="4" style="256" customWidth="1"/>
    <col min="7276" max="7276" width="7.265625" style="256" customWidth="1"/>
    <col min="7277" max="7277" width="4" style="256" customWidth="1"/>
    <col min="7278" max="7278" width="13" style="256" customWidth="1"/>
    <col min="7279" max="7279" width="7.73046875" style="256" customWidth="1"/>
    <col min="7280" max="7280" width="5.59765625" style="256" customWidth="1"/>
    <col min="7281" max="7281" width="5.73046875" style="256" customWidth="1"/>
    <col min="7282" max="7282" width="8.1328125" style="256" customWidth="1"/>
    <col min="7283" max="7284" width="7.59765625" style="256" customWidth="1"/>
    <col min="7285" max="7285" width="6.73046875" style="256" customWidth="1"/>
    <col min="7286" max="7286" width="4" style="256" customWidth="1"/>
    <col min="7287" max="7287" width="7.265625" style="256" customWidth="1"/>
    <col min="7288" max="7288" width="4" style="256" customWidth="1"/>
    <col min="7289" max="7289" width="13" style="256" customWidth="1"/>
    <col min="7290" max="7290" width="7.73046875" style="256" customWidth="1"/>
    <col min="7291" max="7291" width="5.59765625" style="256" customWidth="1"/>
    <col min="7292" max="7292" width="5.73046875" style="256" customWidth="1"/>
    <col min="7293" max="7293" width="8.1328125" style="256" customWidth="1"/>
    <col min="7294" max="7295" width="7.59765625" style="256" customWidth="1"/>
    <col min="7296" max="7296" width="6.73046875" style="256" customWidth="1"/>
    <col min="7297" max="7297" width="4" style="256" customWidth="1"/>
    <col min="7298" max="7298" width="7.265625" style="256" customWidth="1"/>
    <col min="7299" max="7299" width="4" style="256" customWidth="1"/>
    <col min="7300" max="7300" width="13" style="256" customWidth="1"/>
    <col min="7301" max="7301" width="7.73046875" style="256" customWidth="1"/>
    <col min="7302" max="7302" width="5.59765625" style="256" customWidth="1"/>
    <col min="7303" max="7303" width="5.73046875" style="256" customWidth="1"/>
    <col min="7304" max="7304" width="8.1328125" style="256" customWidth="1"/>
    <col min="7305" max="7306" width="7.59765625" style="256" customWidth="1"/>
    <col min="7307" max="7307" width="6.73046875" style="256" customWidth="1"/>
    <col min="7308" max="7308" width="4" style="256" customWidth="1"/>
    <col min="7309" max="7309" width="7.265625" style="256" customWidth="1"/>
    <col min="7310" max="7310" width="4" style="256" customWidth="1"/>
    <col min="7311" max="7311" width="13" style="256" customWidth="1"/>
    <col min="7312" max="7312" width="7.73046875" style="256" customWidth="1"/>
    <col min="7313" max="7313" width="5.59765625" style="256" customWidth="1"/>
    <col min="7314" max="7315" width="9.1328125" style="256"/>
    <col min="7316" max="7316" width="6.59765625" style="256" customWidth="1"/>
    <col min="7317" max="7317" width="8.73046875" style="256" customWidth="1"/>
    <col min="7318" max="7318" width="7.3984375" style="256" customWidth="1"/>
    <col min="7319" max="7319" width="7.265625" style="256" customWidth="1"/>
    <col min="7320" max="7320" width="7.73046875" style="256" customWidth="1"/>
    <col min="7321" max="7321" width="4.3984375" style="256" customWidth="1"/>
    <col min="7322" max="7322" width="9.1328125" style="256"/>
    <col min="7323" max="7323" width="6" style="256" customWidth="1"/>
    <col min="7324" max="7324" width="12.265625" style="256" customWidth="1"/>
    <col min="7325" max="7325" width="8" style="256" customWidth="1"/>
    <col min="7326" max="7328" width="9.1328125" style="256"/>
    <col min="7329" max="7329" width="7.73046875" style="256" customWidth="1"/>
    <col min="7330" max="7330" width="8.265625" style="256" customWidth="1"/>
    <col min="7331" max="7331" width="7.1328125" style="256" customWidth="1"/>
    <col min="7332" max="7332" width="7.59765625" style="256" customWidth="1"/>
    <col min="7333" max="7333" width="7.3984375" style="256" customWidth="1"/>
    <col min="7334" max="7334" width="4.86328125" style="256" customWidth="1"/>
    <col min="7335" max="7335" width="9.1328125" style="256"/>
    <col min="7336" max="7336" width="5" style="256" customWidth="1"/>
    <col min="7337" max="7337" width="12.265625" style="256" customWidth="1"/>
    <col min="7338" max="7338" width="7.86328125" style="256" customWidth="1"/>
    <col min="7339" max="7341" width="9.1328125" style="256"/>
    <col min="7342" max="7342" width="7.265625" style="256" customWidth="1"/>
    <col min="7343" max="7343" width="8.1328125" style="256" customWidth="1"/>
    <col min="7344" max="7344" width="6.86328125" style="256" customWidth="1"/>
    <col min="7345" max="7345" width="8" style="256" customWidth="1"/>
    <col min="7346" max="7346" width="7.3984375" style="256" customWidth="1"/>
    <col min="7347" max="7347" width="4.59765625" style="256" customWidth="1"/>
    <col min="7348" max="7348" width="9.1328125" style="256"/>
    <col min="7349" max="7349" width="4.1328125" style="256" customWidth="1"/>
    <col min="7350" max="7350" width="12" style="256" customWidth="1"/>
    <col min="7351" max="7351" width="8.1328125" style="256" customWidth="1"/>
    <col min="7352" max="7354" width="9.1328125" style="256"/>
    <col min="7355" max="7355" width="5.3984375" style="256" customWidth="1"/>
    <col min="7356" max="7356" width="7.73046875" style="256" customWidth="1"/>
    <col min="7357" max="7357" width="5.1328125" style="256" customWidth="1"/>
    <col min="7358" max="7358" width="7.3984375" style="256" customWidth="1"/>
    <col min="7359" max="7359" width="7.1328125" style="256" customWidth="1"/>
    <col min="7360" max="7360" width="4.265625" style="256" customWidth="1"/>
    <col min="7361" max="7361" width="9.1328125" style="256"/>
    <col min="7362" max="7362" width="5.1328125" style="256" customWidth="1"/>
    <col min="7363" max="7363" width="12.265625" style="256" customWidth="1"/>
    <col min="7364" max="7364" width="7.73046875" style="256" customWidth="1"/>
    <col min="7365" max="7366" width="9.1328125" style="256"/>
    <col min="7367" max="7367" width="6.73046875" style="256" customWidth="1"/>
    <col min="7368" max="7368" width="7.59765625" style="256" customWidth="1"/>
    <col min="7369" max="7369" width="6.265625" style="256" customWidth="1"/>
    <col min="7370" max="7370" width="8.1328125" style="256" customWidth="1"/>
    <col min="7371" max="7371" width="7.1328125" style="256" customWidth="1"/>
    <col min="7372" max="7372" width="4.3984375" style="256" customWidth="1"/>
    <col min="7373" max="7373" width="9.1328125" style="256"/>
    <col min="7374" max="7374" width="3.86328125" style="256" customWidth="1"/>
    <col min="7375" max="7375" width="12.265625" style="256" customWidth="1"/>
    <col min="7376" max="7376" width="8.3984375" style="256" customWidth="1"/>
    <col min="7377" max="7378" width="9.1328125" style="256"/>
    <col min="7379" max="7379" width="8.1328125" style="256" customWidth="1"/>
    <col min="7380" max="7380" width="8.3984375" style="256" customWidth="1"/>
    <col min="7381" max="7381" width="7" style="256" customWidth="1"/>
    <col min="7382" max="7382" width="8.3984375" style="256" customWidth="1"/>
    <col min="7383" max="7383" width="9.1328125" style="256"/>
    <col min="7384" max="7384" width="6.1328125" style="256" customWidth="1"/>
    <col min="7385" max="7385" width="9.1328125" style="256"/>
    <col min="7386" max="7386" width="6.73046875" style="256" customWidth="1"/>
    <col min="7387" max="7403" width="9.1328125" style="256"/>
    <col min="7404" max="7404" width="5.59765625" style="256" customWidth="1"/>
    <col min="7405" max="7405" width="5.73046875" style="256" customWidth="1"/>
    <col min="7406" max="7406" width="8.1328125" style="256" customWidth="1"/>
    <col min="7407" max="7408" width="7.59765625" style="256" customWidth="1"/>
    <col min="7409" max="7409" width="6.73046875" style="256" customWidth="1"/>
    <col min="7410" max="7410" width="4" style="256" customWidth="1"/>
    <col min="7411" max="7411" width="7.265625" style="256" customWidth="1"/>
    <col min="7412" max="7412" width="4" style="256" customWidth="1"/>
    <col min="7413" max="7413" width="13" style="256" customWidth="1"/>
    <col min="7414" max="7414" width="8" style="256" customWidth="1"/>
    <col min="7415" max="7415" width="5.59765625" style="256" customWidth="1"/>
    <col min="7416" max="7416" width="5.73046875" style="256" customWidth="1"/>
    <col min="7417" max="7417" width="8.1328125" style="256" customWidth="1"/>
    <col min="7418" max="7419" width="7.59765625" style="256" customWidth="1"/>
    <col min="7420" max="7420" width="6.73046875" style="256" customWidth="1"/>
    <col min="7421" max="7421" width="4" style="256" customWidth="1"/>
    <col min="7422" max="7422" width="7.265625" style="256" customWidth="1"/>
    <col min="7423" max="7423" width="4" style="256" customWidth="1"/>
    <col min="7424" max="7424" width="13" style="256" customWidth="1"/>
    <col min="7425" max="7425" width="7.73046875" style="256" customWidth="1"/>
    <col min="7426" max="7426" width="5.59765625" style="256" customWidth="1"/>
    <col min="7427" max="7427" width="5.73046875" style="256" customWidth="1"/>
    <col min="7428" max="7428" width="8.1328125" style="256" customWidth="1"/>
    <col min="7429" max="7430" width="7.59765625" style="256" customWidth="1"/>
    <col min="7431" max="7431" width="6.73046875" style="256" customWidth="1"/>
    <col min="7432" max="7432" width="4" style="256" customWidth="1"/>
    <col min="7433" max="7433" width="7.265625" style="256" customWidth="1"/>
    <col min="7434" max="7434" width="4" style="256" customWidth="1"/>
    <col min="7435" max="7435" width="13" style="256" customWidth="1"/>
    <col min="7436" max="7436" width="7.73046875" style="256" customWidth="1"/>
    <col min="7437" max="7437" width="5.59765625" style="256" customWidth="1"/>
    <col min="7438" max="7438" width="5.73046875" style="256" customWidth="1"/>
    <col min="7439" max="7439" width="8.1328125" style="256" customWidth="1"/>
    <col min="7440" max="7441" width="7.59765625" style="256" customWidth="1"/>
    <col min="7442" max="7442" width="6.73046875" style="256" customWidth="1"/>
    <col min="7443" max="7443" width="4" style="256" customWidth="1"/>
    <col min="7444" max="7444" width="7.265625" style="256" customWidth="1"/>
    <col min="7445" max="7445" width="4" style="256" customWidth="1"/>
    <col min="7446" max="7446" width="13" style="256" customWidth="1"/>
    <col min="7447" max="7447" width="7.73046875" style="256" customWidth="1"/>
    <col min="7448" max="7448" width="5.59765625" style="256" customWidth="1"/>
    <col min="7449" max="7449" width="5.73046875" style="256" customWidth="1"/>
    <col min="7450" max="7450" width="8.1328125" style="256" customWidth="1"/>
    <col min="7451" max="7452" width="7.59765625" style="256" customWidth="1"/>
    <col min="7453" max="7453" width="6.73046875" style="256" customWidth="1"/>
    <col min="7454" max="7454" width="4" style="256" customWidth="1"/>
    <col min="7455" max="7455" width="7.265625" style="256" customWidth="1"/>
    <col min="7456" max="7456" width="4" style="256" customWidth="1"/>
    <col min="7457" max="7457" width="13" style="256" customWidth="1"/>
    <col min="7458" max="7458" width="7.73046875" style="256" customWidth="1"/>
    <col min="7459" max="7459" width="5.59765625" style="256" customWidth="1"/>
    <col min="7460" max="7460" width="5.73046875" style="256" customWidth="1"/>
    <col min="7461" max="7461" width="8.1328125" style="256" customWidth="1"/>
    <col min="7462" max="7463" width="7.59765625" style="256" customWidth="1"/>
    <col min="7464" max="7464" width="6.73046875" style="256" customWidth="1"/>
    <col min="7465" max="7465" width="4" style="256" customWidth="1"/>
    <col min="7466" max="7466" width="7.265625" style="256" customWidth="1"/>
    <col min="7467" max="7467" width="4" style="256" customWidth="1"/>
    <col min="7468" max="7468" width="13" style="256" customWidth="1"/>
    <col min="7469" max="7469" width="7.73046875" style="256" customWidth="1"/>
    <col min="7470" max="7470" width="5.59765625" style="256" customWidth="1"/>
    <col min="7471" max="7471" width="5.73046875" style="256" customWidth="1"/>
    <col min="7472" max="7472" width="8.1328125" style="256" customWidth="1"/>
    <col min="7473" max="7474" width="7.59765625" style="256" customWidth="1"/>
    <col min="7475" max="7475" width="6.73046875" style="256" customWidth="1"/>
    <col min="7476" max="7476" width="4" style="256" customWidth="1"/>
    <col min="7477" max="7477" width="7.265625" style="256" customWidth="1"/>
    <col min="7478" max="7478" width="4" style="256" customWidth="1"/>
    <col min="7479" max="7479" width="13" style="256" customWidth="1"/>
    <col min="7480" max="7480" width="7.73046875" style="256" customWidth="1"/>
    <col min="7481" max="7481" width="5.59765625" style="256" customWidth="1"/>
    <col min="7482" max="7482" width="5.73046875" style="256" customWidth="1"/>
    <col min="7483" max="7483" width="8.1328125" style="256" customWidth="1"/>
    <col min="7484" max="7485" width="7.59765625" style="256" customWidth="1"/>
    <col min="7486" max="7486" width="6.73046875" style="256" customWidth="1"/>
    <col min="7487" max="7487" width="4" style="256" customWidth="1"/>
    <col min="7488" max="7488" width="7.265625" style="256" customWidth="1"/>
    <col min="7489" max="7489" width="4.3984375" style="256" customWidth="1"/>
    <col min="7490" max="7490" width="13" style="256" customWidth="1"/>
    <col min="7491" max="7491" width="7.73046875" style="256" customWidth="1"/>
    <col min="7492" max="7492" width="5.59765625" style="256" customWidth="1"/>
    <col min="7493" max="7493" width="5.73046875" style="256" customWidth="1"/>
    <col min="7494" max="7494" width="8.1328125" style="256" customWidth="1"/>
    <col min="7495" max="7496" width="7.59765625" style="256" customWidth="1"/>
    <col min="7497" max="7497" width="6.73046875" style="256" customWidth="1"/>
    <col min="7498" max="7498" width="4" style="256" customWidth="1"/>
    <col min="7499" max="7499" width="7.265625" style="256" customWidth="1"/>
    <col min="7500" max="7500" width="4" style="256" customWidth="1"/>
    <col min="7501" max="7501" width="13" style="256" customWidth="1"/>
    <col min="7502" max="7502" width="7.73046875" style="256" customWidth="1"/>
    <col min="7503" max="7503" width="5.59765625" style="256" customWidth="1"/>
    <col min="7504" max="7504" width="5.73046875" style="256" customWidth="1"/>
    <col min="7505" max="7505" width="8.1328125" style="256" customWidth="1"/>
    <col min="7506" max="7507" width="7.59765625" style="256" customWidth="1"/>
    <col min="7508" max="7508" width="6.73046875" style="256" customWidth="1"/>
    <col min="7509" max="7509" width="4" style="256" customWidth="1"/>
    <col min="7510" max="7510" width="7.265625" style="256" customWidth="1"/>
    <col min="7511" max="7511" width="4" style="256" customWidth="1"/>
    <col min="7512" max="7512" width="13" style="256" customWidth="1"/>
    <col min="7513" max="7513" width="7.73046875" style="256" customWidth="1"/>
    <col min="7514" max="7514" width="5.59765625" style="256" customWidth="1"/>
    <col min="7515" max="7515" width="5.73046875" style="256" customWidth="1"/>
    <col min="7516" max="7516" width="8.1328125" style="256" customWidth="1"/>
    <col min="7517" max="7518" width="7.59765625" style="256" customWidth="1"/>
    <col min="7519" max="7519" width="6.73046875" style="256" customWidth="1"/>
    <col min="7520" max="7520" width="4" style="256" customWidth="1"/>
    <col min="7521" max="7521" width="7.265625" style="256" customWidth="1"/>
    <col min="7522" max="7522" width="4" style="256" customWidth="1"/>
    <col min="7523" max="7523" width="13" style="256" customWidth="1"/>
    <col min="7524" max="7524" width="7.73046875" style="256" customWidth="1"/>
    <col min="7525" max="7525" width="5.59765625" style="256" customWidth="1"/>
    <col min="7526" max="7526" width="5.73046875" style="256" customWidth="1"/>
    <col min="7527" max="7527" width="8.1328125" style="256" customWidth="1"/>
    <col min="7528" max="7529" width="7.59765625" style="256" customWidth="1"/>
    <col min="7530" max="7530" width="6.73046875" style="256" customWidth="1"/>
    <col min="7531" max="7531" width="4" style="256" customWidth="1"/>
    <col min="7532" max="7532" width="7.265625" style="256" customWidth="1"/>
    <col min="7533" max="7533" width="4" style="256" customWidth="1"/>
    <col min="7534" max="7534" width="13" style="256" customWidth="1"/>
    <col min="7535" max="7535" width="7.73046875" style="256" customWidth="1"/>
    <col min="7536" max="7536" width="5.59765625" style="256" customWidth="1"/>
    <col min="7537" max="7537" width="5.73046875" style="256" customWidth="1"/>
    <col min="7538" max="7538" width="8.1328125" style="256" customWidth="1"/>
    <col min="7539" max="7540" width="7.59765625" style="256" customWidth="1"/>
    <col min="7541" max="7541" width="6.73046875" style="256" customWidth="1"/>
    <col min="7542" max="7542" width="4" style="256" customWidth="1"/>
    <col min="7543" max="7543" width="7.265625" style="256" customWidth="1"/>
    <col min="7544" max="7544" width="4" style="256" customWidth="1"/>
    <col min="7545" max="7545" width="13" style="256" customWidth="1"/>
    <col min="7546" max="7546" width="7.73046875" style="256" customWidth="1"/>
    <col min="7547" max="7547" width="5.59765625" style="256" customWidth="1"/>
    <col min="7548" max="7548" width="5.73046875" style="256" customWidth="1"/>
    <col min="7549" max="7549" width="8.1328125" style="256" customWidth="1"/>
    <col min="7550" max="7551" width="7.59765625" style="256" customWidth="1"/>
    <col min="7552" max="7552" width="6.73046875" style="256" customWidth="1"/>
    <col min="7553" max="7553" width="4" style="256" customWidth="1"/>
    <col min="7554" max="7554" width="7.265625" style="256" customWidth="1"/>
    <col min="7555" max="7555" width="4" style="256" customWidth="1"/>
    <col min="7556" max="7556" width="13" style="256" customWidth="1"/>
    <col min="7557" max="7557" width="7.73046875" style="256" customWidth="1"/>
    <col min="7558" max="7558" width="5.59765625" style="256" customWidth="1"/>
    <col min="7559" max="7559" width="5.73046875" style="256" customWidth="1"/>
    <col min="7560" max="7560" width="8.1328125" style="256" customWidth="1"/>
    <col min="7561" max="7562" width="7.59765625" style="256" customWidth="1"/>
    <col min="7563" max="7563" width="6.73046875" style="256" customWidth="1"/>
    <col min="7564" max="7564" width="4" style="256" customWidth="1"/>
    <col min="7565" max="7565" width="7.265625" style="256" customWidth="1"/>
    <col min="7566" max="7566" width="4" style="256" customWidth="1"/>
    <col min="7567" max="7567" width="13" style="256" customWidth="1"/>
    <col min="7568" max="7568" width="7.73046875" style="256" customWidth="1"/>
    <col min="7569" max="7569" width="5.59765625" style="256" customWidth="1"/>
    <col min="7570" max="7571" width="9.1328125" style="256"/>
    <col min="7572" max="7572" width="6.59765625" style="256" customWidth="1"/>
    <col min="7573" max="7573" width="8.73046875" style="256" customWidth="1"/>
    <col min="7574" max="7574" width="7.3984375" style="256" customWidth="1"/>
    <col min="7575" max="7575" width="7.265625" style="256" customWidth="1"/>
    <col min="7576" max="7576" width="7.73046875" style="256" customWidth="1"/>
    <col min="7577" max="7577" width="4.3984375" style="256" customWidth="1"/>
    <col min="7578" max="7578" width="9.1328125" style="256"/>
    <col min="7579" max="7579" width="6" style="256" customWidth="1"/>
    <col min="7580" max="7580" width="12.265625" style="256" customWidth="1"/>
    <col min="7581" max="7581" width="8" style="256" customWidth="1"/>
    <col min="7582" max="7584" width="9.1328125" style="256"/>
    <col min="7585" max="7585" width="7.73046875" style="256" customWidth="1"/>
    <col min="7586" max="7586" width="8.265625" style="256" customWidth="1"/>
    <col min="7587" max="7587" width="7.1328125" style="256" customWidth="1"/>
    <col min="7588" max="7588" width="7.59765625" style="256" customWidth="1"/>
    <col min="7589" max="7589" width="7.3984375" style="256" customWidth="1"/>
    <col min="7590" max="7590" width="4.86328125" style="256" customWidth="1"/>
    <col min="7591" max="7591" width="9.1328125" style="256"/>
    <col min="7592" max="7592" width="5" style="256" customWidth="1"/>
    <col min="7593" max="7593" width="12.265625" style="256" customWidth="1"/>
    <col min="7594" max="7594" width="7.86328125" style="256" customWidth="1"/>
    <col min="7595" max="7597" width="9.1328125" style="256"/>
    <col min="7598" max="7598" width="7.265625" style="256" customWidth="1"/>
    <col min="7599" max="7599" width="8.1328125" style="256" customWidth="1"/>
    <col min="7600" max="7600" width="6.86328125" style="256" customWidth="1"/>
    <col min="7601" max="7601" width="8" style="256" customWidth="1"/>
    <col min="7602" max="7602" width="7.3984375" style="256" customWidth="1"/>
    <col min="7603" max="7603" width="4.59765625" style="256" customWidth="1"/>
    <col min="7604" max="7604" width="9.1328125" style="256"/>
    <col min="7605" max="7605" width="4.1328125" style="256" customWidth="1"/>
    <col min="7606" max="7606" width="12" style="256" customWidth="1"/>
    <col min="7607" max="7607" width="8.1328125" style="256" customWidth="1"/>
    <col min="7608" max="7610" width="9.1328125" style="256"/>
    <col min="7611" max="7611" width="5.3984375" style="256" customWidth="1"/>
    <col min="7612" max="7612" width="7.73046875" style="256" customWidth="1"/>
    <col min="7613" max="7613" width="5.1328125" style="256" customWidth="1"/>
    <col min="7614" max="7614" width="7.3984375" style="256" customWidth="1"/>
    <col min="7615" max="7615" width="7.1328125" style="256" customWidth="1"/>
    <col min="7616" max="7616" width="4.265625" style="256" customWidth="1"/>
    <col min="7617" max="7617" width="9.1328125" style="256"/>
    <col min="7618" max="7618" width="5.1328125" style="256" customWidth="1"/>
    <col min="7619" max="7619" width="12.265625" style="256" customWidth="1"/>
    <col min="7620" max="7620" width="7.73046875" style="256" customWidth="1"/>
    <col min="7621" max="7622" width="9.1328125" style="256"/>
    <col min="7623" max="7623" width="6.73046875" style="256" customWidth="1"/>
    <col min="7624" max="7624" width="7.59765625" style="256" customWidth="1"/>
    <col min="7625" max="7625" width="6.265625" style="256" customWidth="1"/>
    <col min="7626" max="7626" width="8.1328125" style="256" customWidth="1"/>
    <col min="7627" max="7627" width="7.1328125" style="256" customWidth="1"/>
    <col min="7628" max="7628" width="4.3984375" style="256" customWidth="1"/>
    <col min="7629" max="7629" width="9.1328125" style="256"/>
    <col min="7630" max="7630" width="3.86328125" style="256" customWidth="1"/>
    <col min="7631" max="7631" width="12.265625" style="256" customWidth="1"/>
    <col min="7632" max="7632" width="8.3984375" style="256" customWidth="1"/>
    <col min="7633" max="7634" width="9.1328125" style="256"/>
    <col min="7635" max="7635" width="8.1328125" style="256" customWidth="1"/>
    <col min="7636" max="7636" width="8.3984375" style="256" customWidth="1"/>
    <col min="7637" max="7637" width="7" style="256" customWidth="1"/>
    <col min="7638" max="7638" width="8.3984375" style="256" customWidth="1"/>
    <col min="7639" max="7639" width="9.1328125" style="256"/>
    <col min="7640" max="7640" width="6.1328125" style="256" customWidth="1"/>
    <col min="7641" max="7641" width="9.1328125" style="256"/>
    <col min="7642" max="7642" width="6.73046875" style="256" customWidth="1"/>
    <col min="7643" max="7659" width="9.1328125" style="256"/>
    <col min="7660" max="7660" width="5.59765625" style="256" customWidth="1"/>
    <col min="7661" max="7661" width="5.73046875" style="256" customWidth="1"/>
    <col min="7662" max="7662" width="8.1328125" style="256" customWidth="1"/>
    <col min="7663" max="7664" width="7.59765625" style="256" customWidth="1"/>
    <col min="7665" max="7665" width="6.73046875" style="256" customWidth="1"/>
    <col min="7666" max="7666" width="4" style="256" customWidth="1"/>
    <col min="7667" max="7667" width="7.265625" style="256" customWidth="1"/>
    <col min="7668" max="7668" width="4" style="256" customWidth="1"/>
    <col min="7669" max="7669" width="13" style="256" customWidth="1"/>
    <col min="7670" max="7670" width="8" style="256" customWidth="1"/>
    <col min="7671" max="7671" width="5.59765625" style="256" customWidth="1"/>
    <col min="7672" max="7672" width="5.73046875" style="256" customWidth="1"/>
    <col min="7673" max="7673" width="8.1328125" style="256" customWidth="1"/>
    <col min="7674" max="7675" width="7.59765625" style="256" customWidth="1"/>
    <col min="7676" max="7676" width="6.73046875" style="256" customWidth="1"/>
    <col min="7677" max="7677" width="4" style="256" customWidth="1"/>
    <col min="7678" max="7678" width="7.265625" style="256" customWidth="1"/>
    <col min="7679" max="7679" width="4" style="256" customWidth="1"/>
    <col min="7680" max="7680" width="13" style="256" customWidth="1"/>
    <col min="7681" max="7681" width="7.73046875" style="256" customWidth="1"/>
    <col min="7682" max="7682" width="5.59765625" style="256" customWidth="1"/>
    <col min="7683" max="7683" width="5.73046875" style="256" customWidth="1"/>
    <col min="7684" max="7684" width="8.1328125" style="256" customWidth="1"/>
    <col min="7685" max="7686" width="7.59765625" style="256" customWidth="1"/>
    <col min="7687" max="7687" width="6.73046875" style="256" customWidth="1"/>
    <col min="7688" max="7688" width="4" style="256" customWidth="1"/>
    <col min="7689" max="7689" width="7.265625" style="256" customWidth="1"/>
    <col min="7690" max="7690" width="4" style="256" customWidth="1"/>
    <col min="7691" max="7691" width="13" style="256" customWidth="1"/>
    <col min="7692" max="7692" width="7.73046875" style="256" customWidth="1"/>
    <col min="7693" max="7693" width="5.59765625" style="256" customWidth="1"/>
    <col min="7694" max="7694" width="5.73046875" style="256" customWidth="1"/>
    <col min="7695" max="7695" width="8.1328125" style="256" customWidth="1"/>
    <col min="7696" max="7697" width="7.59765625" style="256" customWidth="1"/>
    <col min="7698" max="7698" width="6.73046875" style="256" customWidth="1"/>
    <col min="7699" max="7699" width="4" style="256" customWidth="1"/>
    <col min="7700" max="7700" width="7.265625" style="256" customWidth="1"/>
    <col min="7701" max="7701" width="4" style="256" customWidth="1"/>
    <col min="7702" max="7702" width="13" style="256" customWidth="1"/>
    <col min="7703" max="7703" width="7.73046875" style="256" customWidth="1"/>
    <col min="7704" max="7704" width="5.59765625" style="256" customWidth="1"/>
    <col min="7705" max="7705" width="5.73046875" style="256" customWidth="1"/>
    <col min="7706" max="7706" width="8.1328125" style="256" customWidth="1"/>
    <col min="7707" max="7708" width="7.59765625" style="256" customWidth="1"/>
    <col min="7709" max="7709" width="6.73046875" style="256" customWidth="1"/>
    <col min="7710" max="7710" width="4" style="256" customWidth="1"/>
    <col min="7711" max="7711" width="7.265625" style="256" customWidth="1"/>
    <col min="7712" max="7712" width="4" style="256" customWidth="1"/>
    <col min="7713" max="7713" width="13" style="256" customWidth="1"/>
    <col min="7714" max="7714" width="7.73046875" style="256" customWidth="1"/>
    <col min="7715" max="7715" width="5.59765625" style="256" customWidth="1"/>
    <col min="7716" max="7716" width="5.73046875" style="256" customWidth="1"/>
    <col min="7717" max="7717" width="8.1328125" style="256" customWidth="1"/>
    <col min="7718" max="7719" width="7.59765625" style="256" customWidth="1"/>
    <col min="7720" max="7720" width="6.73046875" style="256" customWidth="1"/>
    <col min="7721" max="7721" width="4" style="256" customWidth="1"/>
    <col min="7722" max="7722" width="7.265625" style="256" customWidth="1"/>
    <col min="7723" max="7723" width="4" style="256" customWidth="1"/>
    <col min="7724" max="7724" width="13" style="256" customWidth="1"/>
    <col min="7725" max="7725" width="7.73046875" style="256" customWidth="1"/>
    <col min="7726" max="7726" width="5.59765625" style="256" customWidth="1"/>
    <col min="7727" max="7727" width="5.73046875" style="256" customWidth="1"/>
    <col min="7728" max="7728" width="8.1328125" style="256" customWidth="1"/>
    <col min="7729" max="7730" width="7.59765625" style="256" customWidth="1"/>
    <col min="7731" max="7731" width="6.73046875" style="256" customWidth="1"/>
    <col min="7732" max="7732" width="4" style="256" customWidth="1"/>
    <col min="7733" max="7733" width="7.265625" style="256" customWidth="1"/>
    <col min="7734" max="7734" width="4" style="256" customWidth="1"/>
    <col min="7735" max="7735" width="13" style="256" customWidth="1"/>
    <col min="7736" max="7736" width="7.73046875" style="256" customWidth="1"/>
    <col min="7737" max="7737" width="5.59765625" style="256" customWidth="1"/>
    <col min="7738" max="7738" width="5.73046875" style="256" customWidth="1"/>
    <col min="7739" max="7739" width="8.1328125" style="256" customWidth="1"/>
    <col min="7740" max="7741" width="7.59765625" style="256" customWidth="1"/>
    <col min="7742" max="7742" width="6.73046875" style="256" customWidth="1"/>
    <col min="7743" max="7743" width="4" style="256" customWidth="1"/>
    <col min="7744" max="7744" width="7.265625" style="256" customWidth="1"/>
    <col min="7745" max="7745" width="4.3984375" style="256" customWidth="1"/>
    <col min="7746" max="7746" width="13" style="256" customWidth="1"/>
    <col min="7747" max="7747" width="7.73046875" style="256" customWidth="1"/>
    <col min="7748" max="7748" width="5.59765625" style="256" customWidth="1"/>
    <col min="7749" max="7749" width="5.73046875" style="256" customWidth="1"/>
    <col min="7750" max="7750" width="8.1328125" style="256" customWidth="1"/>
    <col min="7751" max="7752" width="7.59765625" style="256" customWidth="1"/>
    <col min="7753" max="7753" width="6.73046875" style="256" customWidth="1"/>
    <col min="7754" max="7754" width="4" style="256" customWidth="1"/>
    <col min="7755" max="7755" width="7.265625" style="256" customWidth="1"/>
    <col min="7756" max="7756" width="4" style="256" customWidth="1"/>
    <col min="7757" max="7757" width="13" style="256" customWidth="1"/>
    <col min="7758" max="7758" width="7.73046875" style="256" customWidth="1"/>
    <col min="7759" max="7759" width="5.59765625" style="256" customWidth="1"/>
    <col min="7760" max="7760" width="5.73046875" style="256" customWidth="1"/>
    <col min="7761" max="7761" width="8.1328125" style="256" customWidth="1"/>
    <col min="7762" max="7763" width="7.59765625" style="256" customWidth="1"/>
    <col min="7764" max="7764" width="6.73046875" style="256" customWidth="1"/>
    <col min="7765" max="7765" width="4" style="256" customWidth="1"/>
    <col min="7766" max="7766" width="7.265625" style="256" customWidth="1"/>
    <col min="7767" max="7767" width="4" style="256" customWidth="1"/>
    <col min="7768" max="7768" width="13" style="256" customWidth="1"/>
    <col min="7769" max="7769" width="7.73046875" style="256" customWidth="1"/>
    <col min="7770" max="7770" width="5.59765625" style="256" customWidth="1"/>
    <col min="7771" max="7771" width="5.73046875" style="256" customWidth="1"/>
    <col min="7772" max="7772" width="8.1328125" style="256" customWidth="1"/>
    <col min="7773" max="7774" width="7.59765625" style="256" customWidth="1"/>
    <col min="7775" max="7775" width="6.73046875" style="256" customWidth="1"/>
    <col min="7776" max="7776" width="4" style="256" customWidth="1"/>
    <col min="7777" max="7777" width="7.265625" style="256" customWidth="1"/>
    <col min="7778" max="7778" width="4" style="256" customWidth="1"/>
    <col min="7779" max="7779" width="13" style="256" customWidth="1"/>
    <col min="7780" max="7780" width="7.73046875" style="256" customWidth="1"/>
    <col min="7781" max="7781" width="5.59765625" style="256" customWidth="1"/>
    <col min="7782" max="7782" width="5.73046875" style="256" customWidth="1"/>
    <col min="7783" max="7783" width="8.1328125" style="256" customWidth="1"/>
    <col min="7784" max="7785" width="7.59765625" style="256" customWidth="1"/>
    <col min="7786" max="7786" width="6.73046875" style="256" customWidth="1"/>
    <col min="7787" max="7787" width="4" style="256" customWidth="1"/>
    <col min="7788" max="7788" width="7.265625" style="256" customWidth="1"/>
    <col min="7789" max="7789" width="4" style="256" customWidth="1"/>
    <col min="7790" max="7790" width="13" style="256" customWidth="1"/>
    <col min="7791" max="7791" width="7.73046875" style="256" customWidth="1"/>
    <col min="7792" max="7792" width="5.59765625" style="256" customWidth="1"/>
    <col min="7793" max="7793" width="5.73046875" style="256" customWidth="1"/>
    <col min="7794" max="7794" width="8.1328125" style="256" customWidth="1"/>
    <col min="7795" max="7796" width="7.59765625" style="256" customWidth="1"/>
    <col min="7797" max="7797" width="6.73046875" style="256" customWidth="1"/>
    <col min="7798" max="7798" width="4" style="256" customWidth="1"/>
    <col min="7799" max="7799" width="7.265625" style="256" customWidth="1"/>
    <col min="7800" max="7800" width="4" style="256" customWidth="1"/>
    <col min="7801" max="7801" width="13" style="256" customWidth="1"/>
    <col min="7802" max="7802" width="7.73046875" style="256" customWidth="1"/>
    <col min="7803" max="7803" width="5.59765625" style="256" customWidth="1"/>
    <col min="7804" max="7804" width="5.73046875" style="256" customWidth="1"/>
    <col min="7805" max="7805" width="8.1328125" style="256" customWidth="1"/>
    <col min="7806" max="7807" width="7.59765625" style="256" customWidth="1"/>
    <col min="7808" max="7808" width="6.73046875" style="256" customWidth="1"/>
    <col min="7809" max="7809" width="4" style="256" customWidth="1"/>
    <col min="7810" max="7810" width="7.265625" style="256" customWidth="1"/>
    <col min="7811" max="7811" width="4" style="256" customWidth="1"/>
    <col min="7812" max="7812" width="13" style="256" customWidth="1"/>
    <col min="7813" max="7813" width="7.73046875" style="256" customWidth="1"/>
    <col min="7814" max="7814" width="5.59765625" style="256" customWidth="1"/>
    <col min="7815" max="7815" width="5.73046875" style="256" customWidth="1"/>
    <col min="7816" max="7816" width="8.1328125" style="256" customWidth="1"/>
    <col min="7817" max="7818" width="7.59765625" style="256" customWidth="1"/>
    <col min="7819" max="7819" width="6.73046875" style="256" customWidth="1"/>
    <col min="7820" max="7820" width="4" style="256" customWidth="1"/>
    <col min="7821" max="7821" width="7.265625" style="256" customWidth="1"/>
    <col min="7822" max="7822" width="4" style="256" customWidth="1"/>
    <col min="7823" max="7823" width="13" style="256" customWidth="1"/>
    <col min="7824" max="7824" width="7.73046875" style="256" customWidth="1"/>
    <col min="7825" max="7825" width="5.59765625" style="256" customWidth="1"/>
    <col min="7826" max="7827" width="9.1328125" style="256"/>
    <col min="7828" max="7828" width="6.59765625" style="256" customWidth="1"/>
    <col min="7829" max="7829" width="8.73046875" style="256" customWidth="1"/>
    <col min="7830" max="7830" width="7.3984375" style="256" customWidth="1"/>
    <col min="7831" max="7831" width="7.265625" style="256" customWidth="1"/>
    <col min="7832" max="7832" width="7.73046875" style="256" customWidth="1"/>
    <col min="7833" max="7833" width="4.3984375" style="256" customWidth="1"/>
    <col min="7834" max="7834" width="9.1328125" style="256"/>
    <col min="7835" max="7835" width="6" style="256" customWidth="1"/>
    <col min="7836" max="7836" width="12.265625" style="256" customWidth="1"/>
    <col min="7837" max="7837" width="8" style="256" customWidth="1"/>
    <col min="7838" max="7840" width="9.1328125" style="256"/>
    <col min="7841" max="7841" width="7.73046875" style="256" customWidth="1"/>
    <col min="7842" max="7842" width="8.265625" style="256" customWidth="1"/>
    <col min="7843" max="7843" width="7.1328125" style="256" customWidth="1"/>
    <col min="7844" max="7844" width="7.59765625" style="256" customWidth="1"/>
    <col min="7845" max="7845" width="7.3984375" style="256" customWidth="1"/>
    <col min="7846" max="7846" width="4.86328125" style="256" customWidth="1"/>
    <col min="7847" max="7847" width="9.1328125" style="256"/>
    <col min="7848" max="7848" width="5" style="256" customWidth="1"/>
    <col min="7849" max="7849" width="12.265625" style="256" customWidth="1"/>
    <col min="7850" max="7850" width="7.86328125" style="256" customWidth="1"/>
    <col min="7851" max="7853" width="9.1328125" style="256"/>
    <col min="7854" max="7854" width="7.265625" style="256" customWidth="1"/>
    <col min="7855" max="7855" width="8.1328125" style="256" customWidth="1"/>
    <col min="7856" max="7856" width="6.86328125" style="256" customWidth="1"/>
    <col min="7857" max="7857" width="8" style="256" customWidth="1"/>
    <col min="7858" max="7858" width="7.3984375" style="256" customWidth="1"/>
    <col min="7859" max="7859" width="4.59765625" style="256" customWidth="1"/>
    <col min="7860" max="7860" width="9.1328125" style="256"/>
    <col min="7861" max="7861" width="4.1328125" style="256" customWidth="1"/>
    <col min="7862" max="7862" width="12" style="256" customWidth="1"/>
    <col min="7863" max="7863" width="8.1328125" style="256" customWidth="1"/>
    <col min="7864" max="7866" width="9.1328125" style="256"/>
    <col min="7867" max="7867" width="5.3984375" style="256" customWidth="1"/>
    <col min="7868" max="7868" width="7.73046875" style="256" customWidth="1"/>
    <col min="7869" max="7869" width="5.1328125" style="256" customWidth="1"/>
    <col min="7870" max="7870" width="7.3984375" style="256" customWidth="1"/>
    <col min="7871" max="7871" width="7.1328125" style="256" customWidth="1"/>
    <col min="7872" max="7872" width="4.265625" style="256" customWidth="1"/>
    <col min="7873" max="7873" width="9.1328125" style="256"/>
    <col min="7874" max="7874" width="5.1328125" style="256" customWidth="1"/>
    <col min="7875" max="7875" width="12.265625" style="256" customWidth="1"/>
    <col min="7876" max="7876" width="7.73046875" style="256" customWidth="1"/>
    <col min="7877" max="7878" width="9.1328125" style="256"/>
    <col min="7879" max="7879" width="6.73046875" style="256" customWidth="1"/>
    <col min="7880" max="7880" width="7.59765625" style="256" customWidth="1"/>
    <col min="7881" max="7881" width="6.265625" style="256" customWidth="1"/>
    <col min="7882" max="7882" width="8.1328125" style="256" customWidth="1"/>
    <col min="7883" max="7883" width="7.1328125" style="256" customWidth="1"/>
    <col min="7884" max="7884" width="4.3984375" style="256" customWidth="1"/>
    <col min="7885" max="7885" width="9.1328125" style="256"/>
    <col min="7886" max="7886" width="3.86328125" style="256" customWidth="1"/>
    <col min="7887" max="7887" width="12.265625" style="256" customWidth="1"/>
    <col min="7888" max="7888" width="8.3984375" style="256" customWidth="1"/>
    <col min="7889" max="7890" width="9.1328125" style="256"/>
    <col min="7891" max="7891" width="8.1328125" style="256" customWidth="1"/>
    <col min="7892" max="7892" width="8.3984375" style="256" customWidth="1"/>
    <col min="7893" max="7893" width="7" style="256" customWidth="1"/>
    <col min="7894" max="7894" width="8.3984375" style="256" customWidth="1"/>
    <col min="7895" max="7895" width="9.1328125" style="256"/>
    <col min="7896" max="7896" width="6.1328125" style="256" customWidth="1"/>
    <col min="7897" max="7897" width="9.1328125" style="256"/>
    <col min="7898" max="7898" width="6.73046875" style="256" customWidth="1"/>
    <col min="7899" max="7915" width="9.1328125" style="256"/>
    <col min="7916" max="7916" width="5.59765625" style="256" customWidth="1"/>
    <col min="7917" max="7917" width="5.73046875" style="256" customWidth="1"/>
    <col min="7918" max="7918" width="8.1328125" style="256" customWidth="1"/>
    <col min="7919" max="7920" width="7.59765625" style="256" customWidth="1"/>
    <col min="7921" max="7921" width="6.73046875" style="256" customWidth="1"/>
    <col min="7922" max="7922" width="4" style="256" customWidth="1"/>
    <col min="7923" max="7923" width="7.265625" style="256" customWidth="1"/>
    <col min="7924" max="7924" width="4" style="256" customWidth="1"/>
    <col min="7925" max="7925" width="13" style="256" customWidth="1"/>
    <col min="7926" max="7926" width="8" style="256" customWidth="1"/>
    <col min="7927" max="7927" width="5.59765625" style="256" customWidth="1"/>
    <col min="7928" max="7928" width="5.73046875" style="256" customWidth="1"/>
    <col min="7929" max="7929" width="8.1328125" style="256" customWidth="1"/>
    <col min="7930" max="7931" width="7.59765625" style="256" customWidth="1"/>
    <col min="7932" max="7932" width="6.73046875" style="256" customWidth="1"/>
    <col min="7933" max="7933" width="4" style="256" customWidth="1"/>
    <col min="7934" max="7934" width="7.265625" style="256" customWidth="1"/>
    <col min="7935" max="7935" width="4" style="256" customWidth="1"/>
    <col min="7936" max="7936" width="13" style="256" customWidth="1"/>
    <col min="7937" max="7937" width="7.73046875" style="256" customWidth="1"/>
    <col min="7938" max="7938" width="5.59765625" style="256" customWidth="1"/>
    <col min="7939" max="7939" width="5.73046875" style="256" customWidth="1"/>
    <col min="7940" max="7940" width="8.1328125" style="256" customWidth="1"/>
    <col min="7941" max="7942" width="7.59765625" style="256" customWidth="1"/>
    <col min="7943" max="7943" width="6.73046875" style="256" customWidth="1"/>
    <col min="7944" max="7944" width="4" style="256" customWidth="1"/>
    <col min="7945" max="7945" width="7.265625" style="256" customWidth="1"/>
    <col min="7946" max="7946" width="4" style="256" customWidth="1"/>
    <col min="7947" max="7947" width="13" style="256" customWidth="1"/>
    <col min="7948" max="7948" width="7.73046875" style="256" customWidth="1"/>
    <col min="7949" max="7949" width="5.59765625" style="256" customWidth="1"/>
    <col min="7950" max="7950" width="5.73046875" style="256" customWidth="1"/>
    <col min="7951" max="7951" width="8.1328125" style="256" customWidth="1"/>
    <col min="7952" max="7953" width="7.59765625" style="256" customWidth="1"/>
    <col min="7954" max="7954" width="6.73046875" style="256" customWidth="1"/>
    <col min="7955" max="7955" width="4" style="256" customWidth="1"/>
    <col min="7956" max="7956" width="7.265625" style="256" customWidth="1"/>
    <col min="7957" max="7957" width="4" style="256" customWidth="1"/>
    <col min="7958" max="7958" width="13" style="256" customWidth="1"/>
    <col min="7959" max="7959" width="7.73046875" style="256" customWidth="1"/>
    <col min="7960" max="7960" width="5.59765625" style="256" customWidth="1"/>
    <col min="7961" max="7961" width="5.73046875" style="256" customWidth="1"/>
    <col min="7962" max="7962" width="8.1328125" style="256" customWidth="1"/>
    <col min="7963" max="7964" width="7.59765625" style="256" customWidth="1"/>
    <col min="7965" max="7965" width="6.73046875" style="256" customWidth="1"/>
    <col min="7966" max="7966" width="4" style="256" customWidth="1"/>
    <col min="7967" max="7967" width="7.265625" style="256" customWidth="1"/>
    <col min="7968" max="7968" width="4" style="256" customWidth="1"/>
    <col min="7969" max="7969" width="13" style="256" customWidth="1"/>
    <col min="7970" max="7970" width="7.73046875" style="256" customWidth="1"/>
    <col min="7971" max="7971" width="5.59765625" style="256" customWidth="1"/>
    <col min="7972" max="7972" width="5.73046875" style="256" customWidth="1"/>
    <col min="7973" max="7973" width="8.1328125" style="256" customWidth="1"/>
    <col min="7974" max="7975" width="7.59765625" style="256" customWidth="1"/>
    <col min="7976" max="7976" width="6.73046875" style="256" customWidth="1"/>
    <col min="7977" max="7977" width="4" style="256" customWidth="1"/>
    <col min="7978" max="7978" width="7.265625" style="256" customWidth="1"/>
    <col min="7979" max="7979" width="4" style="256" customWidth="1"/>
    <col min="7980" max="7980" width="13" style="256" customWidth="1"/>
    <col min="7981" max="7981" width="7.73046875" style="256" customWidth="1"/>
    <col min="7982" max="7982" width="5.59765625" style="256" customWidth="1"/>
    <col min="7983" max="7983" width="5.73046875" style="256" customWidth="1"/>
    <col min="7984" max="7984" width="8.1328125" style="256" customWidth="1"/>
    <col min="7985" max="7986" width="7.59765625" style="256" customWidth="1"/>
    <col min="7987" max="7987" width="6.73046875" style="256" customWidth="1"/>
    <col min="7988" max="7988" width="4" style="256" customWidth="1"/>
    <col min="7989" max="7989" width="7.265625" style="256" customWidth="1"/>
    <col min="7990" max="7990" width="4" style="256" customWidth="1"/>
    <col min="7991" max="7991" width="13" style="256" customWidth="1"/>
    <col min="7992" max="7992" width="7.73046875" style="256" customWidth="1"/>
    <col min="7993" max="7993" width="5.59765625" style="256" customWidth="1"/>
    <col min="7994" max="7994" width="5.73046875" style="256" customWidth="1"/>
    <col min="7995" max="7995" width="8.1328125" style="256" customWidth="1"/>
    <col min="7996" max="7997" width="7.59765625" style="256" customWidth="1"/>
    <col min="7998" max="7998" width="6.73046875" style="256" customWidth="1"/>
    <col min="7999" max="7999" width="4" style="256" customWidth="1"/>
    <col min="8000" max="8000" width="7.265625" style="256" customWidth="1"/>
    <col min="8001" max="8001" width="4.3984375" style="256" customWidth="1"/>
    <col min="8002" max="8002" width="13" style="256" customWidth="1"/>
    <col min="8003" max="8003" width="7.73046875" style="256" customWidth="1"/>
    <col min="8004" max="8004" width="5.59765625" style="256" customWidth="1"/>
    <col min="8005" max="8005" width="5.73046875" style="256" customWidth="1"/>
    <col min="8006" max="8006" width="8.1328125" style="256" customWidth="1"/>
    <col min="8007" max="8008" width="7.59765625" style="256" customWidth="1"/>
    <col min="8009" max="8009" width="6.73046875" style="256" customWidth="1"/>
    <col min="8010" max="8010" width="4" style="256" customWidth="1"/>
    <col min="8011" max="8011" width="7.265625" style="256" customWidth="1"/>
    <col min="8012" max="8012" width="4" style="256" customWidth="1"/>
    <col min="8013" max="8013" width="13" style="256" customWidth="1"/>
    <col min="8014" max="8014" width="7.73046875" style="256" customWidth="1"/>
    <col min="8015" max="8015" width="5.59765625" style="256" customWidth="1"/>
    <col min="8016" max="8016" width="5.73046875" style="256" customWidth="1"/>
    <col min="8017" max="8017" width="8.1328125" style="256" customWidth="1"/>
    <col min="8018" max="8019" width="7.59765625" style="256" customWidth="1"/>
    <col min="8020" max="8020" width="6.73046875" style="256" customWidth="1"/>
    <col min="8021" max="8021" width="4" style="256" customWidth="1"/>
    <col min="8022" max="8022" width="7.265625" style="256" customWidth="1"/>
    <col min="8023" max="8023" width="4" style="256" customWidth="1"/>
    <col min="8024" max="8024" width="13" style="256" customWidth="1"/>
    <col min="8025" max="8025" width="7.73046875" style="256" customWidth="1"/>
    <col min="8026" max="8026" width="5.59765625" style="256" customWidth="1"/>
    <col min="8027" max="8027" width="5.73046875" style="256" customWidth="1"/>
    <col min="8028" max="8028" width="8.1328125" style="256" customWidth="1"/>
    <col min="8029" max="8030" width="7.59765625" style="256" customWidth="1"/>
    <col min="8031" max="8031" width="6.73046875" style="256" customWidth="1"/>
    <col min="8032" max="8032" width="4" style="256" customWidth="1"/>
    <col min="8033" max="8033" width="7.265625" style="256" customWidth="1"/>
    <col min="8034" max="8034" width="4" style="256" customWidth="1"/>
    <col min="8035" max="8035" width="13" style="256" customWidth="1"/>
    <col min="8036" max="8036" width="7.73046875" style="256" customWidth="1"/>
    <col min="8037" max="8037" width="5.59765625" style="256" customWidth="1"/>
    <col min="8038" max="8038" width="5.73046875" style="256" customWidth="1"/>
    <col min="8039" max="8039" width="8.1328125" style="256" customWidth="1"/>
    <col min="8040" max="8041" width="7.59765625" style="256" customWidth="1"/>
    <col min="8042" max="8042" width="6.73046875" style="256" customWidth="1"/>
    <col min="8043" max="8043" width="4" style="256" customWidth="1"/>
    <col min="8044" max="8044" width="7.265625" style="256" customWidth="1"/>
    <col min="8045" max="8045" width="4" style="256" customWidth="1"/>
    <col min="8046" max="8046" width="13" style="256" customWidth="1"/>
    <col min="8047" max="8047" width="7.73046875" style="256" customWidth="1"/>
    <col min="8048" max="8048" width="5.59765625" style="256" customWidth="1"/>
    <col min="8049" max="8049" width="5.73046875" style="256" customWidth="1"/>
    <col min="8050" max="8050" width="8.1328125" style="256" customWidth="1"/>
    <col min="8051" max="8052" width="7.59765625" style="256" customWidth="1"/>
    <col min="8053" max="8053" width="6.73046875" style="256" customWidth="1"/>
    <col min="8054" max="8054" width="4" style="256" customWidth="1"/>
    <col min="8055" max="8055" width="7.265625" style="256" customWidth="1"/>
    <col min="8056" max="8056" width="4" style="256" customWidth="1"/>
    <col min="8057" max="8057" width="13" style="256" customWidth="1"/>
    <col min="8058" max="8058" width="7.73046875" style="256" customWidth="1"/>
    <col min="8059" max="8059" width="5.59765625" style="256" customWidth="1"/>
    <col min="8060" max="8060" width="5.73046875" style="256" customWidth="1"/>
    <col min="8061" max="8061" width="8.1328125" style="256" customWidth="1"/>
    <col min="8062" max="8063" width="7.59765625" style="256" customWidth="1"/>
    <col min="8064" max="8064" width="6.73046875" style="256" customWidth="1"/>
    <col min="8065" max="8065" width="4" style="256" customWidth="1"/>
    <col min="8066" max="8066" width="7.265625" style="256" customWidth="1"/>
    <col min="8067" max="8067" width="4" style="256" customWidth="1"/>
    <col min="8068" max="8068" width="13" style="256" customWidth="1"/>
    <col min="8069" max="8069" width="7.73046875" style="256" customWidth="1"/>
    <col min="8070" max="8070" width="5.59765625" style="256" customWidth="1"/>
    <col min="8071" max="8071" width="5.73046875" style="256" customWidth="1"/>
    <col min="8072" max="8072" width="8.1328125" style="256" customWidth="1"/>
    <col min="8073" max="8074" width="7.59765625" style="256" customWidth="1"/>
    <col min="8075" max="8075" width="6.73046875" style="256" customWidth="1"/>
    <col min="8076" max="8076" width="4" style="256" customWidth="1"/>
    <col min="8077" max="8077" width="7.265625" style="256" customWidth="1"/>
    <col min="8078" max="8078" width="4" style="256" customWidth="1"/>
    <col min="8079" max="8079" width="13" style="256" customWidth="1"/>
    <col min="8080" max="8080" width="7.73046875" style="256" customWidth="1"/>
    <col min="8081" max="8081" width="5.59765625" style="256" customWidth="1"/>
    <col min="8082" max="8083" width="9.1328125" style="256"/>
    <col min="8084" max="8084" width="6.59765625" style="256" customWidth="1"/>
    <col min="8085" max="8085" width="8.73046875" style="256" customWidth="1"/>
    <col min="8086" max="8086" width="7.3984375" style="256" customWidth="1"/>
    <col min="8087" max="8087" width="7.265625" style="256" customWidth="1"/>
    <col min="8088" max="8088" width="7.73046875" style="256" customWidth="1"/>
    <col min="8089" max="8089" width="4.3984375" style="256" customWidth="1"/>
    <col min="8090" max="8090" width="9.1328125" style="256"/>
    <col min="8091" max="8091" width="6" style="256" customWidth="1"/>
    <col min="8092" max="8092" width="12.265625" style="256" customWidth="1"/>
    <col min="8093" max="8093" width="8" style="256" customWidth="1"/>
    <col min="8094" max="8096" width="9.1328125" style="256"/>
    <col min="8097" max="8097" width="7.73046875" style="256" customWidth="1"/>
    <col min="8098" max="8098" width="8.265625" style="256" customWidth="1"/>
    <col min="8099" max="8099" width="7.1328125" style="256" customWidth="1"/>
    <col min="8100" max="8100" width="7.59765625" style="256" customWidth="1"/>
    <col min="8101" max="8101" width="7.3984375" style="256" customWidth="1"/>
    <col min="8102" max="8102" width="4.86328125" style="256" customWidth="1"/>
    <col min="8103" max="8103" width="9.1328125" style="256"/>
    <col min="8104" max="8104" width="5" style="256" customWidth="1"/>
    <col min="8105" max="8105" width="12.265625" style="256" customWidth="1"/>
    <col min="8106" max="8106" width="7.86328125" style="256" customWidth="1"/>
    <col min="8107" max="8109" width="9.1328125" style="256"/>
    <col min="8110" max="8110" width="7.265625" style="256" customWidth="1"/>
    <col min="8111" max="8111" width="8.1328125" style="256" customWidth="1"/>
    <col min="8112" max="8112" width="6.86328125" style="256" customWidth="1"/>
    <col min="8113" max="8113" width="8" style="256" customWidth="1"/>
    <col min="8114" max="8114" width="7.3984375" style="256" customWidth="1"/>
    <col min="8115" max="8115" width="4.59765625" style="256" customWidth="1"/>
    <col min="8116" max="8116" width="9.1328125" style="256"/>
    <col min="8117" max="8117" width="4.1328125" style="256" customWidth="1"/>
    <col min="8118" max="8118" width="12" style="256" customWidth="1"/>
    <col min="8119" max="8119" width="8.1328125" style="256" customWidth="1"/>
    <col min="8120" max="8122" width="9.1328125" style="256"/>
    <col min="8123" max="8123" width="5.3984375" style="256" customWidth="1"/>
    <col min="8124" max="8124" width="7.73046875" style="256" customWidth="1"/>
    <col min="8125" max="8125" width="5.1328125" style="256" customWidth="1"/>
    <col min="8126" max="8126" width="7.3984375" style="256" customWidth="1"/>
    <col min="8127" max="8127" width="7.1328125" style="256" customWidth="1"/>
    <col min="8128" max="8128" width="4.265625" style="256" customWidth="1"/>
    <col min="8129" max="8129" width="9.1328125" style="256"/>
    <col min="8130" max="8130" width="5.1328125" style="256" customWidth="1"/>
    <col min="8131" max="8131" width="12.265625" style="256" customWidth="1"/>
    <col min="8132" max="8132" width="7.73046875" style="256" customWidth="1"/>
    <col min="8133" max="8134" width="9.1328125" style="256"/>
    <col min="8135" max="8135" width="6.73046875" style="256" customWidth="1"/>
    <col min="8136" max="8136" width="7.59765625" style="256" customWidth="1"/>
    <col min="8137" max="8137" width="6.265625" style="256" customWidth="1"/>
    <col min="8138" max="8138" width="8.1328125" style="256" customWidth="1"/>
    <col min="8139" max="8139" width="7.1328125" style="256" customWidth="1"/>
    <col min="8140" max="8140" width="4.3984375" style="256" customWidth="1"/>
    <col min="8141" max="8141" width="9.1328125" style="256"/>
    <col min="8142" max="8142" width="3.86328125" style="256" customWidth="1"/>
    <col min="8143" max="8143" width="12.265625" style="256" customWidth="1"/>
    <col min="8144" max="8144" width="8.3984375" style="256" customWidth="1"/>
    <col min="8145" max="8146" width="9.1328125" style="256"/>
    <col min="8147" max="8147" width="8.1328125" style="256" customWidth="1"/>
    <col min="8148" max="8148" width="8.3984375" style="256" customWidth="1"/>
    <col min="8149" max="8149" width="7" style="256" customWidth="1"/>
    <col min="8150" max="8150" width="8.3984375" style="256" customWidth="1"/>
    <col min="8151" max="8151" width="9.1328125" style="256"/>
    <col min="8152" max="8152" width="6.1328125" style="256" customWidth="1"/>
    <col min="8153" max="8153" width="9.1328125" style="256"/>
    <col min="8154" max="8154" width="6.73046875" style="256" customWidth="1"/>
    <col min="8155" max="8171" width="9.1328125" style="256"/>
    <col min="8172" max="8172" width="5.59765625" style="256" customWidth="1"/>
    <col min="8173" max="8173" width="5.73046875" style="256" customWidth="1"/>
    <col min="8174" max="8174" width="8.1328125" style="256" customWidth="1"/>
    <col min="8175" max="8176" width="7.59765625" style="256" customWidth="1"/>
    <col min="8177" max="8177" width="6.73046875" style="256" customWidth="1"/>
    <col min="8178" max="8178" width="4" style="256" customWidth="1"/>
    <col min="8179" max="8179" width="7.265625" style="256" customWidth="1"/>
    <col min="8180" max="8180" width="4" style="256" customWidth="1"/>
    <col min="8181" max="8181" width="13" style="256" customWidth="1"/>
    <col min="8182" max="8182" width="8" style="256" customWidth="1"/>
    <col min="8183" max="8183" width="5.59765625" style="256" customWidth="1"/>
    <col min="8184" max="8184" width="5.73046875" style="256" customWidth="1"/>
    <col min="8185" max="8185" width="8.1328125" style="256" customWidth="1"/>
    <col min="8186" max="8187" width="7.59765625" style="256" customWidth="1"/>
    <col min="8188" max="8188" width="6.73046875" style="256" customWidth="1"/>
    <col min="8189" max="8189" width="4" style="256" customWidth="1"/>
    <col min="8190" max="8190" width="7.265625" style="256" customWidth="1"/>
    <col min="8191" max="8191" width="4" style="256" customWidth="1"/>
    <col min="8192" max="8192" width="13" style="256" customWidth="1"/>
    <col min="8193" max="8193" width="7.73046875" style="256" customWidth="1"/>
    <col min="8194" max="8194" width="5.59765625" style="256" customWidth="1"/>
    <col min="8195" max="8195" width="5.73046875" style="256" customWidth="1"/>
    <col min="8196" max="8196" width="8.1328125" style="256" customWidth="1"/>
    <col min="8197" max="8198" width="7.59765625" style="256" customWidth="1"/>
    <col min="8199" max="8199" width="6.73046875" style="256" customWidth="1"/>
    <col min="8200" max="8200" width="4" style="256" customWidth="1"/>
    <col min="8201" max="8201" width="7.265625" style="256" customWidth="1"/>
    <col min="8202" max="8202" width="4" style="256" customWidth="1"/>
    <col min="8203" max="8203" width="13" style="256" customWidth="1"/>
    <col min="8204" max="8204" width="7.73046875" style="256" customWidth="1"/>
    <col min="8205" max="8205" width="5.59765625" style="256" customWidth="1"/>
    <col min="8206" max="8206" width="5.73046875" style="256" customWidth="1"/>
    <col min="8207" max="8207" width="8.1328125" style="256" customWidth="1"/>
    <col min="8208" max="8209" width="7.59765625" style="256" customWidth="1"/>
    <col min="8210" max="8210" width="6.73046875" style="256" customWidth="1"/>
    <col min="8211" max="8211" width="4" style="256" customWidth="1"/>
    <col min="8212" max="8212" width="7.265625" style="256" customWidth="1"/>
    <col min="8213" max="8213" width="4" style="256" customWidth="1"/>
    <col min="8214" max="8214" width="13" style="256" customWidth="1"/>
    <col min="8215" max="8215" width="7.73046875" style="256" customWidth="1"/>
    <col min="8216" max="8216" width="5.59765625" style="256" customWidth="1"/>
    <col min="8217" max="8217" width="5.73046875" style="256" customWidth="1"/>
    <col min="8218" max="8218" width="8.1328125" style="256" customWidth="1"/>
    <col min="8219" max="8220" width="7.59765625" style="256" customWidth="1"/>
    <col min="8221" max="8221" width="6.73046875" style="256" customWidth="1"/>
    <col min="8222" max="8222" width="4" style="256" customWidth="1"/>
    <col min="8223" max="8223" width="7.265625" style="256" customWidth="1"/>
    <col min="8224" max="8224" width="4" style="256" customWidth="1"/>
    <col min="8225" max="8225" width="13" style="256" customWidth="1"/>
    <col min="8226" max="8226" width="7.73046875" style="256" customWidth="1"/>
    <col min="8227" max="8227" width="5.59765625" style="256" customWidth="1"/>
    <col min="8228" max="8228" width="5.73046875" style="256" customWidth="1"/>
    <col min="8229" max="8229" width="8.1328125" style="256" customWidth="1"/>
    <col min="8230" max="8231" width="7.59765625" style="256" customWidth="1"/>
    <col min="8232" max="8232" width="6.73046875" style="256" customWidth="1"/>
    <col min="8233" max="8233" width="4" style="256" customWidth="1"/>
    <col min="8234" max="8234" width="7.265625" style="256" customWidth="1"/>
    <col min="8235" max="8235" width="4" style="256" customWidth="1"/>
    <col min="8236" max="8236" width="13" style="256" customWidth="1"/>
    <col min="8237" max="8237" width="7.73046875" style="256" customWidth="1"/>
    <col min="8238" max="8238" width="5.59765625" style="256" customWidth="1"/>
    <col min="8239" max="8239" width="5.73046875" style="256" customWidth="1"/>
    <col min="8240" max="8240" width="8.1328125" style="256" customWidth="1"/>
    <col min="8241" max="8242" width="7.59765625" style="256" customWidth="1"/>
    <col min="8243" max="8243" width="6.73046875" style="256" customWidth="1"/>
    <col min="8244" max="8244" width="4" style="256" customWidth="1"/>
    <col min="8245" max="8245" width="7.265625" style="256" customWidth="1"/>
    <col min="8246" max="8246" width="4" style="256" customWidth="1"/>
    <col min="8247" max="8247" width="13" style="256" customWidth="1"/>
    <col min="8248" max="8248" width="7.73046875" style="256" customWidth="1"/>
    <col min="8249" max="8249" width="5.59765625" style="256" customWidth="1"/>
    <col min="8250" max="8250" width="5.73046875" style="256" customWidth="1"/>
    <col min="8251" max="8251" width="8.1328125" style="256" customWidth="1"/>
    <col min="8252" max="8253" width="7.59765625" style="256" customWidth="1"/>
    <col min="8254" max="8254" width="6.73046875" style="256" customWidth="1"/>
    <col min="8255" max="8255" width="4" style="256" customWidth="1"/>
    <col min="8256" max="8256" width="7.265625" style="256" customWidth="1"/>
    <col min="8257" max="8257" width="4.3984375" style="256" customWidth="1"/>
    <col min="8258" max="8258" width="13" style="256" customWidth="1"/>
    <col min="8259" max="8259" width="7.73046875" style="256" customWidth="1"/>
    <col min="8260" max="8260" width="5.59765625" style="256" customWidth="1"/>
    <col min="8261" max="8261" width="5.73046875" style="256" customWidth="1"/>
    <col min="8262" max="8262" width="8.1328125" style="256" customWidth="1"/>
    <col min="8263" max="8264" width="7.59765625" style="256" customWidth="1"/>
    <col min="8265" max="8265" width="6.73046875" style="256" customWidth="1"/>
    <col min="8266" max="8266" width="4" style="256" customWidth="1"/>
    <col min="8267" max="8267" width="7.265625" style="256" customWidth="1"/>
    <col min="8268" max="8268" width="4" style="256" customWidth="1"/>
    <col min="8269" max="8269" width="13" style="256" customWidth="1"/>
    <col min="8270" max="8270" width="7.73046875" style="256" customWidth="1"/>
    <col min="8271" max="8271" width="5.59765625" style="256" customWidth="1"/>
    <col min="8272" max="8272" width="5.73046875" style="256" customWidth="1"/>
    <col min="8273" max="8273" width="8.1328125" style="256" customWidth="1"/>
    <col min="8274" max="8275" width="7.59765625" style="256" customWidth="1"/>
    <col min="8276" max="8276" width="6.73046875" style="256" customWidth="1"/>
    <col min="8277" max="8277" width="4" style="256" customWidth="1"/>
    <col min="8278" max="8278" width="7.265625" style="256" customWidth="1"/>
    <col min="8279" max="8279" width="4" style="256" customWidth="1"/>
    <col min="8280" max="8280" width="13" style="256" customWidth="1"/>
    <col min="8281" max="8281" width="7.73046875" style="256" customWidth="1"/>
    <col min="8282" max="8282" width="5.59765625" style="256" customWidth="1"/>
    <col min="8283" max="8283" width="5.73046875" style="256" customWidth="1"/>
    <col min="8284" max="8284" width="8.1328125" style="256" customWidth="1"/>
    <col min="8285" max="8286" width="7.59765625" style="256" customWidth="1"/>
    <col min="8287" max="8287" width="6.73046875" style="256" customWidth="1"/>
    <col min="8288" max="8288" width="4" style="256" customWidth="1"/>
    <col min="8289" max="8289" width="7.265625" style="256" customWidth="1"/>
    <col min="8290" max="8290" width="4" style="256" customWidth="1"/>
    <col min="8291" max="8291" width="13" style="256" customWidth="1"/>
    <col min="8292" max="8292" width="7.73046875" style="256" customWidth="1"/>
    <col min="8293" max="8293" width="5.59765625" style="256" customWidth="1"/>
    <col min="8294" max="8294" width="5.73046875" style="256" customWidth="1"/>
    <col min="8295" max="8295" width="8.1328125" style="256" customWidth="1"/>
    <col min="8296" max="8297" width="7.59765625" style="256" customWidth="1"/>
    <col min="8298" max="8298" width="6.73046875" style="256" customWidth="1"/>
    <col min="8299" max="8299" width="4" style="256" customWidth="1"/>
    <col min="8300" max="8300" width="7.265625" style="256" customWidth="1"/>
    <col min="8301" max="8301" width="4" style="256" customWidth="1"/>
    <col min="8302" max="8302" width="13" style="256" customWidth="1"/>
    <col min="8303" max="8303" width="7.73046875" style="256" customWidth="1"/>
    <col min="8304" max="8304" width="5.59765625" style="256" customWidth="1"/>
    <col min="8305" max="8305" width="5.73046875" style="256" customWidth="1"/>
    <col min="8306" max="8306" width="8.1328125" style="256" customWidth="1"/>
    <col min="8307" max="8308" width="7.59765625" style="256" customWidth="1"/>
    <col min="8309" max="8309" width="6.73046875" style="256" customWidth="1"/>
    <col min="8310" max="8310" width="4" style="256" customWidth="1"/>
    <col min="8311" max="8311" width="7.265625" style="256" customWidth="1"/>
    <col min="8312" max="8312" width="4" style="256" customWidth="1"/>
    <col min="8313" max="8313" width="13" style="256" customWidth="1"/>
    <col min="8314" max="8314" width="7.73046875" style="256" customWidth="1"/>
    <col min="8315" max="8315" width="5.59765625" style="256" customWidth="1"/>
    <col min="8316" max="8316" width="5.73046875" style="256" customWidth="1"/>
    <col min="8317" max="8317" width="8.1328125" style="256" customWidth="1"/>
    <col min="8318" max="8319" width="7.59765625" style="256" customWidth="1"/>
    <col min="8320" max="8320" width="6.73046875" style="256" customWidth="1"/>
    <col min="8321" max="8321" width="4" style="256" customWidth="1"/>
    <col min="8322" max="8322" width="7.265625" style="256" customWidth="1"/>
    <col min="8323" max="8323" width="4" style="256" customWidth="1"/>
    <col min="8324" max="8324" width="13" style="256" customWidth="1"/>
    <col min="8325" max="8325" width="7.73046875" style="256" customWidth="1"/>
    <col min="8326" max="8326" width="5.59765625" style="256" customWidth="1"/>
    <col min="8327" max="8327" width="5.73046875" style="256" customWidth="1"/>
    <col min="8328" max="8328" width="8.1328125" style="256" customWidth="1"/>
    <col min="8329" max="8330" width="7.59765625" style="256" customWidth="1"/>
    <col min="8331" max="8331" width="6.73046875" style="256" customWidth="1"/>
    <col min="8332" max="8332" width="4" style="256" customWidth="1"/>
    <col min="8333" max="8333" width="7.265625" style="256" customWidth="1"/>
    <col min="8334" max="8334" width="4" style="256" customWidth="1"/>
    <col min="8335" max="8335" width="13" style="256" customWidth="1"/>
    <col min="8336" max="8336" width="7.73046875" style="256" customWidth="1"/>
    <col min="8337" max="8337" width="5.59765625" style="256" customWidth="1"/>
    <col min="8338" max="8339" width="9.1328125" style="256"/>
    <col min="8340" max="8340" width="6.59765625" style="256" customWidth="1"/>
    <col min="8341" max="8341" width="8.73046875" style="256" customWidth="1"/>
    <col min="8342" max="8342" width="7.3984375" style="256" customWidth="1"/>
    <col min="8343" max="8343" width="7.265625" style="256" customWidth="1"/>
    <col min="8344" max="8344" width="7.73046875" style="256" customWidth="1"/>
    <col min="8345" max="8345" width="4.3984375" style="256" customWidth="1"/>
    <col min="8346" max="8346" width="9.1328125" style="256"/>
    <col min="8347" max="8347" width="6" style="256" customWidth="1"/>
    <col min="8348" max="8348" width="12.265625" style="256" customWidth="1"/>
    <col min="8349" max="8349" width="8" style="256" customWidth="1"/>
    <col min="8350" max="8352" width="9.1328125" style="256"/>
    <col min="8353" max="8353" width="7.73046875" style="256" customWidth="1"/>
    <col min="8354" max="8354" width="8.265625" style="256" customWidth="1"/>
    <col min="8355" max="8355" width="7.1328125" style="256" customWidth="1"/>
    <col min="8356" max="8356" width="7.59765625" style="256" customWidth="1"/>
    <col min="8357" max="8357" width="7.3984375" style="256" customWidth="1"/>
    <col min="8358" max="8358" width="4.86328125" style="256" customWidth="1"/>
    <col min="8359" max="8359" width="9.1328125" style="256"/>
    <col min="8360" max="8360" width="5" style="256" customWidth="1"/>
    <col min="8361" max="8361" width="12.265625" style="256" customWidth="1"/>
    <col min="8362" max="8362" width="7.86328125" style="256" customWidth="1"/>
    <col min="8363" max="8365" width="9.1328125" style="256"/>
    <col min="8366" max="8366" width="7.265625" style="256" customWidth="1"/>
    <col min="8367" max="8367" width="8.1328125" style="256" customWidth="1"/>
    <col min="8368" max="8368" width="6.86328125" style="256" customWidth="1"/>
    <col min="8369" max="8369" width="8" style="256" customWidth="1"/>
    <col min="8370" max="8370" width="7.3984375" style="256" customWidth="1"/>
    <col min="8371" max="8371" width="4.59765625" style="256" customWidth="1"/>
    <col min="8372" max="8372" width="9.1328125" style="256"/>
    <col min="8373" max="8373" width="4.1328125" style="256" customWidth="1"/>
    <col min="8374" max="8374" width="12" style="256" customWidth="1"/>
    <col min="8375" max="8375" width="8.1328125" style="256" customWidth="1"/>
    <col min="8376" max="8378" width="9.1328125" style="256"/>
    <col min="8379" max="8379" width="5.3984375" style="256" customWidth="1"/>
    <col min="8380" max="8380" width="7.73046875" style="256" customWidth="1"/>
    <col min="8381" max="8381" width="5.1328125" style="256" customWidth="1"/>
    <col min="8382" max="8382" width="7.3984375" style="256" customWidth="1"/>
    <col min="8383" max="8383" width="7.1328125" style="256" customWidth="1"/>
    <col min="8384" max="8384" width="4.265625" style="256" customWidth="1"/>
    <col min="8385" max="8385" width="9.1328125" style="256"/>
    <col min="8386" max="8386" width="5.1328125" style="256" customWidth="1"/>
    <col min="8387" max="8387" width="12.265625" style="256" customWidth="1"/>
    <col min="8388" max="8388" width="7.73046875" style="256" customWidth="1"/>
    <col min="8389" max="8390" width="9.1328125" style="256"/>
    <col min="8391" max="8391" width="6.73046875" style="256" customWidth="1"/>
    <col min="8392" max="8392" width="7.59765625" style="256" customWidth="1"/>
    <col min="8393" max="8393" width="6.265625" style="256" customWidth="1"/>
    <col min="8394" max="8394" width="8.1328125" style="256" customWidth="1"/>
    <col min="8395" max="8395" width="7.1328125" style="256" customWidth="1"/>
    <col min="8396" max="8396" width="4.3984375" style="256" customWidth="1"/>
    <col min="8397" max="8397" width="9.1328125" style="256"/>
    <col min="8398" max="8398" width="3.86328125" style="256" customWidth="1"/>
    <col min="8399" max="8399" width="12.265625" style="256" customWidth="1"/>
    <col min="8400" max="8400" width="8.3984375" style="256" customWidth="1"/>
    <col min="8401" max="8402" width="9.1328125" style="256"/>
    <col min="8403" max="8403" width="8.1328125" style="256" customWidth="1"/>
    <col min="8404" max="8404" width="8.3984375" style="256" customWidth="1"/>
    <col min="8405" max="8405" width="7" style="256" customWidth="1"/>
    <col min="8406" max="8406" width="8.3984375" style="256" customWidth="1"/>
    <col min="8407" max="8407" width="9.1328125" style="256"/>
    <col min="8408" max="8408" width="6.1328125" style="256" customWidth="1"/>
    <col min="8409" max="8409" width="9.1328125" style="256"/>
    <col min="8410" max="8410" width="6.73046875" style="256" customWidth="1"/>
    <col min="8411" max="8427" width="9.1328125" style="256"/>
    <col min="8428" max="8428" width="5.59765625" style="256" customWidth="1"/>
    <col min="8429" max="8429" width="5.73046875" style="256" customWidth="1"/>
    <col min="8430" max="8430" width="8.1328125" style="256" customWidth="1"/>
    <col min="8431" max="8432" width="7.59765625" style="256" customWidth="1"/>
    <col min="8433" max="8433" width="6.73046875" style="256" customWidth="1"/>
    <col min="8434" max="8434" width="4" style="256" customWidth="1"/>
    <col min="8435" max="8435" width="7.265625" style="256" customWidth="1"/>
    <col min="8436" max="8436" width="4" style="256" customWidth="1"/>
    <col min="8437" max="8437" width="13" style="256" customWidth="1"/>
    <col min="8438" max="8438" width="8" style="256" customWidth="1"/>
    <col min="8439" max="8439" width="5.59765625" style="256" customWidth="1"/>
    <col min="8440" max="8440" width="5.73046875" style="256" customWidth="1"/>
    <col min="8441" max="8441" width="8.1328125" style="256" customWidth="1"/>
    <col min="8442" max="8443" width="7.59765625" style="256" customWidth="1"/>
    <col min="8444" max="8444" width="6.73046875" style="256" customWidth="1"/>
    <col min="8445" max="8445" width="4" style="256" customWidth="1"/>
    <col min="8446" max="8446" width="7.265625" style="256" customWidth="1"/>
    <col min="8447" max="8447" width="4" style="256" customWidth="1"/>
    <col min="8448" max="8448" width="13" style="256" customWidth="1"/>
    <col min="8449" max="8449" width="7.73046875" style="256" customWidth="1"/>
    <col min="8450" max="8450" width="5.59765625" style="256" customWidth="1"/>
    <col min="8451" max="8451" width="5.73046875" style="256" customWidth="1"/>
    <col min="8452" max="8452" width="8.1328125" style="256" customWidth="1"/>
    <col min="8453" max="8454" width="7.59765625" style="256" customWidth="1"/>
    <col min="8455" max="8455" width="6.73046875" style="256" customWidth="1"/>
    <col min="8456" max="8456" width="4" style="256" customWidth="1"/>
    <col min="8457" max="8457" width="7.265625" style="256" customWidth="1"/>
    <col min="8458" max="8458" width="4" style="256" customWidth="1"/>
    <col min="8459" max="8459" width="13" style="256" customWidth="1"/>
    <col min="8460" max="8460" width="7.73046875" style="256" customWidth="1"/>
    <col min="8461" max="8461" width="5.59765625" style="256" customWidth="1"/>
    <col min="8462" max="8462" width="5.73046875" style="256" customWidth="1"/>
    <col min="8463" max="8463" width="8.1328125" style="256" customWidth="1"/>
    <col min="8464" max="8465" width="7.59765625" style="256" customWidth="1"/>
    <col min="8466" max="8466" width="6.73046875" style="256" customWidth="1"/>
    <col min="8467" max="8467" width="4" style="256" customWidth="1"/>
    <col min="8468" max="8468" width="7.265625" style="256" customWidth="1"/>
    <col min="8469" max="8469" width="4" style="256" customWidth="1"/>
    <col min="8470" max="8470" width="13" style="256" customWidth="1"/>
    <col min="8471" max="8471" width="7.73046875" style="256" customWidth="1"/>
    <col min="8472" max="8472" width="5.59765625" style="256" customWidth="1"/>
    <col min="8473" max="8473" width="5.73046875" style="256" customWidth="1"/>
    <col min="8474" max="8474" width="8.1328125" style="256" customWidth="1"/>
    <col min="8475" max="8476" width="7.59765625" style="256" customWidth="1"/>
    <col min="8477" max="8477" width="6.73046875" style="256" customWidth="1"/>
    <col min="8478" max="8478" width="4" style="256" customWidth="1"/>
    <col min="8479" max="8479" width="7.265625" style="256" customWidth="1"/>
    <col min="8480" max="8480" width="4" style="256" customWidth="1"/>
    <col min="8481" max="8481" width="13" style="256" customWidth="1"/>
    <col min="8482" max="8482" width="7.73046875" style="256" customWidth="1"/>
    <col min="8483" max="8483" width="5.59765625" style="256" customWidth="1"/>
    <col min="8484" max="8484" width="5.73046875" style="256" customWidth="1"/>
    <col min="8485" max="8485" width="8.1328125" style="256" customWidth="1"/>
    <col min="8486" max="8487" width="7.59765625" style="256" customWidth="1"/>
    <col min="8488" max="8488" width="6.73046875" style="256" customWidth="1"/>
    <col min="8489" max="8489" width="4" style="256" customWidth="1"/>
    <col min="8490" max="8490" width="7.265625" style="256" customWidth="1"/>
    <col min="8491" max="8491" width="4" style="256" customWidth="1"/>
    <col min="8492" max="8492" width="13" style="256" customWidth="1"/>
    <col min="8493" max="8493" width="7.73046875" style="256" customWidth="1"/>
    <col min="8494" max="8494" width="5.59765625" style="256" customWidth="1"/>
    <col min="8495" max="8495" width="5.73046875" style="256" customWidth="1"/>
    <col min="8496" max="8496" width="8.1328125" style="256" customWidth="1"/>
    <col min="8497" max="8498" width="7.59765625" style="256" customWidth="1"/>
    <col min="8499" max="8499" width="6.73046875" style="256" customWidth="1"/>
    <col min="8500" max="8500" width="4" style="256" customWidth="1"/>
    <col min="8501" max="8501" width="7.265625" style="256" customWidth="1"/>
    <col min="8502" max="8502" width="4" style="256" customWidth="1"/>
    <col min="8503" max="8503" width="13" style="256" customWidth="1"/>
    <col min="8504" max="8504" width="7.73046875" style="256" customWidth="1"/>
    <col min="8505" max="8505" width="5.59765625" style="256" customWidth="1"/>
    <col min="8506" max="8506" width="5.73046875" style="256" customWidth="1"/>
    <col min="8507" max="8507" width="8.1328125" style="256" customWidth="1"/>
    <col min="8508" max="8509" width="7.59765625" style="256" customWidth="1"/>
    <col min="8510" max="8510" width="6.73046875" style="256" customWidth="1"/>
    <col min="8511" max="8511" width="4" style="256" customWidth="1"/>
    <col min="8512" max="8512" width="7.265625" style="256" customWidth="1"/>
    <col min="8513" max="8513" width="4.3984375" style="256" customWidth="1"/>
    <col min="8514" max="8514" width="13" style="256" customWidth="1"/>
    <col min="8515" max="8515" width="7.73046875" style="256" customWidth="1"/>
    <col min="8516" max="8516" width="5.59765625" style="256" customWidth="1"/>
    <col min="8517" max="8517" width="5.73046875" style="256" customWidth="1"/>
    <col min="8518" max="8518" width="8.1328125" style="256" customWidth="1"/>
    <col min="8519" max="8520" width="7.59765625" style="256" customWidth="1"/>
    <col min="8521" max="8521" width="6.73046875" style="256" customWidth="1"/>
    <col min="8522" max="8522" width="4" style="256" customWidth="1"/>
    <col min="8523" max="8523" width="7.265625" style="256" customWidth="1"/>
    <col min="8524" max="8524" width="4" style="256" customWidth="1"/>
    <col min="8525" max="8525" width="13" style="256" customWidth="1"/>
    <col min="8526" max="8526" width="7.73046875" style="256" customWidth="1"/>
    <col min="8527" max="8527" width="5.59765625" style="256" customWidth="1"/>
    <col min="8528" max="8528" width="5.73046875" style="256" customWidth="1"/>
    <col min="8529" max="8529" width="8.1328125" style="256" customWidth="1"/>
    <col min="8530" max="8531" width="7.59765625" style="256" customWidth="1"/>
    <col min="8532" max="8532" width="6.73046875" style="256" customWidth="1"/>
    <col min="8533" max="8533" width="4" style="256" customWidth="1"/>
    <col min="8534" max="8534" width="7.265625" style="256" customWidth="1"/>
    <col min="8535" max="8535" width="4" style="256" customWidth="1"/>
    <col min="8536" max="8536" width="13" style="256" customWidth="1"/>
    <col min="8537" max="8537" width="7.73046875" style="256" customWidth="1"/>
    <col min="8538" max="8538" width="5.59765625" style="256" customWidth="1"/>
    <col min="8539" max="8539" width="5.73046875" style="256" customWidth="1"/>
    <col min="8540" max="8540" width="8.1328125" style="256" customWidth="1"/>
    <col min="8541" max="8542" width="7.59765625" style="256" customWidth="1"/>
    <col min="8543" max="8543" width="6.73046875" style="256" customWidth="1"/>
    <col min="8544" max="8544" width="4" style="256" customWidth="1"/>
    <col min="8545" max="8545" width="7.265625" style="256" customWidth="1"/>
    <col min="8546" max="8546" width="4" style="256" customWidth="1"/>
    <col min="8547" max="8547" width="13" style="256" customWidth="1"/>
    <col min="8548" max="8548" width="7.73046875" style="256" customWidth="1"/>
    <col min="8549" max="8549" width="5.59765625" style="256" customWidth="1"/>
    <col min="8550" max="8550" width="5.73046875" style="256" customWidth="1"/>
    <col min="8551" max="8551" width="8.1328125" style="256" customWidth="1"/>
    <col min="8552" max="8553" width="7.59765625" style="256" customWidth="1"/>
    <col min="8554" max="8554" width="6.73046875" style="256" customWidth="1"/>
    <col min="8555" max="8555" width="4" style="256" customWidth="1"/>
    <col min="8556" max="8556" width="7.265625" style="256" customWidth="1"/>
    <col min="8557" max="8557" width="4" style="256" customWidth="1"/>
    <col min="8558" max="8558" width="13" style="256" customWidth="1"/>
    <col min="8559" max="8559" width="7.73046875" style="256" customWidth="1"/>
    <col min="8560" max="8560" width="5.59765625" style="256" customWidth="1"/>
    <col min="8561" max="8561" width="5.73046875" style="256" customWidth="1"/>
    <col min="8562" max="8562" width="8.1328125" style="256" customWidth="1"/>
    <col min="8563" max="8564" width="7.59765625" style="256" customWidth="1"/>
    <col min="8565" max="8565" width="6.73046875" style="256" customWidth="1"/>
    <col min="8566" max="8566" width="4" style="256" customWidth="1"/>
    <col min="8567" max="8567" width="7.265625" style="256" customWidth="1"/>
    <col min="8568" max="8568" width="4" style="256" customWidth="1"/>
    <col min="8569" max="8569" width="13" style="256" customWidth="1"/>
    <col min="8570" max="8570" width="7.73046875" style="256" customWidth="1"/>
    <col min="8571" max="8571" width="5.59765625" style="256" customWidth="1"/>
    <col min="8572" max="8572" width="5.73046875" style="256" customWidth="1"/>
    <col min="8573" max="8573" width="8.1328125" style="256" customWidth="1"/>
    <col min="8574" max="8575" width="7.59765625" style="256" customWidth="1"/>
    <col min="8576" max="8576" width="6.73046875" style="256" customWidth="1"/>
    <col min="8577" max="8577" width="4" style="256" customWidth="1"/>
    <col min="8578" max="8578" width="7.265625" style="256" customWidth="1"/>
    <col min="8579" max="8579" width="4" style="256" customWidth="1"/>
    <col min="8580" max="8580" width="13" style="256" customWidth="1"/>
    <col min="8581" max="8581" width="7.73046875" style="256" customWidth="1"/>
    <col min="8582" max="8582" width="5.59765625" style="256" customWidth="1"/>
    <col min="8583" max="8583" width="5.73046875" style="256" customWidth="1"/>
    <col min="8584" max="8584" width="8.1328125" style="256" customWidth="1"/>
    <col min="8585" max="8586" width="7.59765625" style="256" customWidth="1"/>
    <col min="8587" max="8587" width="6.73046875" style="256" customWidth="1"/>
    <col min="8588" max="8588" width="4" style="256" customWidth="1"/>
    <col min="8589" max="8589" width="7.265625" style="256" customWidth="1"/>
    <col min="8590" max="8590" width="4" style="256" customWidth="1"/>
    <col min="8591" max="8591" width="13" style="256" customWidth="1"/>
    <col min="8592" max="8592" width="7.73046875" style="256" customWidth="1"/>
    <col min="8593" max="8593" width="5.59765625" style="256" customWidth="1"/>
    <col min="8594" max="8595" width="9.1328125" style="256"/>
    <col min="8596" max="8596" width="6.59765625" style="256" customWidth="1"/>
    <col min="8597" max="8597" width="8.73046875" style="256" customWidth="1"/>
    <col min="8598" max="8598" width="7.3984375" style="256" customWidth="1"/>
    <col min="8599" max="8599" width="7.265625" style="256" customWidth="1"/>
    <col min="8600" max="8600" width="7.73046875" style="256" customWidth="1"/>
    <col min="8601" max="8601" width="4.3984375" style="256" customWidth="1"/>
    <col min="8602" max="8602" width="9.1328125" style="256"/>
    <col min="8603" max="8603" width="6" style="256" customWidth="1"/>
    <col min="8604" max="8604" width="12.265625" style="256" customWidth="1"/>
    <col min="8605" max="8605" width="8" style="256" customWidth="1"/>
    <col min="8606" max="8608" width="9.1328125" style="256"/>
    <col min="8609" max="8609" width="7.73046875" style="256" customWidth="1"/>
    <col min="8610" max="8610" width="8.265625" style="256" customWidth="1"/>
    <col min="8611" max="8611" width="7.1328125" style="256" customWidth="1"/>
    <col min="8612" max="8612" width="7.59765625" style="256" customWidth="1"/>
    <col min="8613" max="8613" width="7.3984375" style="256" customWidth="1"/>
    <col min="8614" max="8614" width="4.86328125" style="256" customWidth="1"/>
    <col min="8615" max="8615" width="9.1328125" style="256"/>
    <col min="8616" max="8616" width="5" style="256" customWidth="1"/>
    <col min="8617" max="8617" width="12.265625" style="256" customWidth="1"/>
    <col min="8618" max="8618" width="7.86328125" style="256" customWidth="1"/>
    <col min="8619" max="8621" width="9.1328125" style="256"/>
    <col min="8622" max="8622" width="7.265625" style="256" customWidth="1"/>
    <col min="8623" max="8623" width="8.1328125" style="256" customWidth="1"/>
    <col min="8624" max="8624" width="6.86328125" style="256" customWidth="1"/>
    <col min="8625" max="8625" width="8" style="256" customWidth="1"/>
    <col min="8626" max="8626" width="7.3984375" style="256" customWidth="1"/>
    <col min="8627" max="8627" width="4.59765625" style="256" customWidth="1"/>
    <col min="8628" max="8628" width="9.1328125" style="256"/>
    <col min="8629" max="8629" width="4.1328125" style="256" customWidth="1"/>
    <col min="8630" max="8630" width="12" style="256" customWidth="1"/>
    <col min="8631" max="8631" width="8.1328125" style="256" customWidth="1"/>
    <col min="8632" max="8634" width="9.1328125" style="256"/>
    <col min="8635" max="8635" width="5.3984375" style="256" customWidth="1"/>
    <col min="8636" max="8636" width="7.73046875" style="256" customWidth="1"/>
    <col min="8637" max="8637" width="5.1328125" style="256" customWidth="1"/>
    <col min="8638" max="8638" width="7.3984375" style="256" customWidth="1"/>
    <col min="8639" max="8639" width="7.1328125" style="256" customWidth="1"/>
    <col min="8640" max="8640" width="4.265625" style="256" customWidth="1"/>
    <col min="8641" max="8641" width="9.1328125" style="256"/>
    <col min="8642" max="8642" width="5.1328125" style="256" customWidth="1"/>
    <col min="8643" max="8643" width="12.265625" style="256" customWidth="1"/>
    <col min="8644" max="8644" width="7.73046875" style="256" customWidth="1"/>
    <col min="8645" max="8646" width="9.1328125" style="256"/>
    <col min="8647" max="8647" width="6.73046875" style="256" customWidth="1"/>
    <col min="8648" max="8648" width="7.59765625" style="256" customWidth="1"/>
    <col min="8649" max="8649" width="6.265625" style="256" customWidth="1"/>
    <col min="8650" max="8650" width="8.1328125" style="256" customWidth="1"/>
    <col min="8651" max="8651" width="7.1328125" style="256" customWidth="1"/>
    <col min="8652" max="8652" width="4.3984375" style="256" customWidth="1"/>
    <col min="8653" max="8653" width="9.1328125" style="256"/>
    <col min="8654" max="8654" width="3.86328125" style="256" customWidth="1"/>
    <col min="8655" max="8655" width="12.265625" style="256" customWidth="1"/>
    <col min="8656" max="8656" width="8.3984375" style="256" customWidth="1"/>
    <col min="8657" max="8658" width="9.1328125" style="256"/>
    <col min="8659" max="8659" width="8.1328125" style="256" customWidth="1"/>
    <col min="8660" max="8660" width="8.3984375" style="256" customWidth="1"/>
    <col min="8661" max="8661" width="7" style="256" customWidth="1"/>
    <col min="8662" max="8662" width="8.3984375" style="256" customWidth="1"/>
    <col min="8663" max="8663" width="9.1328125" style="256"/>
    <col min="8664" max="8664" width="6.1328125" style="256" customWidth="1"/>
    <col min="8665" max="8665" width="9.1328125" style="256"/>
    <col min="8666" max="8666" width="6.73046875" style="256" customWidth="1"/>
    <col min="8667" max="8683" width="9.1328125" style="256"/>
    <col min="8684" max="8684" width="5.59765625" style="256" customWidth="1"/>
    <col min="8685" max="8685" width="5.73046875" style="256" customWidth="1"/>
    <col min="8686" max="8686" width="8.1328125" style="256" customWidth="1"/>
    <col min="8687" max="8688" width="7.59765625" style="256" customWidth="1"/>
    <col min="8689" max="8689" width="6.73046875" style="256" customWidth="1"/>
    <col min="8690" max="8690" width="4" style="256" customWidth="1"/>
    <col min="8691" max="8691" width="7.265625" style="256" customWidth="1"/>
    <col min="8692" max="8692" width="4" style="256" customWidth="1"/>
    <col min="8693" max="8693" width="13" style="256" customWidth="1"/>
    <col min="8694" max="8694" width="8" style="256" customWidth="1"/>
    <col min="8695" max="8695" width="5.59765625" style="256" customWidth="1"/>
    <col min="8696" max="8696" width="5.73046875" style="256" customWidth="1"/>
    <col min="8697" max="8697" width="8.1328125" style="256" customWidth="1"/>
    <col min="8698" max="8699" width="7.59765625" style="256" customWidth="1"/>
    <col min="8700" max="8700" width="6.73046875" style="256" customWidth="1"/>
    <col min="8701" max="8701" width="4" style="256" customWidth="1"/>
    <col min="8702" max="8702" width="7.265625" style="256" customWidth="1"/>
    <col min="8703" max="8703" width="4" style="256" customWidth="1"/>
    <col min="8704" max="8704" width="13" style="256" customWidth="1"/>
    <col min="8705" max="8705" width="7.73046875" style="256" customWidth="1"/>
    <col min="8706" max="8706" width="5.59765625" style="256" customWidth="1"/>
    <col min="8707" max="8707" width="5.73046875" style="256" customWidth="1"/>
    <col min="8708" max="8708" width="8.1328125" style="256" customWidth="1"/>
    <col min="8709" max="8710" width="7.59765625" style="256" customWidth="1"/>
    <col min="8711" max="8711" width="6.73046875" style="256" customWidth="1"/>
    <col min="8712" max="8712" width="4" style="256" customWidth="1"/>
    <col min="8713" max="8713" width="7.265625" style="256" customWidth="1"/>
    <col min="8714" max="8714" width="4" style="256" customWidth="1"/>
    <col min="8715" max="8715" width="13" style="256" customWidth="1"/>
    <col min="8716" max="8716" width="7.73046875" style="256" customWidth="1"/>
    <col min="8717" max="8717" width="5.59765625" style="256" customWidth="1"/>
    <col min="8718" max="8718" width="5.73046875" style="256" customWidth="1"/>
    <col min="8719" max="8719" width="8.1328125" style="256" customWidth="1"/>
    <col min="8720" max="8721" width="7.59765625" style="256" customWidth="1"/>
    <col min="8722" max="8722" width="6.73046875" style="256" customWidth="1"/>
    <col min="8723" max="8723" width="4" style="256" customWidth="1"/>
    <col min="8724" max="8724" width="7.265625" style="256" customWidth="1"/>
    <col min="8725" max="8725" width="4" style="256" customWidth="1"/>
    <col min="8726" max="8726" width="13" style="256" customWidth="1"/>
    <col min="8727" max="8727" width="7.73046875" style="256" customWidth="1"/>
    <col min="8728" max="8728" width="5.59765625" style="256" customWidth="1"/>
    <col min="8729" max="8729" width="5.73046875" style="256" customWidth="1"/>
    <col min="8730" max="8730" width="8.1328125" style="256" customWidth="1"/>
    <col min="8731" max="8732" width="7.59765625" style="256" customWidth="1"/>
    <col min="8733" max="8733" width="6.73046875" style="256" customWidth="1"/>
    <col min="8734" max="8734" width="4" style="256" customWidth="1"/>
    <col min="8735" max="8735" width="7.265625" style="256" customWidth="1"/>
    <col min="8736" max="8736" width="4" style="256" customWidth="1"/>
    <col min="8737" max="8737" width="13" style="256" customWidth="1"/>
    <col min="8738" max="8738" width="7.73046875" style="256" customWidth="1"/>
    <col min="8739" max="8739" width="5.59765625" style="256" customWidth="1"/>
    <col min="8740" max="8740" width="5.73046875" style="256" customWidth="1"/>
    <col min="8741" max="8741" width="8.1328125" style="256" customWidth="1"/>
    <col min="8742" max="8743" width="7.59765625" style="256" customWidth="1"/>
    <col min="8744" max="8744" width="6.73046875" style="256" customWidth="1"/>
    <col min="8745" max="8745" width="4" style="256" customWidth="1"/>
    <col min="8746" max="8746" width="7.265625" style="256" customWidth="1"/>
    <col min="8747" max="8747" width="4" style="256" customWidth="1"/>
    <col min="8748" max="8748" width="13" style="256" customWidth="1"/>
    <col min="8749" max="8749" width="7.73046875" style="256" customWidth="1"/>
    <col min="8750" max="8750" width="5.59765625" style="256" customWidth="1"/>
    <col min="8751" max="8751" width="5.73046875" style="256" customWidth="1"/>
    <col min="8752" max="8752" width="8.1328125" style="256" customWidth="1"/>
    <col min="8753" max="8754" width="7.59765625" style="256" customWidth="1"/>
    <col min="8755" max="8755" width="6.73046875" style="256" customWidth="1"/>
    <col min="8756" max="8756" width="4" style="256" customWidth="1"/>
    <col min="8757" max="8757" width="7.265625" style="256" customWidth="1"/>
    <col min="8758" max="8758" width="4" style="256" customWidth="1"/>
    <col min="8759" max="8759" width="13" style="256" customWidth="1"/>
    <col min="8760" max="8760" width="7.73046875" style="256" customWidth="1"/>
    <col min="8761" max="8761" width="5.59765625" style="256" customWidth="1"/>
    <col min="8762" max="8762" width="5.73046875" style="256" customWidth="1"/>
    <col min="8763" max="8763" width="8.1328125" style="256" customWidth="1"/>
    <col min="8764" max="8765" width="7.59765625" style="256" customWidth="1"/>
    <col min="8766" max="8766" width="6.73046875" style="256" customWidth="1"/>
    <col min="8767" max="8767" width="4" style="256" customWidth="1"/>
    <col min="8768" max="8768" width="7.265625" style="256" customWidth="1"/>
    <col min="8769" max="8769" width="4.3984375" style="256" customWidth="1"/>
    <col min="8770" max="8770" width="13" style="256" customWidth="1"/>
    <col min="8771" max="8771" width="7.73046875" style="256" customWidth="1"/>
    <col min="8772" max="8772" width="5.59765625" style="256" customWidth="1"/>
    <col min="8773" max="8773" width="5.73046875" style="256" customWidth="1"/>
    <col min="8774" max="8774" width="8.1328125" style="256" customWidth="1"/>
    <col min="8775" max="8776" width="7.59765625" style="256" customWidth="1"/>
    <col min="8777" max="8777" width="6.73046875" style="256" customWidth="1"/>
    <col min="8778" max="8778" width="4" style="256" customWidth="1"/>
    <col min="8779" max="8779" width="7.265625" style="256" customWidth="1"/>
    <col min="8780" max="8780" width="4" style="256" customWidth="1"/>
    <col min="8781" max="8781" width="13" style="256" customWidth="1"/>
    <col min="8782" max="8782" width="7.73046875" style="256" customWidth="1"/>
    <col min="8783" max="8783" width="5.59765625" style="256" customWidth="1"/>
    <col min="8784" max="8784" width="5.73046875" style="256" customWidth="1"/>
    <col min="8785" max="8785" width="8.1328125" style="256" customWidth="1"/>
    <col min="8786" max="8787" width="7.59765625" style="256" customWidth="1"/>
    <col min="8788" max="8788" width="6.73046875" style="256" customWidth="1"/>
    <col min="8789" max="8789" width="4" style="256" customWidth="1"/>
    <col min="8790" max="8790" width="7.265625" style="256" customWidth="1"/>
    <col min="8791" max="8791" width="4" style="256" customWidth="1"/>
    <col min="8792" max="8792" width="13" style="256" customWidth="1"/>
    <col min="8793" max="8793" width="7.73046875" style="256" customWidth="1"/>
    <col min="8794" max="8794" width="5.59765625" style="256" customWidth="1"/>
    <col min="8795" max="8795" width="5.73046875" style="256" customWidth="1"/>
    <col min="8796" max="8796" width="8.1328125" style="256" customWidth="1"/>
    <col min="8797" max="8798" width="7.59765625" style="256" customWidth="1"/>
    <col min="8799" max="8799" width="6.73046875" style="256" customWidth="1"/>
    <col min="8800" max="8800" width="4" style="256" customWidth="1"/>
    <col min="8801" max="8801" width="7.265625" style="256" customWidth="1"/>
    <col min="8802" max="8802" width="4" style="256" customWidth="1"/>
    <col min="8803" max="8803" width="13" style="256" customWidth="1"/>
    <col min="8804" max="8804" width="7.73046875" style="256" customWidth="1"/>
    <col min="8805" max="8805" width="5.59765625" style="256" customWidth="1"/>
    <col min="8806" max="8806" width="5.73046875" style="256" customWidth="1"/>
    <col min="8807" max="8807" width="8.1328125" style="256" customWidth="1"/>
    <col min="8808" max="8809" width="7.59765625" style="256" customWidth="1"/>
    <col min="8810" max="8810" width="6.73046875" style="256" customWidth="1"/>
    <col min="8811" max="8811" width="4" style="256" customWidth="1"/>
    <col min="8812" max="8812" width="7.265625" style="256" customWidth="1"/>
    <col min="8813" max="8813" width="4" style="256" customWidth="1"/>
    <col min="8814" max="8814" width="13" style="256" customWidth="1"/>
    <col min="8815" max="8815" width="7.73046875" style="256" customWidth="1"/>
    <col min="8816" max="8816" width="5.59765625" style="256" customWidth="1"/>
    <col min="8817" max="8817" width="5.73046875" style="256" customWidth="1"/>
    <col min="8818" max="8818" width="8.1328125" style="256" customWidth="1"/>
    <col min="8819" max="8820" width="7.59765625" style="256" customWidth="1"/>
    <col min="8821" max="8821" width="6.73046875" style="256" customWidth="1"/>
    <col min="8822" max="8822" width="4" style="256" customWidth="1"/>
    <col min="8823" max="8823" width="7.265625" style="256" customWidth="1"/>
    <col min="8824" max="8824" width="4" style="256" customWidth="1"/>
    <col min="8825" max="8825" width="13" style="256" customWidth="1"/>
    <col min="8826" max="8826" width="7.73046875" style="256" customWidth="1"/>
    <col min="8827" max="8827" width="5.59765625" style="256" customWidth="1"/>
    <col min="8828" max="8828" width="5.73046875" style="256" customWidth="1"/>
    <col min="8829" max="8829" width="8.1328125" style="256" customWidth="1"/>
    <col min="8830" max="8831" width="7.59765625" style="256" customWidth="1"/>
    <col min="8832" max="8832" width="6.73046875" style="256" customWidth="1"/>
    <col min="8833" max="8833" width="4" style="256" customWidth="1"/>
    <col min="8834" max="8834" width="7.265625" style="256" customWidth="1"/>
    <col min="8835" max="8835" width="4" style="256" customWidth="1"/>
    <col min="8836" max="8836" width="13" style="256" customWidth="1"/>
    <col min="8837" max="8837" width="7.73046875" style="256" customWidth="1"/>
    <col min="8838" max="8838" width="5.59765625" style="256" customWidth="1"/>
    <col min="8839" max="8839" width="5.73046875" style="256" customWidth="1"/>
    <col min="8840" max="8840" width="8.1328125" style="256" customWidth="1"/>
    <col min="8841" max="8842" width="7.59765625" style="256" customWidth="1"/>
    <col min="8843" max="8843" width="6.73046875" style="256" customWidth="1"/>
    <col min="8844" max="8844" width="4" style="256" customWidth="1"/>
    <col min="8845" max="8845" width="7.265625" style="256" customWidth="1"/>
    <col min="8846" max="8846" width="4" style="256" customWidth="1"/>
    <col min="8847" max="8847" width="13" style="256" customWidth="1"/>
    <col min="8848" max="8848" width="7.73046875" style="256" customWidth="1"/>
    <col min="8849" max="8849" width="5.59765625" style="256" customWidth="1"/>
    <col min="8850" max="8851" width="9.1328125" style="256"/>
    <col min="8852" max="8852" width="6.59765625" style="256" customWidth="1"/>
    <col min="8853" max="8853" width="8.73046875" style="256" customWidth="1"/>
    <col min="8854" max="8854" width="7.3984375" style="256" customWidth="1"/>
    <col min="8855" max="8855" width="7.265625" style="256" customWidth="1"/>
    <col min="8856" max="8856" width="7.73046875" style="256" customWidth="1"/>
    <col min="8857" max="8857" width="4.3984375" style="256" customWidth="1"/>
    <col min="8858" max="8858" width="9.1328125" style="256"/>
    <col min="8859" max="8859" width="6" style="256" customWidth="1"/>
    <col min="8860" max="8860" width="12.265625" style="256" customWidth="1"/>
    <col min="8861" max="8861" width="8" style="256" customWidth="1"/>
    <col min="8862" max="8864" width="9.1328125" style="256"/>
    <col min="8865" max="8865" width="7.73046875" style="256" customWidth="1"/>
    <col min="8866" max="8866" width="8.265625" style="256" customWidth="1"/>
    <col min="8867" max="8867" width="7.1328125" style="256" customWidth="1"/>
    <col min="8868" max="8868" width="7.59765625" style="256" customWidth="1"/>
    <col min="8869" max="8869" width="7.3984375" style="256" customWidth="1"/>
    <col min="8870" max="8870" width="4.86328125" style="256" customWidth="1"/>
    <col min="8871" max="8871" width="9.1328125" style="256"/>
    <col min="8872" max="8872" width="5" style="256" customWidth="1"/>
    <col min="8873" max="8873" width="12.265625" style="256" customWidth="1"/>
    <col min="8874" max="8874" width="7.86328125" style="256" customWidth="1"/>
    <col min="8875" max="8877" width="9.1328125" style="256"/>
    <col min="8878" max="8878" width="7.265625" style="256" customWidth="1"/>
    <col min="8879" max="8879" width="8.1328125" style="256" customWidth="1"/>
    <col min="8880" max="8880" width="6.86328125" style="256" customWidth="1"/>
    <col min="8881" max="8881" width="8" style="256" customWidth="1"/>
    <col min="8882" max="8882" width="7.3984375" style="256" customWidth="1"/>
    <col min="8883" max="8883" width="4.59765625" style="256" customWidth="1"/>
    <col min="8884" max="8884" width="9.1328125" style="256"/>
    <col min="8885" max="8885" width="4.1328125" style="256" customWidth="1"/>
    <col min="8886" max="8886" width="12" style="256" customWidth="1"/>
    <col min="8887" max="8887" width="8.1328125" style="256" customWidth="1"/>
    <col min="8888" max="8890" width="9.1328125" style="256"/>
    <col min="8891" max="8891" width="5.3984375" style="256" customWidth="1"/>
    <col min="8892" max="8892" width="7.73046875" style="256" customWidth="1"/>
    <col min="8893" max="8893" width="5.1328125" style="256" customWidth="1"/>
    <col min="8894" max="8894" width="7.3984375" style="256" customWidth="1"/>
    <col min="8895" max="8895" width="7.1328125" style="256" customWidth="1"/>
    <col min="8896" max="8896" width="4.265625" style="256" customWidth="1"/>
    <col min="8897" max="8897" width="9.1328125" style="256"/>
    <col min="8898" max="8898" width="5.1328125" style="256" customWidth="1"/>
    <col min="8899" max="8899" width="12.265625" style="256" customWidth="1"/>
    <col min="8900" max="8900" width="7.73046875" style="256" customWidth="1"/>
    <col min="8901" max="8902" width="9.1328125" style="256"/>
    <col min="8903" max="8903" width="6.73046875" style="256" customWidth="1"/>
    <col min="8904" max="8904" width="7.59765625" style="256" customWidth="1"/>
    <col min="8905" max="8905" width="6.265625" style="256" customWidth="1"/>
    <col min="8906" max="8906" width="8.1328125" style="256" customWidth="1"/>
    <col min="8907" max="8907" width="7.1328125" style="256" customWidth="1"/>
    <col min="8908" max="8908" width="4.3984375" style="256" customWidth="1"/>
    <col min="8909" max="8909" width="9.1328125" style="256"/>
    <col min="8910" max="8910" width="3.86328125" style="256" customWidth="1"/>
    <col min="8911" max="8911" width="12.265625" style="256" customWidth="1"/>
    <col min="8912" max="8912" width="8.3984375" style="256" customWidth="1"/>
    <col min="8913" max="8914" width="9.1328125" style="256"/>
    <col min="8915" max="8915" width="8.1328125" style="256" customWidth="1"/>
    <col min="8916" max="8916" width="8.3984375" style="256" customWidth="1"/>
    <col min="8917" max="8917" width="7" style="256" customWidth="1"/>
    <col min="8918" max="8918" width="8.3984375" style="256" customWidth="1"/>
    <col min="8919" max="8919" width="9.1328125" style="256"/>
    <col min="8920" max="8920" width="6.1328125" style="256" customWidth="1"/>
    <col min="8921" max="8921" width="9.1328125" style="256"/>
    <col min="8922" max="8922" width="6.73046875" style="256" customWidth="1"/>
    <col min="8923" max="8939" width="9.1328125" style="256"/>
    <col min="8940" max="8940" width="5.59765625" style="256" customWidth="1"/>
    <col min="8941" max="8941" width="5.73046875" style="256" customWidth="1"/>
    <col min="8942" max="8942" width="8.1328125" style="256" customWidth="1"/>
    <col min="8943" max="8944" width="7.59765625" style="256" customWidth="1"/>
    <col min="8945" max="8945" width="6.73046875" style="256" customWidth="1"/>
    <col min="8946" max="8946" width="4" style="256" customWidth="1"/>
    <col min="8947" max="8947" width="7.265625" style="256" customWidth="1"/>
    <col min="8948" max="8948" width="4" style="256" customWidth="1"/>
    <col min="8949" max="8949" width="13" style="256" customWidth="1"/>
    <col min="8950" max="8950" width="8" style="256" customWidth="1"/>
    <col min="8951" max="8951" width="5.59765625" style="256" customWidth="1"/>
    <col min="8952" max="8952" width="5.73046875" style="256" customWidth="1"/>
    <col min="8953" max="8953" width="8.1328125" style="256" customWidth="1"/>
    <col min="8954" max="8955" width="7.59765625" style="256" customWidth="1"/>
    <col min="8956" max="8956" width="6.73046875" style="256" customWidth="1"/>
    <col min="8957" max="8957" width="4" style="256" customWidth="1"/>
    <col min="8958" max="8958" width="7.265625" style="256" customWidth="1"/>
    <col min="8959" max="8959" width="4" style="256" customWidth="1"/>
    <col min="8960" max="8960" width="13" style="256" customWidth="1"/>
    <col min="8961" max="8961" width="7.73046875" style="256" customWidth="1"/>
    <col min="8962" max="8962" width="5.59765625" style="256" customWidth="1"/>
    <col min="8963" max="8963" width="5.73046875" style="256" customWidth="1"/>
    <col min="8964" max="8964" width="8.1328125" style="256" customWidth="1"/>
    <col min="8965" max="8966" width="7.59765625" style="256" customWidth="1"/>
    <col min="8967" max="8967" width="6.73046875" style="256" customWidth="1"/>
    <col min="8968" max="8968" width="4" style="256" customWidth="1"/>
    <col min="8969" max="8969" width="7.265625" style="256" customWidth="1"/>
    <col min="8970" max="8970" width="4" style="256" customWidth="1"/>
    <col min="8971" max="8971" width="13" style="256" customWidth="1"/>
    <col min="8972" max="8972" width="7.73046875" style="256" customWidth="1"/>
    <col min="8973" max="8973" width="5.59765625" style="256" customWidth="1"/>
    <col min="8974" max="8974" width="5.73046875" style="256" customWidth="1"/>
    <col min="8975" max="8975" width="8.1328125" style="256" customWidth="1"/>
    <col min="8976" max="8977" width="7.59765625" style="256" customWidth="1"/>
    <col min="8978" max="8978" width="6.73046875" style="256" customWidth="1"/>
    <col min="8979" max="8979" width="4" style="256" customWidth="1"/>
    <col min="8980" max="8980" width="7.265625" style="256" customWidth="1"/>
    <col min="8981" max="8981" width="4" style="256" customWidth="1"/>
    <col min="8982" max="8982" width="13" style="256" customWidth="1"/>
    <col min="8983" max="8983" width="7.73046875" style="256" customWidth="1"/>
    <col min="8984" max="8984" width="5.59765625" style="256" customWidth="1"/>
    <col min="8985" max="8985" width="5.73046875" style="256" customWidth="1"/>
    <col min="8986" max="8986" width="8.1328125" style="256" customWidth="1"/>
    <col min="8987" max="8988" width="7.59765625" style="256" customWidth="1"/>
    <col min="8989" max="8989" width="6.73046875" style="256" customWidth="1"/>
    <col min="8990" max="8990" width="4" style="256" customWidth="1"/>
    <col min="8991" max="8991" width="7.265625" style="256" customWidth="1"/>
    <col min="8992" max="8992" width="4" style="256" customWidth="1"/>
    <col min="8993" max="8993" width="13" style="256" customWidth="1"/>
    <col min="8994" max="8994" width="7.73046875" style="256" customWidth="1"/>
    <col min="8995" max="8995" width="5.59765625" style="256" customWidth="1"/>
    <col min="8996" max="8996" width="5.73046875" style="256" customWidth="1"/>
    <col min="8997" max="8997" width="8.1328125" style="256" customWidth="1"/>
    <col min="8998" max="8999" width="7.59765625" style="256" customWidth="1"/>
    <col min="9000" max="9000" width="6.73046875" style="256" customWidth="1"/>
    <col min="9001" max="9001" width="4" style="256" customWidth="1"/>
    <col min="9002" max="9002" width="7.265625" style="256" customWidth="1"/>
    <col min="9003" max="9003" width="4" style="256" customWidth="1"/>
    <col min="9004" max="9004" width="13" style="256" customWidth="1"/>
    <col min="9005" max="9005" width="7.73046875" style="256" customWidth="1"/>
    <col min="9006" max="9006" width="5.59765625" style="256" customWidth="1"/>
    <col min="9007" max="9007" width="5.73046875" style="256" customWidth="1"/>
    <col min="9008" max="9008" width="8.1328125" style="256" customWidth="1"/>
    <col min="9009" max="9010" width="7.59765625" style="256" customWidth="1"/>
    <col min="9011" max="9011" width="6.73046875" style="256" customWidth="1"/>
    <col min="9012" max="9012" width="4" style="256" customWidth="1"/>
    <col min="9013" max="9013" width="7.265625" style="256" customWidth="1"/>
    <col min="9014" max="9014" width="4" style="256" customWidth="1"/>
    <col min="9015" max="9015" width="13" style="256" customWidth="1"/>
    <col min="9016" max="9016" width="7.73046875" style="256" customWidth="1"/>
    <col min="9017" max="9017" width="5.59765625" style="256" customWidth="1"/>
    <col min="9018" max="9018" width="5.73046875" style="256" customWidth="1"/>
    <col min="9019" max="9019" width="8.1328125" style="256" customWidth="1"/>
    <col min="9020" max="9021" width="7.59765625" style="256" customWidth="1"/>
    <col min="9022" max="9022" width="6.73046875" style="256" customWidth="1"/>
    <col min="9023" max="9023" width="4" style="256" customWidth="1"/>
    <col min="9024" max="9024" width="7.265625" style="256" customWidth="1"/>
    <col min="9025" max="9025" width="4.3984375" style="256" customWidth="1"/>
    <col min="9026" max="9026" width="13" style="256" customWidth="1"/>
    <col min="9027" max="9027" width="7.73046875" style="256" customWidth="1"/>
    <col min="9028" max="9028" width="5.59765625" style="256" customWidth="1"/>
    <col min="9029" max="9029" width="5.73046875" style="256" customWidth="1"/>
    <col min="9030" max="9030" width="8.1328125" style="256" customWidth="1"/>
    <col min="9031" max="9032" width="7.59765625" style="256" customWidth="1"/>
    <col min="9033" max="9033" width="6.73046875" style="256" customWidth="1"/>
    <col min="9034" max="9034" width="4" style="256" customWidth="1"/>
    <col min="9035" max="9035" width="7.265625" style="256" customWidth="1"/>
    <col min="9036" max="9036" width="4" style="256" customWidth="1"/>
    <col min="9037" max="9037" width="13" style="256" customWidth="1"/>
    <col min="9038" max="9038" width="7.73046875" style="256" customWidth="1"/>
    <col min="9039" max="9039" width="5.59765625" style="256" customWidth="1"/>
    <col min="9040" max="9040" width="5.73046875" style="256" customWidth="1"/>
    <col min="9041" max="9041" width="8.1328125" style="256" customWidth="1"/>
    <col min="9042" max="9043" width="7.59765625" style="256" customWidth="1"/>
    <col min="9044" max="9044" width="6.73046875" style="256" customWidth="1"/>
    <col min="9045" max="9045" width="4" style="256" customWidth="1"/>
    <col min="9046" max="9046" width="7.265625" style="256" customWidth="1"/>
    <col min="9047" max="9047" width="4" style="256" customWidth="1"/>
    <col min="9048" max="9048" width="13" style="256" customWidth="1"/>
    <col min="9049" max="9049" width="7.73046875" style="256" customWidth="1"/>
    <col min="9050" max="9050" width="5.59765625" style="256" customWidth="1"/>
    <col min="9051" max="9051" width="5.73046875" style="256" customWidth="1"/>
    <col min="9052" max="9052" width="8.1328125" style="256" customWidth="1"/>
    <col min="9053" max="9054" width="7.59765625" style="256" customWidth="1"/>
    <col min="9055" max="9055" width="6.73046875" style="256" customWidth="1"/>
    <col min="9056" max="9056" width="4" style="256" customWidth="1"/>
    <col min="9057" max="9057" width="7.265625" style="256" customWidth="1"/>
    <col min="9058" max="9058" width="4" style="256" customWidth="1"/>
    <col min="9059" max="9059" width="13" style="256" customWidth="1"/>
    <col min="9060" max="9060" width="7.73046875" style="256" customWidth="1"/>
    <col min="9061" max="9061" width="5.59765625" style="256" customWidth="1"/>
    <col min="9062" max="9062" width="5.73046875" style="256" customWidth="1"/>
    <col min="9063" max="9063" width="8.1328125" style="256" customWidth="1"/>
    <col min="9064" max="9065" width="7.59765625" style="256" customWidth="1"/>
    <col min="9066" max="9066" width="6.73046875" style="256" customWidth="1"/>
    <col min="9067" max="9067" width="4" style="256" customWidth="1"/>
    <col min="9068" max="9068" width="7.265625" style="256" customWidth="1"/>
    <col min="9069" max="9069" width="4" style="256" customWidth="1"/>
    <col min="9070" max="9070" width="13" style="256" customWidth="1"/>
    <col min="9071" max="9071" width="7.73046875" style="256" customWidth="1"/>
    <col min="9072" max="9072" width="5.59765625" style="256" customWidth="1"/>
    <col min="9073" max="9073" width="5.73046875" style="256" customWidth="1"/>
    <col min="9074" max="9074" width="8.1328125" style="256" customWidth="1"/>
    <col min="9075" max="9076" width="7.59765625" style="256" customWidth="1"/>
    <col min="9077" max="9077" width="6.73046875" style="256" customWidth="1"/>
    <col min="9078" max="9078" width="4" style="256" customWidth="1"/>
    <col min="9079" max="9079" width="7.265625" style="256" customWidth="1"/>
    <col min="9080" max="9080" width="4" style="256" customWidth="1"/>
    <col min="9081" max="9081" width="13" style="256" customWidth="1"/>
    <col min="9082" max="9082" width="7.73046875" style="256" customWidth="1"/>
    <col min="9083" max="9083" width="5.59765625" style="256" customWidth="1"/>
    <col min="9084" max="9084" width="5.73046875" style="256" customWidth="1"/>
    <col min="9085" max="9085" width="8.1328125" style="256" customWidth="1"/>
    <col min="9086" max="9087" width="7.59765625" style="256" customWidth="1"/>
    <col min="9088" max="9088" width="6.73046875" style="256" customWidth="1"/>
    <col min="9089" max="9089" width="4" style="256" customWidth="1"/>
    <col min="9090" max="9090" width="7.265625" style="256" customWidth="1"/>
    <col min="9091" max="9091" width="4" style="256" customWidth="1"/>
    <col min="9092" max="9092" width="13" style="256" customWidth="1"/>
    <col min="9093" max="9093" width="7.73046875" style="256" customWidth="1"/>
    <col min="9094" max="9094" width="5.59765625" style="256" customWidth="1"/>
    <col min="9095" max="9095" width="5.73046875" style="256" customWidth="1"/>
    <col min="9096" max="9096" width="8.1328125" style="256" customWidth="1"/>
    <col min="9097" max="9098" width="7.59765625" style="256" customWidth="1"/>
    <col min="9099" max="9099" width="6.73046875" style="256" customWidth="1"/>
    <col min="9100" max="9100" width="4" style="256" customWidth="1"/>
    <col min="9101" max="9101" width="7.265625" style="256" customWidth="1"/>
    <col min="9102" max="9102" width="4" style="256" customWidth="1"/>
    <col min="9103" max="9103" width="13" style="256" customWidth="1"/>
    <col min="9104" max="9104" width="7.73046875" style="256" customWidth="1"/>
    <col min="9105" max="9105" width="5.59765625" style="256" customWidth="1"/>
    <col min="9106" max="9107" width="9.1328125" style="256"/>
    <col min="9108" max="9108" width="6.59765625" style="256" customWidth="1"/>
    <col min="9109" max="9109" width="8.73046875" style="256" customWidth="1"/>
    <col min="9110" max="9110" width="7.3984375" style="256" customWidth="1"/>
    <col min="9111" max="9111" width="7.265625" style="256" customWidth="1"/>
    <col min="9112" max="9112" width="7.73046875" style="256" customWidth="1"/>
    <col min="9113" max="9113" width="4.3984375" style="256" customWidth="1"/>
    <col min="9114" max="9114" width="9.1328125" style="256"/>
    <col min="9115" max="9115" width="6" style="256" customWidth="1"/>
    <col min="9116" max="9116" width="12.265625" style="256" customWidth="1"/>
    <col min="9117" max="9117" width="8" style="256" customWidth="1"/>
    <col min="9118" max="9120" width="9.1328125" style="256"/>
    <col min="9121" max="9121" width="7.73046875" style="256" customWidth="1"/>
    <col min="9122" max="9122" width="8.265625" style="256" customWidth="1"/>
    <col min="9123" max="9123" width="7.1328125" style="256" customWidth="1"/>
    <col min="9124" max="9124" width="7.59765625" style="256" customWidth="1"/>
    <col min="9125" max="9125" width="7.3984375" style="256" customWidth="1"/>
    <col min="9126" max="9126" width="4.86328125" style="256" customWidth="1"/>
    <col min="9127" max="9127" width="9.1328125" style="256"/>
    <col min="9128" max="9128" width="5" style="256" customWidth="1"/>
    <col min="9129" max="9129" width="12.265625" style="256" customWidth="1"/>
    <col min="9130" max="9130" width="7.86328125" style="256" customWidth="1"/>
    <col min="9131" max="9133" width="9.1328125" style="256"/>
    <col min="9134" max="9134" width="7.265625" style="256" customWidth="1"/>
    <col min="9135" max="9135" width="8.1328125" style="256" customWidth="1"/>
    <col min="9136" max="9136" width="6.86328125" style="256" customWidth="1"/>
    <col min="9137" max="9137" width="8" style="256" customWidth="1"/>
    <col min="9138" max="9138" width="7.3984375" style="256" customWidth="1"/>
    <col min="9139" max="9139" width="4.59765625" style="256" customWidth="1"/>
    <col min="9140" max="9140" width="9.1328125" style="256"/>
    <col min="9141" max="9141" width="4.1328125" style="256" customWidth="1"/>
    <col min="9142" max="9142" width="12" style="256" customWidth="1"/>
    <col min="9143" max="9143" width="8.1328125" style="256" customWidth="1"/>
    <col min="9144" max="9146" width="9.1328125" style="256"/>
    <col min="9147" max="9147" width="5.3984375" style="256" customWidth="1"/>
    <col min="9148" max="9148" width="7.73046875" style="256" customWidth="1"/>
    <col min="9149" max="9149" width="5.1328125" style="256" customWidth="1"/>
    <col min="9150" max="9150" width="7.3984375" style="256" customWidth="1"/>
    <col min="9151" max="9151" width="7.1328125" style="256" customWidth="1"/>
    <col min="9152" max="9152" width="4.265625" style="256" customWidth="1"/>
    <col min="9153" max="9153" width="9.1328125" style="256"/>
    <col min="9154" max="9154" width="5.1328125" style="256" customWidth="1"/>
    <col min="9155" max="9155" width="12.265625" style="256" customWidth="1"/>
    <col min="9156" max="9156" width="7.73046875" style="256" customWidth="1"/>
    <col min="9157" max="9158" width="9.1328125" style="256"/>
    <col min="9159" max="9159" width="6.73046875" style="256" customWidth="1"/>
    <col min="9160" max="9160" width="7.59765625" style="256" customWidth="1"/>
    <col min="9161" max="9161" width="6.265625" style="256" customWidth="1"/>
    <col min="9162" max="9162" width="8.1328125" style="256" customWidth="1"/>
    <col min="9163" max="9163" width="7.1328125" style="256" customWidth="1"/>
    <col min="9164" max="9164" width="4.3984375" style="256" customWidth="1"/>
    <col min="9165" max="9165" width="9.1328125" style="256"/>
    <col min="9166" max="9166" width="3.86328125" style="256" customWidth="1"/>
    <col min="9167" max="9167" width="12.265625" style="256" customWidth="1"/>
    <col min="9168" max="9168" width="8.3984375" style="256" customWidth="1"/>
    <col min="9169" max="9170" width="9.1328125" style="256"/>
    <col min="9171" max="9171" width="8.1328125" style="256" customWidth="1"/>
    <col min="9172" max="9172" width="8.3984375" style="256" customWidth="1"/>
    <col min="9173" max="9173" width="7" style="256" customWidth="1"/>
    <col min="9174" max="9174" width="8.3984375" style="256" customWidth="1"/>
    <col min="9175" max="9175" width="9.1328125" style="256"/>
    <col min="9176" max="9176" width="6.1328125" style="256" customWidth="1"/>
    <col min="9177" max="9177" width="9.1328125" style="256"/>
    <col min="9178" max="9178" width="6.73046875" style="256" customWidth="1"/>
    <col min="9179" max="9195" width="9.1328125" style="256"/>
    <col min="9196" max="9196" width="5.59765625" style="256" customWidth="1"/>
    <col min="9197" max="9197" width="5.73046875" style="256" customWidth="1"/>
    <col min="9198" max="9198" width="8.1328125" style="256" customWidth="1"/>
    <col min="9199" max="9200" width="7.59765625" style="256" customWidth="1"/>
    <col min="9201" max="9201" width="6.73046875" style="256" customWidth="1"/>
    <col min="9202" max="9202" width="4" style="256" customWidth="1"/>
    <col min="9203" max="9203" width="7.265625" style="256" customWidth="1"/>
    <col min="9204" max="9204" width="4" style="256" customWidth="1"/>
    <col min="9205" max="9205" width="13" style="256" customWidth="1"/>
    <col min="9206" max="9206" width="8" style="256" customWidth="1"/>
    <col min="9207" max="9207" width="5.59765625" style="256" customWidth="1"/>
    <col min="9208" max="9208" width="5.73046875" style="256" customWidth="1"/>
    <col min="9209" max="9209" width="8.1328125" style="256" customWidth="1"/>
    <col min="9210" max="9211" width="7.59765625" style="256" customWidth="1"/>
    <col min="9212" max="9212" width="6.73046875" style="256" customWidth="1"/>
    <col min="9213" max="9213" width="4" style="256" customWidth="1"/>
    <col min="9214" max="9214" width="7.265625" style="256" customWidth="1"/>
    <col min="9215" max="9215" width="4" style="256" customWidth="1"/>
    <col min="9216" max="9216" width="13" style="256" customWidth="1"/>
    <col min="9217" max="9217" width="7.73046875" style="256" customWidth="1"/>
    <col min="9218" max="9218" width="5.59765625" style="256" customWidth="1"/>
    <col min="9219" max="9219" width="5.73046875" style="256" customWidth="1"/>
    <col min="9220" max="9220" width="8.1328125" style="256" customWidth="1"/>
    <col min="9221" max="9222" width="7.59765625" style="256" customWidth="1"/>
    <col min="9223" max="9223" width="6.73046875" style="256" customWidth="1"/>
    <col min="9224" max="9224" width="4" style="256" customWidth="1"/>
    <col min="9225" max="9225" width="7.265625" style="256" customWidth="1"/>
    <col min="9226" max="9226" width="4" style="256" customWidth="1"/>
    <col min="9227" max="9227" width="13" style="256" customWidth="1"/>
    <col min="9228" max="9228" width="7.73046875" style="256" customWidth="1"/>
    <col min="9229" max="9229" width="5.59765625" style="256" customWidth="1"/>
    <col min="9230" max="9230" width="5.73046875" style="256" customWidth="1"/>
    <col min="9231" max="9231" width="8.1328125" style="256" customWidth="1"/>
    <col min="9232" max="9233" width="7.59765625" style="256" customWidth="1"/>
    <col min="9234" max="9234" width="6.73046875" style="256" customWidth="1"/>
    <col min="9235" max="9235" width="4" style="256" customWidth="1"/>
    <col min="9236" max="9236" width="7.265625" style="256" customWidth="1"/>
    <col min="9237" max="9237" width="4" style="256" customWidth="1"/>
    <col min="9238" max="9238" width="13" style="256" customWidth="1"/>
    <col min="9239" max="9239" width="7.73046875" style="256" customWidth="1"/>
    <col min="9240" max="9240" width="5.59765625" style="256" customWidth="1"/>
    <col min="9241" max="9241" width="5.73046875" style="256" customWidth="1"/>
    <col min="9242" max="9242" width="8.1328125" style="256" customWidth="1"/>
    <col min="9243" max="9244" width="7.59765625" style="256" customWidth="1"/>
    <col min="9245" max="9245" width="6.73046875" style="256" customWidth="1"/>
    <col min="9246" max="9246" width="4" style="256" customWidth="1"/>
    <col min="9247" max="9247" width="7.265625" style="256" customWidth="1"/>
    <col min="9248" max="9248" width="4" style="256" customWidth="1"/>
    <col min="9249" max="9249" width="13" style="256" customWidth="1"/>
    <col min="9250" max="9250" width="7.73046875" style="256" customWidth="1"/>
    <col min="9251" max="9251" width="5.59765625" style="256" customWidth="1"/>
    <col min="9252" max="9252" width="5.73046875" style="256" customWidth="1"/>
    <col min="9253" max="9253" width="8.1328125" style="256" customWidth="1"/>
    <col min="9254" max="9255" width="7.59765625" style="256" customWidth="1"/>
    <col min="9256" max="9256" width="6.73046875" style="256" customWidth="1"/>
    <col min="9257" max="9257" width="4" style="256" customWidth="1"/>
    <col min="9258" max="9258" width="7.265625" style="256" customWidth="1"/>
    <col min="9259" max="9259" width="4" style="256" customWidth="1"/>
    <col min="9260" max="9260" width="13" style="256" customWidth="1"/>
    <col min="9261" max="9261" width="7.73046875" style="256" customWidth="1"/>
    <col min="9262" max="9262" width="5.59765625" style="256" customWidth="1"/>
    <col min="9263" max="9263" width="5.73046875" style="256" customWidth="1"/>
    <col min="9264" max="9264" width="8.1328125" style="256" customWidth="1"/>
    <col min="9265" max="9266" width="7.59765625" style="256" customWidth="1"/>
    <col min="9267" max="9267" width="6.73046875" style="256" customWidth="1"/>
    <col min="9268" max="9268" width="4" style="256" customWidth="1"/>
    <col min="9269" max="9269" width="7.265625" style="256" customWidth="1"/>
    <col min="9270" max="9270" width="4" style="256" customWidth="1"/>
    <col min="9271" max="9271" width="13" style="256" customWidth="1"/>
    <col min="9272" max="9272" width="7.73046875" style="256" customWidth="1"/>
    <col min="9273" max="9273" width="5.59765625" style="256" customWidth="1"/>
    <col min="9274" max="9274" width="5.73046875" style="256" customWidth="1"/>
    <col min="9275" max="9275" width="8.1328125" style="256" customWidth="1"/>
    <col min="9276" max="9277" width="7.59765625" style="256" customWidth="1"/>
    <col min="9278" max="9278" width="6.73046875" style="256" customWidth="1"/>
    <col min="9279" max="9279" width="4" style="256" customWidth="1"/>
    <col min="9280" max="9280" width="7.265625" style="256" customWidth="1"/>
    <col min="9281" max="9281" width="4.3984375" style="256" customWidth="1"/>
    <col min="9282" max="9282" width="13" style="256" customWidth="1"/>
    <col min="9283" max="9283" width="7.73046875" style="256" customWidth="1"/>
    <col min="9284" max="9284" width="5.59765625" style="256" customWidth="1"/>
    <col min="9285" max="9285" width="5.73046875" style="256" customWidth="1"/>
    <col min="9286" max="9286" width="8.1328125" style="256" customWidth="1"/>
    <col min="9287" max="9288" width="7.59765625" style="256" customWidth="1"/>
    <col min="9289" max="9289" width="6.73046875" style="256" customWidth="1"/>
    <col min="9290" max="9290" width="4" style="256" customWidth="1"/>
    <col min="9291" max="9291" width="7.265625" style="256" customWidth="1"/>
    <col min="9292" max="9292" width="4" style="256" customWidth="1"/>
    <col min="9293" max="9293" width="13" style="256" customWidth="1"/>
    <col min="9294" max="9294" width="7.73046875" style="256" customWidth="1"/>
    <col min="9295" max="9295" width="5.59765625" style="256" customWidth="1"/>
    <col min="9296" max="9296" width="5.73046875" style="256" customWidth="1"/>
    <col min="9297" max="9297" width="8.1328125" style="256" customWidth="1"/>
    <col min="9298" max="9299" width="7.59765625" style="256" customWidth="1"/>
    <col min="9300" max="9300" width="6.73046875" style="256" customWidth="1"/>
    <col min="9301" max="9301" width="4" style="256" customWidth="1"/>
    <col min="9302" max="9302" width="7.265625" style="256" customWidth="1"/>
    <col min="9303" max="9303" width="4" style="256" customWidth="1"/>
    <col min="9304" max="9304" width="13" style="256" customWidth="1"/>
    <col min="9305" max="9305" width="7.73046875" style="256" customWidth="1"/>
    <col min="9306" max="9306" width="5.59765625" style="256" customWidth="1"/>
    <col min="9307" max="9307" width="5.73046875" style="256" customWidth="1"/>
    <col min="9308" max="9308" width="8.1328125" style="256" customWidth="1"/>
    <col min="9309" max="9310" width="7.59765625" style="256" customWidth="1"/>
    <col min="9311" max="9311" width="6.73046875" style="256" customWidth="1"/>
    <col min="9312" max="9312" width="4" style="256" customWidth="1"/>
    <col min="9313" max="9313" width="7.265625" style="256" customWidth="1"/>
    <col min="9314" max="9314" width="4" style="256" customWidth="1"/>
    <col min="9315" max="9315" width="13" style="256" customWidth="1"/>
    <col min="9316" max="9316" width="7.73046875" style="256" customWidth="1"/>
    <col min="9317" max="9317" width="5.59765625" style="256" customWidth="1"/>
    <col min="9318" max="9318" width="5.73046875" style="256" customWidth="1"/>
    <col min="9319" max="9319" width="8.1328125" style="256" customWidth="1"/>
    <col min="9320" max="9321" width="7.59765625" style="256" customWidth="1"/>
    <col min="9322" max="9322" width="6.73046875" style="256" customWidth="1"/>
    <col min="9323" max="9323" width="4" style="256" customWidth="1"/>
    <col min="9324" max="9324" width="7.265625" style="256" customWidth="1"/>
    <col min="9325" max="9325" width="4" style="256" customWidth="1"/>
    <col min="9326" max="9326" width="13" style="256" customWidth="1"/>
    <col min="9327" max="9327" width="7.73046875" style="256" customWidth="1"/>
    <col min="9328" max="9328" width="5.59765625" style="256" customWidth="1"/>
    <col min="9329" max="9329" width="5.73046875" style="256" customWidth="1"/>
    <col min="9330" max="9330" width="8.1328125" style="256" customWidth="1"/>
    <col min="9331" max="9332" width="7.59765625" style="256" customWidth="1"/>
    <col min="9333" max="9333" width="6.73046875" style="256" customWidth="1"/>
    <col min="9334" max="9334" width="4" style="256" customWidth="1"/>
    <col min="9335" max="9335" width="7.265625" style="256" customWidth="1"/>
    <col min="9336" max="9336" width="4" style="256" customWidth="1"/>
    <col min="9337" max="9337" width="13" style="256" customWidth="1"/>
    <col min="9338" max="9338" width="7.73046875" style="256" customWidth="1"/>
    <col min="9339" max="9339" width="5.59765625" style="256" customWidth="1"/>
    <col min="9340" max="9340" width="5.73046875" style="256" customWidth="1"/>
    <col min="9341" max="9341" width="8.1328125" style="256" customWidth="1"/>
    <col min="9342" max="9343" width="7.59765625" style="256" customWidth="1"/>
    <col min="9344" max="9344" width="6.73046875" style="256" customWidth="1"/>
    <col min="9345" max="9345" width="4" style="256" customWidth="1"/>
    <col min="9346" max="9346" width="7.265625" style="256" customWidth="1"/>
    <col min="9347" max="9347" width="4" style="256" customWidth="1"/>
    <col min="9348" max="9348" width="13" style="256" customWidth="1"/>
    <col min="9349" max="9349" width="7.73046875" style="256" customWidth="1"/>
    <col min="9350" max="9350" width="5.59765625" style="256" customWidth="1"/>
    <col min="9351" max="9351" width="5.73046875" style="256" customWidth="1"/>
    <col min="9352" max="9352" width="8.1328125" style="256" customWidth="1"/>
    <col min="9353" max="9354" width="7.59765625" style="256" customWidth="1"/>
    <col min="9355" max="9355" width="6.73046875" style="256" customWidth="1"/>
    <col min="9356" max="9356" width="4" style="256" customWidth="1"/>
    <col min="9357" max="9357" width="7.265625" style="256" customWidth="1"/>
    <col min="9358" max="9358" width="4" style="256" customWidth="1"/>
    <col min="9359" max="9359" width="13" style="256" customWidth="1"/>
    <col min="9360" max="9360" width="7.73046875" style="256" customWidth="1"/>
    <col min="9361" max="9361" width="5.59765625" style="256" customWidth="1"/>
    <col min="9362" max="9363" width="9.1328125" style="256"/>
    <col min="9364" max="9364" width="6.59765625" style="256" customWidth="1"/>
    <col min="9365" max="9365" width="8.73046875" style="256" customWidth="1"/>
    <col min="9366" max="9366" width="7.3984375" style="256" customWidth="1"/>
    <col min="9367" max="9367" width="7.265625" style="256" customWidth="1"/>
    <col min="9368" max="9368" width="7.73046875" style="256" customWidth="1"/>
    <col min="9369" max="9369" width="4.3984375" style="256" customWidth="1"/>
    <col min="9370" max="9370" width="9.1328125" style="256"/>
    <col min="9371" max="9371" width="6" style="256" customWidth="1"/>
    <col min="9372" max="9372" width="12.265625" style="256" customWidth="1"/>
    <col min="9373" max="9373" width="8" style="256" customWidth="1"/>
    <col min="9374" max="9376" width="9.1328125" style="256"/>
    <col min="9377" max="9377" width="7.73046875" style="256" customWidth="1"/>
    <col min="9378" max="9378" width="8.265625" style="256" customWidth="1"/>
    <col min="9379" max="9379" width="7.1328125" style="256" customWidth="1"/>
    <col min="9380" max="9380" width="7.59765625" style="256" customWidth="1"/>
    <col min="9381" max="9381" width="7.3984375" style="256" customWidth="1"/>
    <col min="9382" max="9382" width="4.86328125" style="256" customWidth="1"/>
    <col min="9383" max="9383" width="9.1328125" style="256"/>
    <col min="9384" max="9384" width="5" style="256" customWidth="1"/>
    <col min="9385" max="9385" width="12.265625" style="256" customWidth="1"/>
    <col min="9386" max="9386" width="7.86328125" style="256" customWidth="1"/>
    <col min="9387" max="9389" width="9.1328125" style="256"/>
    <col min="9390" max="9390" width="7.265625" style="256" customWidth="1"/>
    <col min="9391" max="9391" width="8.1328125" style="256" customWidth="1"/>
    <col min="9392" max="9392" width="6.86328125" style="256" customWidth="1"/>
    <col min="9393" max="9393" width="8" style="256" customWidth="1"/>
    <col min="9394" max="9394" width="7.3984375" style="256" customWidth="1"/>
    <col min="9395" max="9395" width="4.59765625" style="256" customWidth="1"/>
    <col min="9396" max="9396" width="9.1328125" style="256"/>
    <col min="9397" max="9397" width="4.1328125" style="256" customWidth="1"/>
    <col min="9398" max="9398" width="12" style="256" customWidth="1"/>
    <col min="9399" max="9399" width="8.1328125" style="256" customWidth="1"/>
    <col min="9400" max="9402" width="9.1328125" style="256"/>
    <col min="9403" max="9403" width="5.3984375" style="256" customWidth="1"/>
    <col min="9404" max="9404" width="7.73046875" style="256" customWidth="1"/>
    <col min="9405" max="9405" width="5.1328125" style="256" customWidth="1"/>
    <col min="9406" max="9406" width="7.3984375" style="256" customWidth="1"/>
    <col min="9407" max="9407" width="7.1328125" style="256" customWidth="1"/>
    <col min="9408" max="9408" width="4.265625" style="256" customWidth="1"/>
    <col min="9409" max="9409" width="9.1328125" style="256"/>
    <col min="9410" max="9410" width="5.1328125" style="256" customWidth="1"/>
    <col min="9411" max="9411" width="12.265625" style="256" customWidth="1"/>
    <col min="9412" max="9412" width="7.73046875" style="256" customWidth="1"/>
    <col min="9413" max="9414" width="9.1328125" style="256"/>
    <col min="9415" max="9415" width="6.73046875" style="256" customWidth="1"/>
    <col min="9416" max="9416" width="7.59765625" style="256" customWidth="1"/>
    <col min="9417" max="9417" width="6.265625" style="256" customWidth="1"/>
    <col min="9418" max="9418" width="8.1328125" style="256" customWidth="1"/>
    <col min="9419" max="9419" width="7.1328125" style="256" customWidth="1"/>
    <col min="9420" max="9420" width="4.3984375" style="256" customWidth="1"/>
    <col min="9421" max="9421" width="9.1328125" style="256"/>
    <col min="9422" max="9422" width="3.86328125" style="256" customWidth="1"/>
    <col min="9423" max="9423" width="12.265625" style="256" customWidth="1"/>
    <col min="9424" max="9424" width="8.3984375" style="256" customWidth="1"/>
    <col min="9425" max="9426" width="9.1328125" style="256"/>
    <col min="9427" max="9427" width="8.1328125" style="256" customWidth="1"/>
    <col min="9428" max="9428" width="8.3984375" style="256" customWidth="1"/>
    <col min="9429" max="9429" width="7" style="256" customWidth="1"/>
    <col min="9430" max="9430" width="8.3984375" style="256" customWidth="1"/>
    <col min="9431" max="9431" width="9.1328125" style="256"/>
    <col min="9432" max="9432" width="6.1328125" style="256" customWidth="1"/>
    <col min="9433" max="9433" width="9.1328125" style="256"/>
    <col min="9434" max="9434" width="6.73046875" style="256" customWidth="1"/>
    <col min="9435" max="9451" width="9.1328125" style="256"/>
    <col min="9452" max="9452" width="5.59765625" style="256" customWidth="1"/>
    <col min="9453" max="9453" width="5.73046875" style="256" customWidth="1"/>
    <col min="9454" max="9454" width="8.1328125" style="256" customWidth="1"/>
    <col min="9455" max="9456" width="7.59765625" style="256" customWidth="1"/>
    <col min="9457" max="9457" width="6.73046875" style="256" customWidth="1"/>
    <col min="9458" max="9458" width="4" style="256" customWidth="1"/>
    <col min="9459" max="9459" width="7.265625" style="256" customWidth="1"/>
    <col min="9460" max="9460" width="4" style="256" customWidth="1"/>
    <col min="9461" max="9461" width="13" style="256" customWidth="1"/>
    <col min="9462" max="9462" width="8" style="256" customWidth="1"/>
    <col min="9463" max="9463" width="5.59765625" style="256" customWidth="1"/>
    <col min="9464" max="9464" width="5.73046875" style="256" customWidth="1"/>
    <col min="9465" max="9465" width="8.1328125" style="256" customWidth="1"/>
    <col min="9466" max="9467" width="7.59765625" style="256" customWidth="1"/>
    <col min="9468" max="9468" width="6.73046875" style="256" customWidth="1"/>
    <col min="9469" max="9469" width="4" style="256" customWidth="1"/>
    <col min="9470" max="9470" width="7.265625" style="256" customWidth="1"/>
    <col min="9471" max="9471" width="4" style="256" customWidth="1"/>
    <col min="9472" max="9472" width="13" style="256" customWidth="1"/>
    <col min="9473" max="9473" width="7.73046875" style="256" customWidth="1"/>
    <col min="9474" max="9474" width="5.59765625" style="256" customWidth="1"/>
    <col min="9475" max="9475" width="5.73046875" style="256" customWidth="1"/>
    <col min="9476" max="9476" width="8.1328125" style="256" customWidth="1"/>
    <col min="9477" max="9478" width="7.59765625" style="256" customWidth="1"/>
    <col min="9479" max="9479" width="6.73046875" style="256" customWidth="1"/>
    <col min="9480" max="9480" width="4" style="256" customWidth="1"/>
    <col min="9481" max="9481" width="7.265625" style="256" customWidth="1"/>
    <col min="9482" max="9482" width="4" style="256" customWidth="1"/>
    <col min="9483" max="9483" width="13" style="256" customWidth="1"/>
    <col min="9484" max="9484" width="7.73046875" style="256" customWidth="1"/>
    <col min="9485" max="9485" width="5.59765625" style="256" customWidth="1"/>
    <col min="9486" max="9486" width="5.73046875" style="256" customWidth="1"/>
    <col min="9487" max="9487" width="8.1328125" style="256" customWidth="1"/>
    <col min="9488" max="9489" width="7.59765625" style="256" customWidth="1"/>
    <col min="9490" max="9490" width="6.73046875" style="256" customWidth="1"/>
    <col min="9491" max="9491" width="4" style="256" customWidth="1"/>
    <col min="9492" max="9492" width="7.265625" style="256" customWidth="1"/>
    <col min="9493" max="9493" width="4" style="256" customWidth="1"/>
    <col min="9494" max="9494" width="13" style="256" customWidth="1"/>
    <col min="9495" max="9495" width="7.73046875" style="256" customWidth="1"/>
    <col min="9496" max="9496" width="5.59765625" style="256" customWidth="1"/>
    <col min="9497" max="9497" width="5.73046875" style="256" customWidth="1"/>
    <col min="9498" max="9498" width="8.1328125" style="256" customWidth="1"/>
    <col min="9499" max="9500" width="7.59765625" style="256" customWidth="1"/>
    <col min="9501" max="9501" width="6.73046875" style="256" customWidth="1"/>
    <col min="9502" max="9502" width="4" style="256" customWidth="1"/>
    <col min="9503" max="9503" width="7.265625" style="256" customWidth="1"/>
    <col min="9504" max="9504" width="4" style="256" customWidth="1"/>
    <col min="9505" max="9505" width="13" style="256" customWidth="1"/>
    <col min="9506" max="9506" width="7.73046875" style="256" customWidth="1"/>
    <col min="9507" max="9507" width="5.59765625" style="256" customWidth="1"/>
    <col min="9508" max="9508" width="5.73046875" style="256" customWidth="1"/>
    <col min="9509" max="9509" width="8.1328125" style="256" customWidth="1"/>
    <col min="9510" max="9511" width="7.59765625" style="256" customWidth="1"/>
    <col min="9512" max="9512" width="6.73046875" style="256" customWidth="1"/>
    <col min="9513" max="9513" width="4" style="256" customWidth="1"/>
    <col min="9514" max="9514" width="7.265625" style="256" customWidth="1"/>
    <col min="9515" max="9515" width="4" style="256" customWidth="1"/>
    <col min="9516" max="9516" width="13" style="256" customWidth="1"/>
    <col min="9517" max="9517" width="7.73046875" style="256" customWidth="1"/>
    <col min="9518" max="9518" width="5.59765625" style="256" customWidth="1"/>
    <col min="9519" max="9519" width="5.73046875" style="256" customWidth="1"/>
    <col min="9520" max="9520" width="8.1328125" style="256" customWidth="1"/>
    <col min="9521" max="9522" width="7.59765625" style="256" customWidth="1"/>
    <col min="9523" max="9523" width="6.73046875" style="256" customWidth="1"/>
    <col min="9524" max="9524" width="4" style="256" customWidth="1"/>
    <col min="9525" max="9525" width="7.265625" style="256" customWidth="1"/>
    <col min="9526" max="9526" width="4" style="256" customWidth="1"/>
    <col min="9527" max="9527" width="13" style="256" customWidth="1"/>
    <col min="9528" max="9528" width="7.73046875" style="256" customWidth="1"/>
    <col min="9529" max="9529" width="5.59765625" style="256" customWidth="1"/>
    <col min="9530" max="9530" width="5.73046875" style="256" customWidth="1"/>
    <col min="9531" max="9531" width="8.1328125" style="256" customWidth="1"/>
    <col min="9532" max="9533" width="7.59765625" style="256" customWidth="1"/>
    <col min="9534" max="9534" width="6.73046875" style="256" customWidth="1"/>
    <col min="9535" max="9535" width="4" style="256" customWidth="1"/>
    <col min="9536" max="9536" width="7.265625" style="256" customWidth="1"/>
    <col min="9537" max="9537" width="4.3984375" style="256" customWidth="1"/>
    <col min="9538" max="9538" width="13" style="256" customWidth="1"/>
    <col min="9539" max="9539" width="7.73046875" style="256" customWidth="1"/>
    <col min="9540" max="9540" width="5.59765625" style="256" customWidth="1"/>
    <col min="9541" max="9541" width="5.73046875" style="256" customWidth="1"/>
    <col min="9542" max="9542" width="8.1328125" style="256" customWidth="1"/>
    <col min="9543" max="9544" width="7.59765625" style="256" customWidth="1"/>
    <col min="9545" max="9545" width="6.73046875" style="256" customWidth="1"/>
    <col min="9546" max="9546" width="4" style="256" customWidth="1"/>
    <col min="9547" max="9547" width="7.265625" style="256" customWidth="1"/>
    <col min="9548" max="9548" width="4" style="256" customWidth="1"/>
    <col min="9549" max="9549" width="13" style="256" customWidth="1"/>
    <col min="9550" max="9550" width="7.73046875" style="256" customWidth="1"/>
    <col min="9551" max="9551" width="5.59765625" style="256" customWidth="1"/>
    <col min="9552" max="9552" width="5.73046875" style="256" customWidth="1"/>
    <col min="9553" max="9553" width="8.1328125" style="256" customWidth="1"/>
    <col min="9554" max="9555" width="7.59765625" style="256" customWidth="1"/>
    <col min="9556" max="9556" width="6.73046875" style="256" customWidth="1"/>
    <col min="9557" max="9557" width="4" style="256" customWidth="1"/>
    <col min="9558" max="9558" width="7.265625" style="256" customWidth="1"/>
    <col min="9559" max="9559" width="4" style="256" customWidth="1"/>
    <col min="9560" max="9560" width="13" style="256" customWidth="1"/>
    <col min="9561" max="9561" width="7.73046875" style="256" customWidth="1"/>
    <col min="9562" max="9562" width="5.59765625" style="256" customWidth="1"/>
    <col min="9563" max="9563" width="5.73046875" style="256" customWidth="1"/>
    <col min="9564" max="9564" width="8.1328125" style="256" customWidth="1"/>
    <col min="9565" max="9566" width="7.59765625" style="256" customWidth="1"/>
    <col min="9567" max="9567" width="6.73046875" style="256" customWidth="1"/>
    <col min="9568" max="9568" width="4" style="256" customWidth="1"/>
    <col min="9569" max="9569" width="7.265625" style="256" customWidth="1"/>
    <col min="9570" max="9570" width="4" style="256" customWidth="1"/>
    <col min="9571" max="9571" width="13" style="256" customWidth="1"/>
    <col min="9572" max="9572" width="7.73046875" style="256" customWidth="1"/>
    <col min="9573" max="9573" width="5.59765625" style="256" customWidth="1"/>
    <col min="9574" max="9574" width="5.73046875" style="256" customWidth="1"/>
    <col min="9575" max="9575" width="8.1328125" style="256" customWidth="1"/>
    <col min="9576" max="9577" width="7.59765625" style="256" customWidth="1"/>
    <col min="9578" max="9578" width="6.73046875" style="256" customWidth="1"/>
    <col min="9579" max="9579" width="4" style="256" customWidth="1"/>
    <col min="9580" max="9580" width="7.265625" style="256" customWidth="1"/>
    <col min="9581" max="9581" width="4" style="256" customWidth="1"/>
    <col min="9582" max="9582" width="13" style="256" customWidth="1"/>
    <col min="9583" max="9583" width="7.73046875" style="256" customWidth="1"/>
    <col min="9584" max="9584" width="5.59765625" style="256" customWidth="1"/>
    <col min="9585" max="9585" width="5.73046875" style="256" customWidth="1"/>
    <col min="9586" max="9586" width="8.1328125" style="256" customWidth="1"/>
    <col min="9587" max="9588" width="7.59765625" style="256" customWidth="1"/>
    <col min="9589" max="9589" width="6.73046875" style="256" customWidth="1"/>
    <col min="9590" max="9590" width="4" style="256" customWidth="1"/>
    <col min="9591" max="9591" width="7.265625" style="256" customWidth="1"/>
    <col min="9592" max="9592" width="4" style="256" customWidth="1"/>
    <col min="9593" max="9593" width="13" style="256" customWidth="1"/>
    <col min="9594" max="9594" width="7.73046875" style="256" customWidth="1"/>
    <col min="9595" max="9595" width="5.59765625" style="256" customWidth="1"/>
    <col min="9596" max="9596" width="5.73046875" style="256" customWidth="1"/>
    <col min="9597" max="9597" width="8.1328125" style="256" customWidth="1"/>
    <col min="9598" max="9599" width="7.59765625" style="256" customWidth="1"/>
    <col min="9600" max="9600" width="6.73046875" style="256" customWidth="1"/>
    <col min="9601" max="9601" width="4" style="256" customWidth="1"/>
    <col min="9602" max="9602" width="7.265625" style="256" customWidth="1"/>
    <col min="9603" max="9603" width="4" style="256" customWidth="1"/>
    <col min="9604" max="9604" width="13" style="256" customWidth="1"/>
    <col min="9605" max="9605" width="7.73046875" style="256" customWidth="1"/>
    <col min="9606" max="9606" width="5.59765625" style="256" customWidth="1"/>
    <col min="9607" max="9607" width="5.73046875" style="256" customWidth="1"/>
    <col min="9608" max="9608" width="8.1328125" style="256" customWidth="1"/>
    <col min="9609" max="9610" width="7.59765625" style="256" customWidth="1"/>
    <col min="9611" max="9611" width="6.73046875" style="256" customWidth="1"/>
    <col min="9612" max="9612" width="4" style="256" customWidth="1"/>
    <col min="9613" max="9613" width="7.265625" style="256" customWidth="1"/>
    <col min="9614" max="9614" width="4" style="256" customWidth="1"/>
    <col min="9615" max="9615" width="13" style="256" customWidth="1"/>
    <col min="9616" max="9616" width="7.73046875" style="256" customWidth="1"/>
    <col min="9617" max="9617" width="5.59765625" style="256" customWidth="1"/>
    <col min="9618" max="9619" width="9.1328125" style="256"/>
    <col min="9620" max="9620" width="6.59765625" style="256" customWidth="1"/>
    <col min="9621" max="9621" width="8.73046875" style="256" customWidth="1"/>
    <col min="9622" max="9622" width="7.3984375" style="256" customWidth="1"/>
    <col min="9623" max="9623" width="7.265625" style="256" customWidth="1"/>
    <col min="9624" max="9624" width="7.73046875" style="256" customWidth="1"/>
    <col min="9625" max="9625" width="4.3984375" style="256" customWidth="1"/>
    <col min="9626" max="9626" width="9.1328125" style="256"/>
    <col min="9627" max="9627" width="6" style="256" customWidth="1"/>
    <col min="9628" max="9628" width="12.265625" style="256" customWidth="1"/>
    <col min="9629" max="9629" width="8" style="256" customWidth="1"/>
    <col min="9630" max="9632" width="9.1328125" style="256"/>
    <col min="9633" max="9633" width="7.73046875" style="256" customWidth="1"/>
    <col min="9634" max="9634" width="8.265625" style="256" customWidth="1"/>
    <col min="9635" max="9635" width="7.1328125" style="256" customWidth="1"/>
    <col min="9636" max="9636" width="7.59765625" style="256" customWidth="1"/>
    <col min="9637" max="9637" width="7.3984375" style="256" customWidth="1"/>
    <col min="9638" max="9638" width="4.86328125" style="256" customWidth="1"/>
    <col min="9639" max="9639" width="9.1328125" style="256"/>
    <col min="9640" max="9640" width="5" style="256" customWidth="1"/>
    <col min="9641" max="9641" width="12.265625" style="256" customWidth="1"/>
    <col min="9642" max="9642" width="7.86328125" style="256" customWidth="1"/>
    <col min="9643" max="9645" width="9.1328125" style="256"/>
    <col min="9646" max="9646" width="7.265625" style="256" customWidth="1"/>
    <col min="9647" max="9647" width="8.1328125" style="256" customWidth="1"/>
    <col min="9648" max="9648" width="6.86328125" style="256" customWidth="1"/>
    <col min="9649" max="9649" width="8" style="256" customWidth="1"/>
    <col min="9650" max="9650" width="7.3984375" style="256" customWidth="1"/>
    <col min="9651" max="9651" width="4.59765625" style="256" customWidth="1"/>
    <col min="9652" max="9652" width="9.1328125" style="256"/>
    <col min="9653" max="9653" width="4.1328125" style="256" customWidth="1"/>
    <col min="9654" max="9654" width="12" style="256" customWidth="1"/>
    <col min="9655" max="9655" width="8.1328125" style="256" customWidth="1"/>
    <col min="9656" max="9658" width="9.1328125" style="256"/>
    <col min="9659" max="9659" width="5.3984375" style="256" customWidth="1"/>
    <col min="9660" max="9660" width="7.73046875" style="256" customWidth="1"/>
    <col min="9661" max="9661" width="5.1328125" style="256" customWidth="1"/>
    <col min="9662" max="9662" width="7.3984375" style="256" customWidth="1"/>
    <col min="9663" max="9663" width="7.1328125" style="256" customWidth="1"/>
    <col min="9664" max="9664" width="4.265625" style="256" customWidth="1"/>
    <col min="9665" max="9665" width="9.1328125" style="256"/>
    <col min="9666" max="9666" width="5.1328125" style="256" customWidth="1"/>
    <col min="9667" max="9667" width="12.265625" style="256" customWidth="1"/>
    <col min="9668" max="9668" width="7.73046875" style="256" customWidth="1"/>
    <col min="9669" max="9670" width="9.1328125" style="256"/>
    <col min="9671" max="9671" width="6.73046875" style="256" customWidth="1"/>
    <col min="9672" max="9672" width="7.59765625" style="256" customWidth="1"/>
    <col min="9673" max="9673" width="6.265625" style="256" customWidth="1"/>
    <col min="9674" max="9674" width="8.1328125" style="256" customWidth="1"/>
    <col min="9675" max="9675" width="7.1328125" style="256" customWidth="1"/>
    <col min="9676" max="9676" width="4.3984375" style="256" customWidth="1"/>
    <col min="9677" max="9677" width="9.1328125" style="256"/>
    <col min="9678" max="9678" width="3.86328125" style="256" customWidth="1"/>
    <col min="9679" max="9679" width="12.265625" style="256" customWidth="1"/>
    <col min="9680" max="9680" width="8.3984375" style="256" customWidth="1"/>
    <col min="9681" max="9682" width="9.1328125" style="256"/>
    <col min="9683" max="9683" width="8.1328125" style="256" customWidth="1"/>
    <col min="9684" max="9684" width="8.3984375" style="256" customWidth="1"/>
    <col min="9685" max="9685" width="7" style="256" customWidth="1"/>
    <col min="9686" max="9686" width="8.3984375" style="256" customWidth="1"/>
    <col min="9687" max="9687" width="9.1328125" style="256"/>
    <col min="9688" max="9688" width="6.1328125" style="256" customWidth="1"/>
    <col min="9689" max="9689" width="9.1328125" style="256"/>
    <col min="9690" max="9690" width="6.73046875" style="256" customWidth="1"/>
    <col min="9691" max="9707" width="9.1328125" style="256"/>
    <col min="9708" max="9708" width="5.59765625" style="256" customWidth="1"/>
    <col min="9709" max="9709" width="5.73046875" style="256" customWidth="1"/>
    <col min="9710" max="9710" width="8.1328125" style="256" customWidth="1"/>
    <col min="9711" max="9712" width="7.59765625" style="256" customWidth="1"/>
    <col min="9713" max="9713" width="6.73046875" style="256" customWidth="1"/>
    <col min="9714" max="9714" width="4" style="256" customWidth="1"/>
    <col min="9715" max="9715" width="7.265625" style="256" customWidth="1"/>
    <col min="9716" max="9716" width="4" style="256" customWidth="1"/>
    <col min="9717" max="9717" width="13" style="256" customWidth="1"/>
    <col min="9718" max="9718" width="8" style="256" customWidth="1"/>
    <col min="9719" max="9719" width="5.59765625" style="256" customWidth="1"/>
    <col min="9720" max="9720" width="5.73046875" style="256" customWidth="1"/>
    <col min="9721" max="9721" width="8.1328125" style="256" customWidth="1"/>
    <col min="9722" max="9723" width="7.59765625" style="256" customWidth="1"/>
    <col min="9724" max="9724" width="6.73046875" style="256" customWidth="1"/>
    <col min="9725" max="9725" width="4" style="256" customWidth="1"/>
    <col min="9726" max="9726" width="7.265625" style="256" customWidth="1"/>
    <col min="9727" max="9727" width="4" style="256" customWidth="1"/>
    <col min="9728" max="9728" width="13" style="256" customWidth="1"/>
    <col min="9729" max="9729" width="7.73046875" style="256" customWidth="1"/>
    <col min="9730" max="9730" width="5.59765625" style="256" customWidth="1"/>
    <col min="9731" max="9731" width="5.73046875" style="256" customWidth="1"/>
    <col min="9732" max="9732" width="8.1328125" style="256" customWidth="1"/>
    <col min="9733" max="9734" width="7.59765625" style="256" customWidth="1"/>
    <col min="9735" max="9735" width="6.73046875" style="256" customWidth="1"/>
    <col min="9736" max="9736" width="4" style="256" customWidth="1"/>
    <col min="9737" max="9737" width="7.265625" style="256" customWidth="1"/>
    <col min="9738" max="9738" width="4" style="256" customWidth="1"/>
    <col min="9739" max="9739" width="13" style="256" customWidth="1"/>
    <col min="9740" max="9740" width="7.73046875" style="256" customWidth="1"/>
    <col min="9741" max="9741" width="5.59765625" style="256" customWidth="1"/>
    <col min="9742" max="9742" width="5.73046875" style="256" customWidth="1"/>
    <col min="9743" max="9743" width="8.1328125" style="256" customWidth="1"/>
    <col min="9744" max="9745" width="7.59765625" style="256" customWidth="1"/>
    <col min="9746" max="9746" width="6.73046875" style="256" customWidth="1"/>
    <col min="9747" max="9747" width="4" style="256" customWidth="1"/>
    <col min="9748" max="9748" width="7.265625" style="256" customWidth="1"/>
    <col min="9749" max="9749" width="4" style="256" customWidth="1"/>
    <col min="9750" max="9750" width="13" style="256" customWidth="1"/>
    <col min="9751" max="9751" width="7.73046875" style="256" customWidth="1"/>
    <col min="9752" max="9752" width="5.59765625" style="256" customWidth="1"/>
    <col min="9753" max="9753" width="5.73046875" style="256" customWidth="1"/>
    <col min="9754" max="9754" width="8.1328125" style="256" customWidth="1"/>
    <col min="9755" max="9756" width="7.59765625" style="256" customWidth="1"/>
    <col min="9757" max="9757" width="6.73046875" style="256" customWidth="1"/>
    <col min="9758" max="9758" width="4" style="256" customWidth="1"/>
    <col min="9759" max="9759" width="7.265625" style="256" customWidth="1"/>
    <col min="9760" max="9760" width="4" style="256" customWidth="1"/>
    <col min="9761" max="9761" width="13" style="256" customWidth="1"/>
    <col min="9762" max="9762" width="7.73046875" style="256" customWidth="1"/>
    <col min="9763" max="9763" width="5.59765625" style="256" customWidth="1"/>
    <col min="9764" max="9764" width="5.73046875" style="256" customWidth="1"/>
    <col min="9765" max="9765" width="8.1328125" style="256" customWidth="1"/>
    <col min="9766" max="9767" width="7.59765625" style="256" customWidth="1"/>
    <col min="9768" max="9768" width="6.73046875" style="256" customWidth="1"/>
    <col min="9769" max="9769" width="4" style="256" customWidth="1"/>
    <col min="9770" max="9770" width="7.265625" style="256" customWidth="1"/>
    <col min="9771" max="9771" width="4" style="256" customWidth="1"/>
    <col min="9772" max="9772" width="13" style="256" customWidth="1"/>
    <col min="9773" max="9773" width="7.73046875" style="256" customWidth="1"/>
    <col min="9774" max="9774" width="5.59765625" style="256" customWidth="1"/>
    <col min="9775" max="9775" width="5.73046875" style="256" customWidth="1"/>
    <col min="9776" max="9776" width="8.1328125" style="256" customWidth="1"/>
    <col min="9777" max="9778" width="7.59765625" style="256" customWidth="1"/>
    <col min="9779" max="9779" width="6.73046875" style="256" customWidth="1"/>
    <col min="9780" max="9780" width="4" style="256" customWidth="1"/>
    <col min="9781" max="9781" width="7.265625" style="256" customWidth="1"/>
    <col min="9782" max="9782" width="4" style="256" customWidth="1"/>
    <col min="9783" max="9783" width="13" style="256" customWidth="1"/>
    <col min="9784" max="9784" width="7.73046875" style="256" customWidth="1"/>
    <col min="9785" max="9785" width="5.59765625" style="256" customWidth="1"/>
    <col min="9786" max="9786" width="5.73046875" style="256" customWidth="1"/>
    <col min="9787" max="9787" width="8.1328125" style="256" customWidth="1"/>
    <col min="9788" max="9789" width="7.59765625" style="256" customWidth="1"/>
    <col min="9790" max="9790" width="6.73046875" style="256" customWidth="1"/>
    <col min="9791" max="9791" width="4" style="256" customWidth="1"/>
    <col min="9792" max="9792" width="7.265625" style="256" customWidth="1"/>
    <col min="9793" max="9793" width="4.3984375" style="256" customWidth="1"/>
    <col min="9794" max="9794" width="13" style="256" customWidth="1"/>
    <col min="9795" max="9795" width="7.73046875" style="256" customWidth="1"/>
    <col min="9796" max="9796" width="5.59765625" style="256" customWidth="1"/>
    <col min="9797" max="9797" width="5.73046875" style="256" customWidth="1"/>
    <col min="9798" max="9798" width="8.1328125" style="256" customWidth="1"/>
    <col min="9799" max="9800" width="7.59765625" style="256" customWidth="1"/>
    <col min="9801" max="9801" width="6.73046875" style="256" customWidth="1"/>
    <col min="9802" max="9802" width="4" style="256" customWidth="1"/>
    <col min="9803" max="9803" width="7.265625" style="256" customWidth="1"/>
    <col min="9804" max="9804" width="4" style="256" customWidth="1"/>
    <col min="9805" max="9805" width="13" style="256" customWidth="1"/>
    <col min="9806" max="9806" width="7.73046875" style="256" customWidth="1"/>
    <col min="9807" max="9807" width="5.59765625" style="256" customWidth="1"/>
    <col min="9808" max="9808" width="5.73046875" style="256" customWidth="1"/>
    <col min="9809" max="9809" width="8.1328125" style="256" customWidth="1"/>
    <col min="9810" max="9811" width="7.59765625" style="256" customWidth="1"/>
    <col min="9812" max="9812" width="6.73046875" style="256" customWidth="1"/>
    <col min="9813" max="9813" width="4" style="256" customWidth="1"/>
    <col min="9814" max="9814" width="7.265625" style="256" customWidth="1"/>
    <col min="9815" max="9815" width="4" style="256" customWidth="1"/>
    <col min="9816" max="9816" width="13" style="256" customWidth="1"/>
    <col min="9817" max="9817" width="7.73046875" style="256" customWidth="1"/>
    <col min="9818" max="9818" width="5.59765625" style="256" customWidth="1"/>
    <col min="9819" max="9819" width="5.73046875" style="256" customWidth="1"/>
    <col min="9820" max="9820" width="8.1328125" style="256" customWidth="1"/>
    <col min="9821" max="9822" width="7.59765625" style="256" customWidth="1"/>
    <col min="9823" max="9823" width="6.73046875" style="256" customWidth="1"/>
    <col min="9824" max="9824" width="4" style="256" customWidth="1"/>
    <col min="9825" max="9825" width="7.265625" style="256" customWidth="1"/>
    <col min="9826" max="9826" width="4" style="256" customWidth="1"/>
    <col min="9827" max="9827" width="13" style="256" customWidth="1"/>
    <col min="9828" max="9828" width="7.73046875" style="256" customWidth="1"/>
    <col min="9829" max="9829" width="5.59765625" style="256" customWidth="1"/>
    <col min="9830" max="9830" width="5.73046875" style="256" customWidth="1"/>
    <col min="9831" max="9831" width="8.1328125" style="256" customWidth="1"/>
    <col min="9832" max="9833" width="7.59765625" style="256" customWidth="1"/>
    <col min="9834" max="9834" width="6.73046875" style="256" customWidth="1"/>
    <col min="9835" max="9835" width="4" style="256" customWidth="1"/>
    <col min="9836" max="9836" width="7.265625" style="256" customWidth="1"/>
    <col min="9837" max="9837" width="4" style="256" customWidth="1"/>
    <col min="9838" max="9838" width="13" style="256" customWidth="1"/>
    <col min="9839" max="9839" width="7.73046875" style="256" customWidth="1"/>
    <col min="9840" max="9840" width="5.59765625" style="256" customWidth="1"/>
    <col min="9841" max="9841" width="5.73046875" style="256" customWidth="1"/>
    <col min="9842" max="9842" width="8.1328125" style="256" customWidth="1"/>
    <col min="9843" max="9844" width="7.59765625" style="256" customWidth="1"/>
    <col min="9845" max="9845" width="6.73046875" style="256" customWidth="1"/>
    <col min="9846" max="9846" width="4" style="256" customWidth="1"/>
    <col min="9847" max="9847" width="7.265625" style="256" customWidth="1"/>
    <col min="9848" max="9848" width="4" style="256" customWidth="1"/>
    <col min="9849" max="9849" width="13" style="256" customWidth="1"/>
    <col min="9850" max="9850" width="7.73046875" style="256" customWidth="1"/>
    <col min="9851" max="9851" width="5.59765625" style="256" customWidth="1"/>
    <col min="9852" max="9852" width="5.73046875" style="256" customWidth="1"/>
    <col min="9853" max="9853" width="8.1328125" style="256" customWidth="1"/>
    <col min="9854" max="9855" width="7.59765625" style="256" customWidth="1"/>
    <col min="9856" max="9856" width="6.73046875" style="256" customWidth="1"/>
    <col min="9857" max="9857" width="4" style="256" customWidth="1"/>
    <col min="9858" max="9858" width="7.265625" style="256" customWidth="1"/>
    <col min="9859" max="9859" width="4" style="256" customWidth="1"/>
    <col min="9860" max="9860" width="13" style="256" customWidth="1"/>
    <col min="9861" max="9861" width="7.73046875" style="256" customWidth="1"/>
    <col min="9862" max="9862" width="5.59765625" style="256" customWidth="1"/>
    <col min="9863" max="9863" width="5.73046875" style="256" customWidth="1"/>
    <col min="9864" max="9864" width="8.1328125" style="256" customWidth="1"/>
    <col min="9865" max="9866" width="7.59765625" style="256" customWidth="1"/>
    <col min="9867" max="9867" width="6.73046875" style="256" customWidth="1"/>
    <col min="9868" max="9868" width="4" style="256" customWidth="1"/>
    <col min="9869" max="9869" width="7.265625" style="256" customWidth="1"/>
    <col min="9870" max="9870" width="4" style="256" customWidth="1"/>
    <col min="9871" max="9871" width="13" style="256" customWidth="1"/>
    <col min="9872" max="9872" width="7.73046875" style="256" customWidth="1"/>
    <col min="9873" max="9873" width="5.59765625" style="256" customWidth="1"/>
    <col min="9874" max="9875" width="9.1328125" style="256"/>
    <col min="9876" max="9876" width="6.59765625" style="256" customWidth="1"/>
    <col min="9877" max="9877" width="8.73046875" style="256" customWidth="1"/>
    <col min="9878" max="9878" width="7.3984375" style="256" customWidth="1"/>
    <col min="9879" max="9879" width="7.265625" style="256" customWidth="1"/>
    <col min="9880" max="9880" width="7.73046875" style="256" customWidth="1"/>
    <col min="9881" max="9881" width="4.3984375" style="256" customWidth="1"/>
    <col min="9882" max="9882" width="9.1328125" style="256"/>
    <col min="9883" max="9883" width="6" style="256" customWidth="1"/>
    <col min="9884" max="9884" width="12.265625" style="256" customWidth="1"/>
    <col min="9885" max="9885" width="8" style="256" customWidth="1"/>
    <col min="9886" max="9888" width="9.1328125" style="256"/>
    <col min="9889" max="9889" width="7.73046875" style="256" customWidth="1"/>
    <col min="9890" max="9890" width="8.265625" style="256" customWidth="1"/>
    <col min="9891" max="9891" width="7.1328125" style="256" customWidth="1"/>
    <col min="9892" max="9892" width="7.59765625" style="256" customWidth="1"/>
    <col min="9893" max="9893" width="7.3984375" style="256" customWidth="1"/>
    <col min="9894" max="9894" width="4.86328125" style="256" customWidth="1"/>
    <col min="9895" max="9895" width="9.1328125" style="256"/>
    <col min="9896" max="9896" width="5" style="256" customWidth="1"/>
    <col min="9897" max="9897" width="12.265625" style="256" customWidth="1"/>
    <col min="9898" max="9898" width="7.86328125" style="256" customWidth="1"/>
    <col min="9899" max="9901" width="9.1328125" style="256"/>
    <col min="9902" max="9902" width="7.265625" style="256" customWidth="1"/>
    <col min="9903" max="9903" width="8.1328125" style="256" customWidth="1"/>
    <col min="9904" max="9904" width="6.86328125" style="256" customWidth="1"/>
    <col min="9905" max="9905" width="8" style="256" customWidth="1"/>
    <col min="9906" max="9906" width="7.3984375" style="256" customWidth="1"/>
    <col min="9907" max="9907" width="4.59765625" style="256" customWidth="1"/>
    <col min="9908" max="9908" width="9.1328125" style="256"/>
    <col min="9909" max="9909" width="4.1328125" style="256" customWidth="1"/>
    <col min="9910" max="9910" width="12" style="256" customWidth="1"/>
    <col min="9911" max="9911" width="8.1328125" style="256" customWidth="1"/>
    <col min="9912" max="9914" width="9.1328125" style="256"/>
    <col min="9915" max="9915" width="5.3984375" style="256" customWidth="1"/>
    <col min="9916" max="9916" width="7.73046875" style="256" customWidth="1"/>
    <col min="9917" max="9917" width="5.1328125" style="256" customWidth="1"/>
    <col min="9918" max="9918" width="7.3984375" style="256" customWidth="1"/>
    <col min="9919" max="9919" width="7.1328125" style="256" customWidth="1"/>
    <col min="9920" max="9920" width="4.265625" style="256" customWidth="1"/>
    <col min="9921" max="9921" width="9.1328125" style="256"/>
    <col min="9922" max="9922" width="5.1328125" style="256" customWidth="1"/>
    <col min="9923" max="9923" width="12.265625" style="256" customWidth="1"/>
    <col min="9924" max="9924" width="7.73046875" style="256" customWidth="1"/>
    <col min="9925" max="9926" width="9.1328125" style="256"/>
    <col min="9927" max="9927" width="6.73046875" style="256" customWidth="1"/>
    <col min="9928" max="9928" width="7.59765625" style="256" customWidth="1"/>
    <col min="9929" max="9929" width="6.265625" style="256" customWidth="1"/>
    <col min="9930" max="9930" width="8.1328125" style="256" customWidth="1"/>
    <col min="9931" max="9931" width="7.1328125" style="256" customWidth="1"/>
    <col min="9932" max="9932" width="4.3984375" style="256" customWidth="1"/>
    <col min="9933" max="9933" width="9.1328125" style="256"/>
    <col min="9934" max="9934" width="3.86328125" style="256" customWidth="1"/>
    <col min="9935" max="9935" width="12.265625" style="256" customWidth="1"/>
    <col min="9936" max="9936" width="8.3984375" style="256" customWidth="1"/>
    <col min="9937" max="9938" width="9.1328125" style="256"/>
    <col min="9939" max="9939" width="8.1328125" style="256" customWidth="1"/>
    <col min="9940" max="9940" width="8.3984375" style="256" customWidth="1"/>
    <col min="9941" max="9941" width="7" style="256" customWidth="1"/>
    <col min="9942" max="9942" width="8.3984375" style="256" customWidth="1"/>
    <col min="9943" max="9943" width="9.1328125" style="256"/>
    <col min="9944" max="9944" width="6.1328125" style="256" customWidth="1"/>
    <col min="9945" max="9945" width="9.1328125" style="256"/>
    <col min="9946" max="9946" width="6.73046875" style="256" customWidth="1"/>
    <col min="9947" max="9963" width="9.1328125" style="256"/>
    <col min="9964" max="9964" width="5.59765625" style="256" customWidth="1"/>
    <col min="9965" max="9965" width="5.73046875" style="256" customWidth="1"/>
    <col min="9966" max="9966" width="8.1328125" style="256" customWidth="1"/>
    <col min="9967" max="9968" width="7.59765625" style="256" customWidth="1"/>
    <col min="9969" max="9969" width="6.73046875" style="256" customWidth="1"/>
    <col min="9970" max="9970" width="4" style="256" customWidth="1"/>
    <col min="9971" max="9971" width="7.265625" style="256" customWidth="1"/>
    <col min="9972" max="9972" width="4" style="256" customWidth="1"/>
    <col min="9973" max="9973" width="13" style="256" customWidth="1"/>
    <col min="9974" max="9974" width="8" style="256" customWidth="1"/>
    <col min="9975" max="9975" width="5.59765625" style="256" customWidth="1"/>
    <col min="9976" max="9976" width="5.73046875" style="256" customWidth="1"/>
    <col min="9977" max="9977" width="8.1328125" style="256" customWidth="1"/>
    <col min="9978" max="9979" width="7.59765625" style="256" customWidth="1"/>
    <col min="9980" max="9980" width="6.73046875" style="256" customWidth="1"/>
    <col min="9981" max="9981" width="4" style="256" customWidth="1"/>
    <col min="9982" max="9982" width="7.265625" style="256" customWidth="1"/>
    <col min="9983" max="9983" width="4" style="256" customWidth="1"/>
    <col min="9984" max="9984" width="13" style="256" customWidth="1"/>
    <col min="9985" max="9985" width="7.73046875" style="256" customWidth="1"/>
    <col min="9986" max="9986" width="5.59765625" style="256" customWidth="1"/>
    <col min="9987" max="9987" width="5.73046875" style="256" customWidth="1"/>
    <col min="9988" max="9988" width="8.1328125" style="256" customWidth="1"/>
    <col min="9989" max="9990" width="7.59765625" style="256" customWidth="1"/>
    <col min="9991" max="9991" width="6.73046875" style="256" customWidth="1"/>
    <col min="9992" max="9992" width="4" style="256" customWidth="1"/>
    <col min="9993" max="9993" width="7.265625" style="256" customWidth="1"/>
    <col min="9994" max="9994" width="4" style="256" customWidth="1"/>
    <col min="9995" max="9995" width="13" style="256" customWidth="1"/>
    <col min="9996" max="9996" width="7.73046875" style="256" customWidth="1"/>
    <col min="9997" max="9997" width="5.59765625" style="256" customWidth="1"/>
    <col min="9998" max="9998" width="5.73046875" style="256" customWidth="1"/>
    <col min="9999" max="9999" width="8.1328125" style="256" customWidth="1"/>
    <col min="10000" max="10001" width="7.59765625" style="256" customWidth="1"/>
    <col min="10002" max="10002" width="6.73046875" style="256" customWidth="1"/>
    <col min="10003" max="10003" width="4" style="256" customWidth="1"/>
    <col min="10004" max="10004" width="7.265625" style="256" customWidth="1"/>
    <col min="10005" max="10005" width="4" style="256" customWidth="1"/>
    <col min="10006" max="10006" width="13" style="256" customWidth="1"/>
    <col min="10007" max="10007" width="7.73046875" style="256" customWidth="1"/>
    <col min="10008" max="10008" width="5.59765625" style="256" customWidth="1"/>
    <col min="10009" max="10009" width="5.73046875" style="256" customWidth="1"/>
    <col min="10010" max="10010" width="8.1328125" style="256" customWidth="1"/>
    <col min="10011" max="10012" width="7.59765625" style="256" customWidth="1"/>
    <col min="10013" max="10013" width="6.73046875" style="256" customWidth="1"/>
    <col min="10014" max="10014" width="4" style="256" customWidth="1"/>
    <col min="10015" max="10015" width="7.265625" style="256" customWidth="1"/>
    <col min="10016" max="10016" width="4" style="256" customWidth="1"/>
    <col min="10017" max="10017" width="13" style="256" customWidth="1"/>
    <col min="10018" max="10018" width="7.73046875" style="256" customWidth="1"/>
    <col min="10019" max="10019" width="5.59765625" style="256" customWidth="1"/>
    <col min="10020" max="10020" width="5.73046875" style="256" customWidth="1"/>
    <col min="10021" max="10021" width="8.1328125" style="256" customWidth="1"/>
    <col min="10022" max="10023" width="7.59765625" style="256" customWidth="1"/>
    <col min="10024" max="10024" width="6.73046875" style="256" customWidth="1"/>
    <col min="10025" max="10025" width="4" style="256" customWidth="1"/>
    <col min="10026" max="10026" width="7.265625" style="256" customWidth="1"/>
    <col min="10027" max="10027" width="4" style="256" customWidth="1"/>
    <col min="10028" max="10028" width="13" style="256" customWidth="1"/>
    <col min="10029" max="10029" width="7.73046875" style="256" customWidth="1"/>
    <col min="10030" max="10030" width="5.59765625" style="256" customWidth="1"/>
    <col min="10031" max="10031" width="5.73046875" style="256" customWidth="1"/>
    <col min="10032" max="10032" width="8.1328125" style="256" customWidth="1"/>
    <col min="10033" max="10034" width="7.59765625" style="256" customWidth="1"/>
    <col min="10035" max="10035" width="6.73046875" style="256" customWidth="1"/>
    <col min="10036" max="10036" width="4" style="256" customWidth="1"/>
    <col min="10037" max="10037" width="7.265625" style="256" customWidth="1"/>
    <col min="10038" max="10038" width="4" style="256" customWidth="1"/>
    <col min="10039" max="10039" width="13" style="256" customWidth="1"/>
    <col min="10040" max="10040" width="7.73046875" style="256" customWidth="1"/>
    <col min="10041" max="10041" width="5.59765625" style="256" customWidth="1"/>
    <col min="10042" max="10042" width="5.73046875" style="256" customWidth="1"/>
    <col min="10043" max="10043" width="8.1328125" style="256" customWidth="1"/>
    <col min="10044" max="10045" width="7.59765625" style="256" customWidth="1"/>
    <col min="10046" max="10046" width="6.73046875" style="256" customWidth="1"/>
    <col min="10047" max="10047" width="4" style="256" customWidth="1"/>
    <col min="10048" max="10048" width="7.265625" style="256" customWidth="1"/>
    <col min="10049" max="10049" width="4.3984375" style="256" customWidth="1"/>
    <col min="10050" max="10050" width="13" style="256" customWidth="1"/>
    <col min="10051" max="10051" width="7.73046875" style="256" customWidth="1"/>
    <col min="10052" max="10052" width="5.59765625" style="256" customWidth="1"/>
    <col min="10053" max="10053" width="5.73046875" style="256" customWidth="1"/>
    <col min="10054" max="10054" width="8.1328125" style="256" customWidth="1"/>
    <col min="10055" max="10056" width="7.59765625" style="256" customWidth="1"/>
    <col min="10057" max="10057" width="6.73046875" style="256" customWidth="1"/>
    <col min="10058" max="10058" width="4" style="256" customWidth="1"/>
    <col min="10059" max="10059" width="7.265625" style="256" customWidth="1"/>
    <col min="10060" max="10060" width="4" style="256" customWidth="1"/>
    <col min="10061" max="10061" width="13" style="256" customWidth="1"/>
    <col min="10062" max="10062" width="7.73046875" style="256" customWidth="1"/>
    <col min="10063" max="10063" width="5.59765625" style="256" customWidth="1"/>
    <col min="10064" max="10064" width="5.73046875" style="256" customWidth="1"/>
    <col min="10065" max="10065" width="8.1328125" style="256" customWidth="1"/>
    <col min="10066" max="10067" width="7.59765625" style="256" customWidth="1"/>
    <col min="10068" max="10068" width="6.73046875" style="256" customWidth="1"/>
    <col min="10069" max="10069" width="4" style="256" customWidth="1"/>
    <col min="10070" max="10070" width="7.265625" style="256" customWidth="1"/>
    <col min="10071" max="10071" width="4" style="256" customWidth="1"/>
    <col min="10072" max="10072" width="13" style="256" customWidth="1"/>
    <col min="10073" max="10073" width="7.73046875" style="256" customWidth="1"/>
    <col min="10074" max="10074" width="5.59765625" style="256" customWidth="1"/>
    <col min="10075" max="10075" width="5.73046875" style="256" customWidth="1"/>
    <col min="10076" max="10076" width="8.1328125" style="256" customWidth="1"/>
    <col min="10077" max="10078" width="7.59765625" style="256" customWidth="1"/>
    <col min="10079" max="10079" width="6.73046875" style="256" customWidth="1"/>
    <col min="10080" max="10080" width="4" style="256" customWidth="1"/>
    <col min="10081" max="10081" width="7.265625" style="256" customWidth="1"/>
    <col min="10082" max="10082" width="4" style="256" customWidth="1"/>
    <col min="10083" max="10083" width="13" style="256" customWidth="1"/>
    <col min="10084" max="10084" width="7.73046875" style="256" customWidth="1"/>
    <col min="10085" max="10085" width="5.59765625" style="256" customWidth="1"/>
    <col min="10086" max="10086" width="5.73046875" style="256" customWidth="1"/>
    <col min="10087" max="10087" width="8.1328125" style="256" customWidth="1"/>
    <col min="10088" max="10089" width="7.59765625" style="256" customWidth="1"/>
    <col min="10090" max="10090" width="6.73046875" style="256" customWidth="1"/>
    <col min="10091" max="10091" width="4" style="256" customWidth="1"/>
    <col min="10092" max="10092" width="7.265625" style="256" customWidth="1"/>
    <col min="10093" max="10093" width="4" style="256" customWidth="1"/>
    <col min="10094" max="10094" width="13" style="256" customWidth="1"/>
    <col min="10095" max="10095" width="7.73046875" style="256" customWidth="1"/>
    <col min="10096" max="10096" width="5.59765625" style="256" customWidth="1"/>
    <col min="10097" max="10097" width="5.73046875" style="256" customWidth="1"/>
    <col min="10098" max="10098" width="8.1328125" style="256" customWidth="1"/>
    <col min="10099" max="10100" width="7.59765625" style="256" customWidth="1"/>
    <col min="10101" max="10101" width="6.73046875" style="256" customWidth="1"/>
    <col min="10102" max="10102" width="4" style="256" customWidth="1"/>
    <col min="10103" max="10103" width="7.265625" style="256" customWidth="1"/>
    <col min="10104" max="10104" width="4" style="256" customWidth="1"/>
    <col min="10105" max="10105" width="13" style="256" customWidth="1"/>
    <col min="10106" max="10106" width="7.73046875" style="256" customWidth="1"/>
    <col min="10107" max="10107" width="5.59765625" style="256" customWidth="1"/>
    <col min="10108" max="10108" width="5.73046875" style="256" customWidth="1"/>
    <col min="10109" max="10109" width="8.1328125" style="256" customWidth="1"/>
    <col min="10110" max="10111" width="7.59765625" style="256" customWidth="1"/>
    <col min="10112" max="10112" width="6.73046875" style="256" customWidth="1"/>
    <col min="10113" max="10113" width="4" style="256" customWidth="1"/>
    <col min="10114" max="10114" width="7.265625" style="256" customWidth="1"/>
    <col min="10115" max="10115" width="4" style="256" customWidth="1"/>
    <col min="10116" max="10116" width="13" style="256" customWidth="1"/>
    <col min="10117" max="10117" width="7.73046875" style="256" customWidth="1"/>
    <col min="10118" max="10118" width="5.59765625" style="256" customWidth="1"/>
    <col min="10119" max="10119" width="5.73046875" style="256" customWidth="1"/>
    <col min="10120" max="10120" width="8.1328125" style="256" customWidth="1"/>
    <col min="10121" max="10122" width="7.59765625" style="256" customWidth="1"/>
    <col min="10123" max="10123" width="6.73046875" style="256" customWidth="1"/>
    <col min="10124" max="10124" width="4" style="256" customWidth="1"/>
    <col min="10125" max="10125" width="7.265625" style="256" customWidth="1"/>
    <col min="10126" max="10126" width="4" style="256" customWidth="1"/>
    <col min="10127" max="10127" width="13" style="256" customWidth="1"/>
    <col min="10128" max="10128" width="7.73046875" style="256" customWidth="1"/>
    <col min="10129" max="10129" width="5.59765625" style="256" customWidth="1"/>
    <col min="10130" max="10131" width="9.1328125" style="256"/>
    <col min="10132" max="10132" width="6.59765625" style="256" customWidth="1"/>
    <col min="10133" max="10133" width="8.73046875" style="256" customWidth="1"/>
    <col min="10134" max="10134" width="7.3984375" style="256" customWidth="1"/>
    <col min="10135" max="10135" width="7.265625" style="256" customWidth="1"/>
    <col min="10136" max="10136" width="7.73046875" style="256" customWidth="1"/>
    <col min="10137" max="10137" width="4.3984375" style="256" customWidth="1"/>
    <col min="10138" max="10138" width="9.1328125" style="256"/>
    <col min="10139" max="10139" width="6" style="256" customWidth="1"/>
    <col min="10140" max="10140" width="12.265625" style="256" customWidth="1"/>
    <col min="10141" max="10141" width="8" style="256" customWidth="1"/>
    <col min="10142" max="10144" width="9.1328125" style="256"/>
    <col min="10145" max="10145" width="7.73046875" style="256" customWidth="1"/>
    <col min="10146" max="10146" width="8.265625" style="256" customWidth="1"/>
    <col min="10147" max="10147" width="7.1328125" style="256" customWidth="1"/>
    <col min="10148" max="10148" width="7.59765625" style="256" customWidth="1"/>
    <col min="10149" max="10149" width="7.3984375" style="256" customWidth="1"/>
    <col min="10150" max="10150" width="4.86328125" style="256" customWidth="1"/>
    <col min="10151" max="10151" width="9.1328125" style="256"/>
    <col min="10152" max="10152" width="5" style="256" customWidth="1"/>
    <col min="10153" max="10153" width="12.265625" style="256" customWidth="1"/>
    <col min="10154" max="10154" width="7.86328125" style="256" customWidth="1"/>
    <col min="10155" max="10157" width="9.1328125" style="256"/>
    <col min="10158" max="10158" width="7.265625" style="256" customWidth="1"/>
    <col min="10159" max="10159" width="8.1328125" style="256" customWidth="1"/>
    <col min="10160" max="10160" width="6.86328125" style="256" customWidth="1"/>
    <col min="10161" max="10161" width="8" style="256" customWidth="1"/>
    <col min="10162" max="10162" width="7.3984375" style="256" customWidth="1"/>
    <col min="10163" max="10163" width="4.59765625" style="256" customWidth="1"/>
    <col min="10164" max="10164" width="9.1328125" style="256"/>
    <col min="10165" max="10165" width="4.1328125" style="256" customWidth="1"/>
    <col min="10166" max="10166" width="12" style="256" customWidth="1"/>
    <col min="10167" max="10167" width="8.1328125" style="256" customWidth="1"/>
    <col min="10168" max="10170" width="9.1328125" style="256"/>
    <col min="10171" max="10171" width="5.3984375" style="256" customWidth="1"/>
    <col min="10172" max="10172" width="7.73046875" style="256" customWidth="1"/>
    <col min="10173" max="10173" width="5.1328125" style="256" customWidth="1"/>
    <col min="10174" max="10174" width="7.3984375" style="256" customWidth="1"/>
    <col min="10175" max="10175" width="7.1328125" style="256" customWidth="1"/>
    <col min="10176" max="10176" width="4.265625" style="256" customWidth="1"/>
    <col min="10177" max="10177" width="9.1328125" style="256"/>
    <col min="10178" max="10178" width="5.1328125" style="256" customWidth="1"/>
    <col min="10179" max="10179" width="12.265625" style="256" customWidth="1"/>
    <col min="10180" max="10180" width="7.73046875" style="256" customWidth="1"/>
    <col min="10181" max="10182" width="9.1328125" style="256"/>
    <col min="10183" max="10183" width="6.73046875" style="256" customWidth="1"/>
    <col min="10184" max="10184" width="7.59765625" style="256" customWidth="1"/>
    <col min="10185" max="10185" width="6.265625" style="256" customWidth="1"/>
    <col min="10186" max="10186" width="8.1328125" style="256" customWidth="1"/>
    <col min="10187" max="10187" width="7.1328125" style="256" customWidth="1"/>
    <col min="10188" max="10188" width="4.3984375" style="256" customWidth="1"/>
    <col min="10189" max="10189" width="9.1328125" style="256"/>
    <col min="10190" max="10190" width="3.86328125" style="256" customWidth="1"/>
    <col min="10191" max="10191" width="12.265625" style="256" customWidth="1"/>
    <col min="10192" max="10192" width="8.3984375" style="256" customWidth="1"/>
    <col min="10193" max="10194" width="9.1328125" style="256"/>
    <col min="10195" max="10195" width="8.1328125" style="256" customWidth="1"/>
    <col min="10196" max="10196" width="8.3984375" style="256" customWidth="1"/>
    <col min="10197" max="10197" width="7" style="256" customWidth="1"/>
    <col min="10198" max="10198" width="8.3984375" style="256" customWidth="1"/>
    <col min="10199" max="10199" width="9.1328125" style="256"/>
    <col min="10200" max="10200" width="6.1328125" style="256" customWidth="1"/>
    <col min="10201" max="10201" width="9.1328125" style="256"/>
    <col min="10202" max="10202" width="6.73046875" style="256" customWidth="1"/>
    <col min="10203" max="10219" width="9.1328125" style="256"/>
    <col min="10220" max="10220" width="5.59765625" style="256" customWidth="1"/>
    <col min="10221" max="10221" width="5.73046875" style="256" customWidth="1"/>
    <col min="10222" max="10222" width="8.1328125" style="256" customWidth="1"/>
    <col min="10223" max="10224" width="7.59765625" style="256" customWidth="1"/>
    <col min="10225" max="10225" width="6.73046875" style="256" customWidth="1"/>
    <col min="10226" max="10226" width="4" style="256" customWidth="1"/>
    <col min="10227" max="10227" width="7.265625" style="256" customWidth="1"/>
    <col min="10228" max="10228" width="4" style="256" customWidth="1"/>
    <col min="10229" max="10229" width="13" style="256" customWidth="1"/>
    <col min="10230" max="10230" width="8" style="256" customWidth="1"/>
    <col min="10231" max="10231" width="5.59765625" style="256" customWidth="1"/>
    <col min="10232" max="10232" width="5.73046875" style="256" customWidth="1"/>
    <col min="10233" max="10233" width="8.1328125" style="256" customWidth="1"/>
    <col min="10234" max="10235" width="7.59765625" style="256" customWidth="1"/>
    <col min="10236" max="10236" width="6.73046875" style="256" customWidth="1"/>
    <col min="10237" max="10237" width="4" style="256" customWidth="1"/>
    <col min="10238" max="10238" width="7.265625" style="256" customWidth="1"/>
    <col min="10239" max="10239" width="4" style="256" customWidth="1"/>
    <col min="10240" max="10240" width="13" style="256" customWidth="1"/>
    <col min="10241" max="10241" width="7.73046875" style="256" customWidth="1"/>
    <col min="10242" max="10242" width="5.59765625" style="256" customWidth="1"/>
    <col min="10243" max="10243" width="5.73046875" style="256" customWidth="1"/>
    <col min="10244" max="10244" width="8.1328125" style="256" customWidth="1"/>
    <col min="10245" max="10246" width="7.59765625" style="256" customWidth="1"/>
    <col min="10247" max="10247" width="6.73046875" style="256" customWidth="1"/>
    <col min="10248" max="10248" width="4" style="256" customWidth="1"/>
    <col min="10249" max="10249" width="7.265625" style="256" customWidth="1"/>
    <col min="10250" max="10250" width="4" style="256" customWidth="1"/>
    <col min="10251" max="10251" width="13" style="256" customWidth="1"/>
    <col min="10252" max="10252" width="7.73046875" style="256" customWidth="1"/>
    <col min="10253" max="10253" width="5.59765625" style="256" customWidth="1"/>
    <col min="10254" max="10254" width="5.73046875" style="256" customWidth="1"/>
    <col min="10255" max="10255" width="8.1328125" style="256" customWidth="1"/>
    <col min="10256" max="10257" width="7.59765625" style="256" customWidth="1"/>
    <col min="10258" max="10258" width="6.73046875" style="256" customWidth="1"/>
    <col min="10259" max="10259" width="4" style="256" customWidth="1"/>
    <col min="10260" max="10260" width="7.265625" style="256" customWidth="1"/>
    <col min="10261" max="10261" width="4" style="256" customWidth="1"/>
    <col min="10262" max="10262" width="13" style="256" customWidth="1"/>
    <col min="10263" max="10263" width="7.73046875" style="256" customWidth="1"/>
    <col min="10264" max="10264" width="5.59765625" style="256" customWidth="1"/>
    <col min="10265" max="10265" width="5.73046875" style="256" customWidth="1"/>
    <col min="10266" max="10266" width="8.1328125" style="256" customWidth="1"/>
    <col min="10267" max="10268" width="7.59765625" style="256" customWidth="1"/>
    <col min="10269" max="10269" width="6.73046875" style="256" customWidth="1"/>
    <col min="10270" max="10270" width="4" style="256" customWidth="1"/>
    <col min="10271" max="10271" width="7.265625" style="256" customWidth="1"/>
    <col min="10272" max="10272" width="4" style="256" customWidth="1"/>
    <col min="10273" max="10273" width="13" style="256" customWidth="1"/>
    <col min="10274" max="10274" width="7.73046875" style="256" customWidth="1"/>
    <col min="10275" max="10275" width="5.59765625" style="256" customWidth="1"/>
    <col min="10276" max="10276" width="5.73046875" style="256" customWidth="1"/>
    <col min="10277" max="10277" width="8.1328125" style="256" customWidth="1"/>
    <col min="10278" max="10279" width="7.59765625" style="256" customWidth="1"/>
    <col min="10280" max="10280" width="6.73046875" style="256" customWidth="1"/>
    <col min="10281" max="10281" width="4" style="256" customWidth="1"/>
    <col min="10282" max="10282" width="7.265625" style="256" customWidth="1"/>
    <col min="10283" max="10283" width="4" style="256" customWidth="1"/>
    <col min="10284" max="10284" width="13" style="256" customWidth="1"/>
    <col min="10285" max="10285" width="7.73046875" style="256" customWidth="1"/>
    <col min="10286" max="10286" width="5.59765625" style="256" customWidth="1"/>
    <col min="10287" max="10287" width="5.73046875" style="256" customWidth="1"/>
    <col min="10288" max="10288" width="8.1328125" style="256" customWidth="1"/>
    <col min="10289" max="10290" width="7.59765625" style="256" customWidth="1"/>
    <col min="10291" max="10291" width="6.73046875" style="256" customWidth="1"/>
    <col min="10292" max="10292" width="4" style="256" customWidth="1"/>
    <col min="10293" max="10293" width="7.265625" style="256" customWidth="1"/>
    <col min="10294" max="10294" width="4" style="256" customWidth="1"/>
    <col min="10295" max="10295" width="13" style="256" customWidth="1"/>
    <col min="10296" max="10296" width="7.73046875" style="256" customWidth="1"/>
    <col min="10297" max="10297" width="5.59765625" style="256" customWidth="1"/>
    <col min="10298" max="10298" width="5.73046875" style="256" customWidth="1"/>
    <col min="10299" max="10299" width="8.1328125" style="256" customWidth="1"/>
    <col min="10300" max="10301" width="7.59765625" style="256" customWidth="1"/>
    <col min="10302" max="10302" width="6.73046875" style="256" customWidth="1"/>
    <col min="10303" max="10303" width="4" style="256" customWidth="1"/>
    <col min="10304" max="10304" width="7.265625" style="256" customWidth="1"/>
    <col min="10305" max="10305" width="4.3984375" style="256" customWidth="1"/>
    <col min="10306" max="10306" width="13" style="256" customWidth="1"/>
    <col min="10307" max="10307" width="7.73046875" style="256" customWidth="1"/>
    <col min="10308" max="10308" width="5.59765625" style="256" customWidth="1"/>
    <col min="10309" max="10309" width="5.73046875" style="256" customWidth="1"/>
    <col min="10310" max="10310" width="8.1328125" style="256" customWidth="1"/>
    <col min="10311" max="10312" width="7.59765625" style="256" customWidth="1"/>
    <col min="10313" max="10313" width="6.73046875" style="256" customWidth="1"/>
    <col min="10314" max="10314" width="4" style="256" customWidth="1"/>
    <col min="10315" max="10315" width="7.265625" style="256" customWidth="1"/>
    <col min="10316" max="10316" width="4" style="256" customWidth="1"/>
    <col min="10317" max="10317" width="13" style="256" customWidth="1"/>
    <col min="10318" max="10318" width="7.73046875" style="256" customWidth="1"/>
    <col min="10319" max="10319" width="5.59765625" style="256" customWidth="1"/>
    <col min="10320" max="10320" width="5.73046875" style="256" customWidth="1"/>
    <col min="10321" max="10321" width="8.1328125" style="256" customWidth="1"/>
    <col min="10322" max="10323" width="7.59765625" style="256" customWidth="1"/>
    <col min="10324" max="10324" width="6.73046875" style="256" customWidth="1"/>
    <col min="10325" max="10325" width="4" style="256" customWidth="1"/>
    <col min="10326" max="10326" width="7.265625" style="256" customWidth="1"/>
    <col min="10327" max="10327" width="4" style="256" customWidth="1"/>
    <col min="10328" max="10328" width="13" style="256" customWidth="1"/>
    <col min="10329" max="10329" width="7.73046875" style="256" customWidth="1"/>
    <col min="10330" max="10330" width="5.59765625" style="256" customWidth="1"/>
    <col min="10331" max="10331" width="5.73046875" style="256" customWidth="1"/>
    <col min="10332" max="10332" width="8.1328125" style="256" customWidth="1"/>
    <col min="10333" max="10334" width="7.59765625" style="256" customWidth="1"/>
    <col min="10335" max="10335" width="6.73046875" style="256" customWidth="1"/>
    <col min="10336" max="10336" width="4" style="256" customWidth="1"/>
    <col min="10337" max="10337" width="7.265625" style="256" customWidth="1"/>
    <col min="10338" max="10338" width="4" style="256" customWidth="1"/>
    <col min="10339" max="10339" width="13" style="256" customWidth="1"/>
    <col min="10340" max="10340" width="7.73046875" style="256" customWidth="1"/>
    <col min="10341" max="10341" width="5.59765625" style="256" customWidth="1"/>
    <col min="10342" max="10342" width="5.73046875" style="256" customWidth="1"/>
    <col min="10343" max="10343" width="8.1328125" style="256" customWidth="1"/>
    <col min="10344" max="10345" width="7.59765625" style="256" customWidth="1"/>
    <col min="10346" max="10346" width="6.73046875" style="256" customWidth="1"/>
    <col min="10347" max="10347" width="4" style="256" customWidth="1"/>
    <col min="10348" max="10348" width="7.265625" style="256" customWidth="1"/>
    <col min="10349" max="10349" width="4" style="256" customWidth="1"/>
    <col min="10350" max="10350" width="13" style="256" customWidth="1"/>
    <col min="10351" max="10351" width="7.73046875" style="256" customWidth="1"/>
    <col min="10352" max="10352" width="5.59765625" style="256" customWidth="1"/>
    <col min="10353" max="10353" width="5.73046875" style="256" customWidth="1"/>
    <col min="10354" max="10354" width="8.1328125" style="256" customWidth="1"/>
    <col min="10355" max="10356" width="7.59765625" style="256" customWidth="1"/>
    <col min="10357" max="10357" width="6.73046875" style="256" customWidth="1"/>
    <col min="10358" max="10358" width="4" style="256" customWidth="1"/>
    <col min="10359" max="10359" width="7.265625" style="256" customWidth="1"/>
    <col min="10360" max="10360" width="4" style="256" customWidth="1"/>
    <col min="10361" max="10361" width="13" style="256" customWidth="1"/>
    <col min="10362" max="10362" width="7.73046875" style="256" customWidth="1"/>
    <col min="10363" max="10363" width="5.59765625" style="256" customWidth="1"/>
    <col min="10364" max="10364" width="5.73046875" style="256" customWidth="1"/>
    <col min="10365" max="10365" width="8.1328125" style="256" customWidth="1"/>
    <col min="10366" max="10367" width="7.59765625" style="256" customWidth="1"/>
    <col min="10368" max="10368" width="6.73046875" style="256" customWidth="1"/>
    <col min="10369" max="10369" width="4" style="256" customWidth="1"/>
    <col min="10370" max="10370" width="7.265625" style="256" customWidth="1"/>
    <col min="10371" max="10371" width="4" style="256" customWidth="1"/>
    <col min="10372" max="10372" width="13" style="256" customWidth="1"/>
    <col min="10373" max="10373" width="7.73046875" style="256" customWidth="1"/>
    <col min="10374" max="10374" width="5.59765625" style="256" customWidth="1"/>
    <col min="10375" max="10375" width="5.73046875" style="256" customWidth="1"/>
    <col min="10376" max="10376" width="8.1328125" style="256" customWidth="1"/>
    <col min="10377" max="10378" width="7.59765625" style="256" customWidth="1"/>
    <col min="10379" max="10379" width="6.73046875" style="256" customWidth="1"/>
    <col min="10380" max="10380" width="4" style="256" customWidth="1"/>
    <col min="10381" max="10381" width="7.265625" style="256" customWidth="1"/>
    <col min="10382" max="10382" width="4" style="256" customWidth="1"/>
    <col min="10383" max="10383" width="13" style="256" customWidth="1"/>
    <col min="10384" max="10384" width="7.73046875" style="256" customWidth="1"/>
    <col min="10385" max="10385" width="5.59765625" style="256" customWidth="1"/>
    <col min="10386" max="10387" width="9.1328125" style="256"/>
    <col min="10388" max="10388" width="6.59765625" style="256" customWidth="1"/>
    <col min="10389" max="10389" width="8.73046875" style="256" customWidth="1"/>
    <col min="10390" max="10390" width="7.3984375" style="256" customWidth="1"/>
    <col min="10391" max="10391" width="7.265625" style="256" customWidth="1"/>
    <col min="10392" max="10392" width="7.73046875" style="256" customWidth="1"/>
    <col min="10393" max="10393" width="4.3984375" style="256" customWidth="1"/>
    <col min="10394" max="10394" width="9.1328125" style="256"/>
    <col min="10395" max="10395" width="6" style="256" customWidth="1"/>
    <col min="10396" max="10396" width="12.265625" style="256" customWidth="1"/>
    <col min="10397" max="10397" width="8" style="256" customWidth="1"/>
    <col min="10398" max="10400" width="9.1328125" style="256"/>
    <col min="10401" max="10401" width="7.73046875" style="256" customWidth="1"/>
    <col min="10402" max="10402" width="8.265625" style="256" customWidth="1"/>
    <col min="10403" max="10403" width="7.1328125" style="256" customWidth="1"/>
    <col min="10404" max="10404" width="7.59765625" style="256" customWidth="1"/>
    <col min="10405" max="10405" width="7.3984375" style="256" customWidth="1"/>
    <col min="10406" max="10406" width="4.86328125" style="256" customWidth="1"/>
    <col min="10407" max="10407" width="9.1328125" style="256"/>
    <col min="10408" max="10408" width="5" style="256" customWidth="1"/>
    <col min="10409" max="10409" width="12.265625" style="256" customWidth="1"/>
    <col min="10410" max="10410" width="7.86328125" style="256" customWidth="1"/>
    <col min="10411" max="10413" width="9.1328125" style="256"/>
    <col min="10414" max="10414" width="7.265625" style="256" customWidth="1"/>
    <col min="10415" max="10415" width="8.1328125" style="256" customWidth="1"/>
    <col min="10416" max="10416" width="6.86328125" style="256" customWidth="1"/>
    <col min="10417" max="10417" width="8" style="256" customWidth="1"/>
    <col min="10418" max="10418" width="7.3984375" style="256" customWidth="1"/>
    <col min="10419" max="10419" width="4.59765625" style="256" customWidth="1"/>
    <col min="10420" max="10420" width="9.1328125" style="256"/>
    <col min="10421" max="10421" width="4.1328125" style="256" customWidth="1"/>
    <col min="10422" max="10422" width="12" style="256" customWidth="1"/>
    <col min="10423" max="10423" width="8.1328125" style="256" customWidth="1"/>
    <col min="10424" max="10426" width="9.1328125" style="256"/>
    <col min="10427" max="10427" width="5.3984375" style="256" customWidth="1"/>
    <col min="10428" max="10428" width="7.73046875" style="256" customWidth="1"/>
    <col min="10429" max="10429" width="5.1328125" style="256" customWidth="1"/>
    <col min="10430" max="10430" width="7.3984375" style="256" customWidth="1"/>
    <col min="10431" max="10431" width="7.1328125" style="256" customWidth="1"/>
    <col min="10432" max="10432" width="4.265625" style="256" customWidth="1"/>
    <col min="10433" max="10433" width="9.1328125" style="256"/>
    <col min="10434" max="10434" width="5.1328125" style="256" customWidth="1"/>
    <col min="10435" max="10435" width="12.265625" style="256" customWidth="1"/>
    <col min="10436" max="10436" width="7.73046875" style="256" customWidth="1"/>
    <col min="10437" max="10438" width="9.1328125" style="256"/>
    <col min="10439" max="10439" width="6.73046875" style="256" customWidth="1"/>
    <col min="10440" max="10440" width="7.59765625" style="256" customWidth="1"/>
    <col min="10441" max="10441" width="6.265625" style="256" customWidth="1"/>
    <col min="10442" max="10442" width="8.1328125" style="256" customWidth="1"/>
    <col min="10443" max="10443" width="7.1328125" style="256" customWidth="1"/>
    <col min="10444" max="10444" width="4.3984375" style="256" customWidth="1"/>
    <col min="10445" max="10445" width="9.1328125" style="256"/>
    <col min="10446" max="10446" width="3.86328125" style="256" customWidth="1"/>
    <col min="10447" max="10447" width="12.265625" style="256" customWidth="1"/>
    <col min="10448" max="10448" width="8.3984375" style="256" customWidth="1"/>
    <col min="10449" max="10450" width="9.1328125" style="256"/>
    <col min="10451" max="10451" width="8.1328125" style="256" customWidth="1"/>
    <col min="10452" max="10452" width="8.3984375" style="256" customWidth="1"/>
    <col min="10453" max="10453" width="7" style="256" customWidth="1"/>
    <col min="10454" max="10454" width="8.3984375" style="256" customWidth="1"/>
    <col min="10455" max="10455" width="9.1328125" style="256"/>
    <col min="10456" max="10456" width="6.1328125" style="256" customWidth="1"/>
    <col min="10457" max="10457" width="9.1328125" style="256"/>
    <col min="10458" max="10458" width="6.73046875" style="256" customWidth="1"/>
    <col min="10459" max="10475" width="9.1328125" style="256"/>
    <col min="10476" max="10476" width="5.59765625" style="256" customWidth="1"/>
    <col min="10477" max="10477" width="5.73046875" style="256" customWidth="1"/>
    <col min="10478" max="10478" width="8.1328125" style="256" customWidth="1"/>
    <col min="10479" max="10480" width="7.59765625" style="256" customWidth="1"/>
    <col min="10481" max="10481" width="6.73046875" style="256" customWidth="1"/>
    <col min="10482" max="10482" width="4" style="256" customWidth="1"/>
    <col min="10483" max="10483" width="7.265625" style="256" customWidth="1"/>
    <col min="10484" max="10484" width="4" style="256" customWidth="1"/>
    <col min="10485" max="10485" width="13" style="256" customWidth="1"/>
    <col min="10486" max="10486" width="8" style="256" customWidth="1"/>
    <col min="10487" max="10487" width="5.59765625" style="256" customWidth="1"/>
    <col min="10488" max="10488" width="5.73046875" style="256" customWidth="1"/>
    <col min="10489" max="10489" width="8.1328125" style="256" customWidth="1"/>
    <col min="10490" max="10491" width="7.59765625" style="256" customWidth="1"/>
    <col min="10492" max="10492" width="6.73046875" style="256" customWidth="1"/>
    <col min="10493" max="10493" width="4" style="256" customWidth="1"/>
    <col min="10494" max="10494" width="7.265625" style="256" customWidth="1"/>
    <col min="10495" max="10495" width="4" style="256" customWidth="1"/>
    <col min="10496" max="10496" width="13" style="256" customWidth="1"/>
    <col min="10497" max="10497" width="7.73046875" style="256" customWidth="1"/>
    <col min="10498" max="10498" width="5.59765625" style="256" customWidth="1"/>
    <col min="10499" max="10499" width="5.73046875" style="256" customWidth="1"/>
    <col min="10500" max="10500" width="8.1328125" style="256" customWidth="1"/>
    <col min="10501" max="10502" width="7.59765625" style="256" customWidth="1"/>
    <col min="10503" max="10503" width="6.73046875" style="256" customWidth="1"/>
    <col min="10504" max="10504" width="4" style="256" customWidth="1"/>
    <col min="10505" max="10505" width="7.265625" style="256" customWidth="1"/>
    <col min="10506" max="10506" width="4" style="256" customWidth="1"/>
    <col min="10507" max="10507" width="13" style="256" customWidth="1"/>
    <col min="10508" max="10508" width="7.73046875" style="256" customWidth="1"/>
    <col min="10509" max="10509" width="5.59765625" style="256" customWidth="1"/>
    <col min="10510" max="10510" width="5.73046875" style="256" customWidth="1"/>
    <col min="10511" max="10511" width="8.1328125" style="256" customWidth="1"/>
    <col min="10512" max="10513" width="7.59765625" style="256" customWidth="1"/>
    <col min="10514" max="10514" width="6.73046875" style="256" customWidth="1"/>
    <col min="10515" max="10515" width="4" style="256" customWidth="1"/>
    <col min="10516" max="10516" width="7.265625" style="256" customWidth="1"/>
    <col min="10517" max="10517" width="4" style="256" customWidth="1"/>
    <col min="10518" max="10518" width="13" style="256" customWidth="1"/>
    <col min="10519" max="10519" width="7.73046875" style="256" customWidth="1"/>
    <col min="10520" max="10520" width="5.59765625" style="256" customWidth="1"/>
    <col min="10521" max="10521" width="5.73046875" style="256" customWidth="1"/>
    <col min="10522" max="10522" width="8.1328125" style="256" customWidth="1"/>
    <col min="10523" max="10524" width="7.59765625" style="256" customWidth="1"/>
    <col min="10525" max="10525" width="6.73046875" style="256" customWidth="1"/>
    <col min="10526" max="10526" width="4" style="256" customWidth="1"/>
    <col min="10527" max="10527" width="7.265625" style="256" customWidth="1"/>
    <col min="10528" max="10528" width="4" style="256" customWidth="1"/>
    <col min="10529" max="10529" width="13" style="256" customWidth="1"/>
    <col min="10530" max="10530" width="7.73046875" style="256" customWidth="1"/>
    <col min="10531" max="10531" width="5.59765625" style="256" customWidth="1"/>
    <col min="10532" max="10532" width="5.73046875" style="256" customWidth="1"/>
    <col min="10533" max="10533" width="8.1328125" style="256" customWidth="1"/>
    <col min="10534" max="10535" width="7.59765625" style="256" customWidth="1"/>
    <col min="10536" max="10536" width="6.73046875" style="256" customWidth="1"/>
    <col min="10537" max="10537" width="4" style="256" customWidth="1"/>
    <col min="10538" max="10538" width="7.265625" style="256" customWidth="1"/>
    <col min="10539" max="10539" width="4" style="256" customWidth="1"/>
    <col min="10540" max="10540" width="13" style="256" customWidth="1"/>
    <col min="10541" max="10541" width="7.73046875" style="256" customWidth="1"/>
    <col min="10542" max="10542" width="5.59765625" style="256" customWidth="1"/>
    <col min="10543" max="10543" width="5.73046875" style="256" customWidth="1"/>
    <col min="10544" max="10544" width="8.1328125" style="256" customWidth="1"/>
    <col min="10545" max="10546" width="7.59765625" style="256" customWidth="1"/>
    <col min="10547" max="10547" width="6.73046875" style="256" customWidth="1"/>
    <col min="10548" max="10548" width="4" style="256" customWidth="1"/>
    <col min="10549" max="10549" width="7.265625" style="256" customWidth="1"/>
    <col min="10550" max="10550" width="4" style="256" customWidth="1"/>
    <col min="10551" max="10551" width="13" style="256" customWidth="1"/>
    <col min="10552" max="10552" width="7.73046875" style="256" customWidth="1"/>
    <col min="10553" max="10553" width="5.59765625" style="256" customWidth="1"/>
    <col min="10554" max="10554" width="5.73046875" style="256" customWidth="1"/>
    <col min="10555" max="10555" width="8.1328125" style="256" customWidth="1"/>
    <col min="10556" max="10557" width="7.59765625" style="256" customWidth="1"/>
    <col min="10558" max="10558" width="6.73046875" style="256" customWidth="1"/>
    <col min="10559" max="10559" width="4" style="256" customWidth="1"/>
    <col min="10560" max="10560" width="7.265625" style="256" customWidth="1"/>
    <col min="10561" max="10561" width="4.3984375" style="256" customWidth="1"/>
    <col min="10562" max="10562" width="13" style="256" customWidth="1"/>
    <col min="10563" max="10563" width="7.73046875" style="256" customWidth="1"/>
    <col min="10564" max="10564" width="5.59765625" style="256" customWidth="1"/>
    <col min="10565" max="10565" width="5.73046875" style="256" customWidth="1"/>
    <col min="10566" max="10566" width="8.1328125" style="256" customWidth="1"/>
    <col min="10567" max="10568" width="7.59765625" style="256" customWidth="1"/>
    <col min="10569" max="10569" width="6.73046875" style="256" customWidth="1"/>
    <col min="10570" max="10570" width="4" style="256" customWidth="1"/>
    <col min="10571" max="10571" width="7.265625" style="256" customWidth="1"/>
    <col min="10572" max="10572" width="4" style="256" customWidth="1"/>
    <col min="10573" max="10573" width="13" style="256" customWidth="1"/>
    <col min="10574" max="10574" width="7.73046875" style="256" customWidth="1"/>
    <col min="10575" max="10575" width="5.59765625" style="256" customWidth="1"/>
    <col min="10576" max="10576" width="5.73046875" style="256" customWidth="1"/>
    <col min="10577" max="10577" width="8.1328125" style="256" customWidth="1"/>
    <col min="10578" max="10579" width="7.59765625" style="256" customWidth="1"/>
    <col min="10580" max="10580" width="6.73046875" style="256" customWidth="1"/>
    <col min="10581" max="10581" width="4" style="256" customWidth="1"/>
    <col min="10582" max="10582" width="7.265625" style="256" customWidth="1"/>
    <col min="10583" max="10583" width="4" style="256" customWidth="1"/>
    <col min="10584" max="10584" width="13" style="256" customWidth="1"/>
    <col min="10585" max="10585" width="7.73046875" style="256" customWidth="1"/>
    <col min="10586" max="10586" width="5.59765625" style="256" customWidth="1"/>
    <col min="10587" max="10587" width="5.73046875" style="256" customWidth="1"/>
    <col min="10588" max="10588" width="8.1328125" style="256" customWidth="1"/>
    <col min="10589" max="10590" width="7.59765625" style="256" customWidth="1"/>
    <col min="10591" max="10591" width="6.73046875" style="256" customWidth="1"/>
    <col min="10592" max="10592" width="4" style="256" customWidth="1"/>
    <col min="10593" max="10593" width="7.265625" style="256" customWidth="1"/>
    <col min="10594" max="10594" width="4" style="256" customWidth="1"/>
    <col min="10595" max="10595" width="13" style="256" customWidth="1"/>
    <col min="10596" max="10596" width="7.73046875" style="256" customWidth="1"/>
    <col min="10597" max="10597" width="5.59765625" style="256" customWidth="1"/>
    <col min="10598" max="10598" width="5.73046875" style="256" customWidth="1"/>
    <col min="10599" max="10599" width="8.1328125" style="256" customWidth="1"/>
    <col min="10600" max="10601" width="7.59765625" style="256" customWidth="1"/>
    <col min="10602" max="10602" width="6.73046875" style="256" customWidth="1"/>
    <col min="10603" max="10603" width="4" style="256" customWidth="1"/>
    <col min="10604" max="10604" width="7.265625" style="256" customWidth="1"/>
    <col min="10605" max="10605" width="4" style="256" customWidth="1"/>
    <col min="10606" max="10606" width="13" style="256" customWidth="1"/>
    <col min="10607" max="10607" width="7.73046875" style="256" customWidth="1"/>
    <col min="10608" max="10608" width="5.59765625" style="256" customWidth="1"/>
    <col min="10609" max="10609" width="5.73046875" style="256" customWidth="1"/>
    <col min="10610" max="10610" width="8.1328125" style="256" customWidth="1"/>
    <col min="10611" max="10612" width="7.59765625" style="256" customWidth="1"/>
    <col min="10613" max="10613" width="6.73046875" style="256" customWidth="1"/>
    <col min="10614" max="10614" width="4" style="256" customWidth="1"/>
    <col min="10615" max="10615" width="7.265625" style="256" customWidth="1"/>
    <col min="10616" max="10616" width="4" style="256" customWidth="1"/>
    <col min="10617" max="10617" width="13" style="256" customWidth="1"/>
    <col min="10618" max="10618" width="7.73046875" style="256" customWidth="1"/>
    <col min="10619" max="10619" width="5.59765625" style="256" customWidth="1"/>
    <col min="10620" max="10620" width="5.73046875" style="256" customWidth="1"/>
    <col min="10621" max="10621" width="8.1328125" style="256" customWidth="1"/>
    <col min="10622" max="10623" width="7.59765625" style="256" customWidth="1"/>
    <col min="10624" max="10624" width="6.73046875" style="256" customWidth="1"/>
    <col min="10625" max="10625" width="4" style="256" customWidth="1"/>
    <col min="10626" max="10626" width="7.265625" style="256" customWidth="1"/>
    <col min="10627" max="10627" width="4" style="256" customWidth="1"/>
    <col min="10628" max="10628" width="13" style="256" customWidth="1"/>
    <col min="10629" max="10629" width="7.73046875" style="256" customWidth="1"/>
    <col min="10630" max="10630" width="5.59765625" style="256" customWidth="1"/>
    <col min="10631" max="10631" width="5.73046875" style="256" customWidth="1"/>
    <col min="10632" max="10632" width="8.1328125" style="256" customWidth="1"/>
    <col min="10633" max="10634" width="7.59765625" style="256" customWidth="1"/>
    <col min="10635" max="10635" width="6.73046875" style="256" customWidth="1"/>
    <col min="10636" max="10636" width="4" style="256" customWidth="1"/>
    <col min="10637" max="10637" width="7.265625" style="256" customWidth="1"/>
    <col min="10638" max="10638" width="4" style="256" customWidth="1"/>
    <col min="10639" max="10639" width="13" style="256" customWidth="1"/>
    <col min="10640" max="10640" width="7.73046875" style="256" customWidth="1"/>
    <col min="10641" max="10641" width="5.59765625" style="256" customWidth="1"/>
    <col min="10642" max="10643" width="9.1328125" style="256"/>
    <col min="10644" max="10644" width="6.59765625" style="256" customWidth="1"/>
    <col min="10645" max="10645" width="8.73046875" style="256" customWidth="1"/>
    <col min="10646" max="10646" width="7.3984375" style="256" customWidth="1"/>
    <col min="10647" max="10647" width="7.265625" style="256" customWidth="1"/>
    <col min="10648" max="10648" width="7.73046875" style="256" customWidth="1"/>
    <col min="10649" max="10649" width="4.3984375" style="256" customWidth="1"/>
    <col min="10650" max="10650" width="9.1328125" style="256"/>
    <col min="10651" max="10651" width="6" style="256" customWidth="1"/>
    <col min="10652" max="10652" width="12.265625" style="256" customWidth="1"/>
    <col min="10653" max="10653" width="8" style="256" customWidth="1"/>
    <col min="10654" max="10656" width="9.1328125" style="256"/>
    <col min="10657" max="10657" width="7.73046875" style="256" customWidth="1"/>
    <col min="10658" max="10658" width="8.265625" style="256" customWidth="1"/>
    <col min="10659" max="10659" width="7.1328125" style="256" customWidth="1"/>
    <col min="10660" max="10660" width="7.59765625" style="256" customWidth="1"/>
    <col min="10661" max="10661" width="7.3984375" style="256" customWidth="1"/>
    <col min="10662" max="10662" width="4.86328125" style="256" customWidth="1"/>
    <col min="10663" max="10663" width="9.1328125" style="256"/>
    <col min="10664" max="10664" width="5" style="256" customWidth="1"/>
    <col min="10665" max="10665" width="12.265625" style="256" customWidth="1"/>
    <col min="10666" max="10666" width="7.86328125" style="256" customWidth="1"/>
    <col min="10667" max="10669" width="9.1328125" style="256"/>
    <col min="10670" max="10670" width="7.265625" style="256" customWidth="1"/>
    <col min="10671" max="10671" width="8.1328125" style="256" customWidth="1"/>
    <col min="10672" max="10672" width="6.86328125" style="256" customWidth="1"/>
    <col min="10673" max="10673" width="8" style="256" customWidth="1"/>
    <col min="10674" max="10674" width="7.3984375" style="256" customWidth="1"/>
    <col min="10675" max="10675" width="4.59765625" style="256" customWidth="1"/>
    <col min="10676" max="10676" width="9.1328125" style="256"/>
    <col min="10677" max="10677" width="4.1328125" style="256" customWidth="1"/>
    <col min="10678" max="10678" width="12" style="256" customWidth="1"/>
    <col min="10679" max="10679" width="8.1328125" style="256" customWidth="1"/>
    <col min="10680" max="10682" width="9.1328125" style="256"/>
    <col min="10683" max="10683" width="5.3984375" style="256" customWidth="1"/>
    <col min="10684" max="10684" width="7.73046875" style="256" customWidth="1"/>
    <col min="10685" max="10685" width="5.1328125" style="256" customWidth="1"/>
    <col min="10686" max="10686" width="7.3984375" style="256" customWidth="1"/>
    <col min="10687" max="10687" width="7.1328125" style="256" customWidth="1"/>
    <col min="10688" max="10688" width="4.265625" style="256" customWidth="1"/>
    <col min="10689" max="10689" width="9.1328125" style="256"/>
    <col min="10690" max="10690" width="5.1328125" style="256" customWidth="1"/>
    <col min="10691" max="10691" width="12.265625" style="256" customWidth="1"/>
    <col min="10692" max="10692" width="7.73046875" style="256" customWidth="1"/>
    <col min="10693" max="10694" width="9.1328125" style="256"/>
    <col min="10695" max="10695" width="6.73046875" style="256" customWidth="1"/>
    <col min="10696" max="10696" width="7.59765625" style="256" customWidth="1"/>
    <col min="10697" max="10697" width="6.265625" style="256" customWidth="1"/>
    <col min="10698" max="10698" width="8.1328125" style="256" customWidth="1"/>
    <col min="10699" max="10699" width="7.1328125" style="256" customWidth="1"/>
    <col min="10700" max="10700" width="4.3984375" style="256" customWidth="1"/>
    <col min="10701" max="10701" width="9.1328125" style="256"/>
    <col min="10702" max="10702" width="3.86328125" style="256" customWidth="1"/>
    <col min="10703" max="10703" width="12.265625" style="256" customWidth="1"/>
    <col min="10704" max="10704" width="8.3984375" style="256" customWidth="1"/>
    <col min="10705" max="10706" width="9.1328125" style="256"/>
    <col min="10707" max="10707" width="8.1328125" style="256" customWidth="1"/>
    <col min="10708" max="10708" width="8.3984375" style="256" customWidth="1"/>
    <col min="10709" max="10709" width="7" style="256" customWidth="1"/>
    <col min="10710" max="10710" width="8.3984375" style="256" customWidth="1"/>
    <col min="10711" max="10711" width="9.1328125" style="256"/>
    <col min="10712" max="10712" width="6.1328125" style="256" customWidth="1"/>
    <col min="10713" max="10713" width="9.1328125" style="256"/>
    <col min="10714" max="10714" width="6.73046875" style="256" customWidth="1"/>
    <col min="10715" max="10731" width="9.1328125" style="256"/>
    <col min="10732" max="10732" width="5.59765625" style="256" customWidth="1"/>
    <col min="10733" max="10733" width="5.73046875" style="256" customWidth="1"/>
    <col min="10734" max="10734" width="8.1328125" style="256" customWidth="1"/>
    <col min="10735" max="10736" width="7.59765625" style="256" customWidth="1"/>
    <col min="10737" max="10737" width="6.73046875" style="256" customWidth="1"/>
    <col min="10738" max="10738" width="4" style="256" customWidth="1"/>
    <col min="10739" max="10739" width="7.265625" style="256" customWidth="1"/>
    <col min="10740" max="10740" width="4" style="256" customWidth="1"/>
    <col min="10741" max="10741" width="13" style="256" customWidth="1"/>
    <col min="10742" max="10742" width="8" style="256" customWidth="1"/>
    <col min="10743" max="10743" width="5.59765625" style="256" customWidth="1"/>
    <col min="10744" max="10744" width="5.73046875" style="256" customWidth="1"/>
    <col min="10745" max="10745" width="8.1328125" style="256" customWidth="1"/>
    <col min="10746" max="10747" width="7.59765625" style="256" customWidth="1"/>
    <col min="10748" max="10748" width="6.73046875" style="256" customWidth="1"/>
    <col min="10749" max="10749" width="4" style="256" customWidth="1"/>
    <col min="10750" max="10750" width="7.265625" style="256" customWidth="1"/>
    <col min="10751" max="10751" width="4" style="256" customWidth="1"/>
    <col min="10752" max="10752" width="13" style="256" customWidth="1"/>
    <col min="10753" max="10753" width="7.73046875" style="256" customWidth="1"/>
    <col min="10754" max="10754" width="5.59765625" style="256" customWidth="1"/>
    <col min="10755" max="10755" width="5.73046875" style="256" customWidth="1"/>
    <col min="10756" max="10756" width="8.1328125" style="256" customWidth="1"/>
    <col min="10757" max="10758" width="7.59765625" style="256" customWidth="1"/>
    <col min="10759" max="10759" width="6.73046875" style="256" customWidth="1"/>
    <col min="10760" max="10760" width="4" style="256" customWidth="1"/>
    <col min="10761" max="10761" width="7.265625" style="256" customWidth="1"/>
    <col min="10762" max="10762" width="4" style="256" customWidth="1"/>
    <col min="10763" max="10763" width="13" style="256" customWidth="1"/>
    <col min="10764" max="10764" width="7.73046875" style="256" customWidth="1"/>
    <col min="10765" max="10765" width="5.59765625" style="256" customWidth="1"/>
    <col min="10766" max="10766" width="5.73046875" style="256" customWidth="1"/>
    <col min="10767" max="10767" width="8.1328125" style="256" customWidth="1"/>
    <col min="10768" max="10769" width="7.59765625" style="256" customWidth="1"/>
    <col min="10770" max="10770" width="6.73046875" style="256" customWidth="1"/>
    <col min="10771" max="10771" width="4" style="256" customWidth="1"/>
    <col min="10772" max="10772" width="7.265625" style="256" customWidth="1"/>
    <col min="10773" max="10773" width="4" style="256" customWidth="1"/>
    <col min="10774" max="10774" width="13" style="256" customWidth="1"/>
    <col min="10775" max="10775" width="7.73046875" style="256" customWidth="1"/>
    <col min="10776" max="10776" width="5.59765625" style="256" customWidth="1"/>
    <col min="10777" max="10777" width="5.73046875" style="256" customWidth="1"/>
    <col min="10778" max="10778" width="8.1328125" style="256" customWidth="1"/>
    <col min="10779" max="10780" width="7.59765625" style="256" customWidth="1"/>
    <col min="10781" max="10781" width="6.73046875" style="256" customWidth="1"/>
    <col min="10782" max="10782" width="4" style="256" customWidth="1"/>
    <col min="10783" max="10783" width="7.265625" style="256" customWidth="1"/>
    <col min="10784" max="10784" width="4" style="256" customWidth="1"/>
    <col min="10785" max="10785" width="13" style="256" customWidth="1"/>
    <col min="10786" max="10786" width="7.73046875" style="256" customWidth="1"/>
    <col min="10787" max="10787" width="5.59765625" style="256" customWidth="1"/>
    <col min="10788" max="10788" width="5.73046875" style="256" customWidth="1"/>
    <col min="10789" max="10789" width="8.1328125" style="256" customWidth="1"/>
    <col min="10790" max="10791" width="7.59765625" style="256" customWidth="1"/>
    <col min="10792" max="10792" width="6.73046875" style="256" customWidth="1"/>
    <col min="10793" max="10793" width="4" style="256" customWidth="1"/>
    <col min="10794" max="10794" width="7.265625" style="256" customWidth="1"/>
    <col min="10795" max="10795" width="4" style="256" customWidth="1"/>
    <col min="10796" max="10796" width="13" style="256" customWidth="1"/>
    <col min="10797" max="10797" width="7.73046875" style="256" customWidth="1"/>
    <col min="10798" max="10798" width="5.59765625" style="256" customWidth="1"/>
    <col min="10799" max="10799" width="5.73046875" style="256" customWidth="1"/>
    <col min="10800" max="10800" width="8.1328125" style="256" customWidth="1"/>
    <col min="10801" max="10802" width="7.59765625" style="256" customWidth="1"/>
    <col min="10803" max="10803" width="6.73046875" style="256" customWidth="1"/>
    <col min="10804" max="10804" width="4" style="256" customWidth="1"/>
    <col min="10805" max="10805" width="7.265625" style="256" customWidth="1"/>
    <col min="10806" max="10806" width="4" style="256" customWidth="1"/>
    <col min="10807" max="10807" width="13" style="256" customWidth="1"/>
    <col min="10808" max="10808" width="7.73046875" style="256" customWidth="1"/>
    <col min="10809" max="10809" width="5.59765625" style="256" customWidth="1"/>
    <col min="10810" max="10810" width="5.73046875" style="256" customWidth="1"/>
    <col min="10811" max="10811" width="8.1328125" style="256" customWidth="1"/>
    <col min="10812" max="10813" width="7.59765625" style="256" customWidth="1"/>
    <col min="10814" max="10814" width="6.73046875" style="256" customWidth="1"/>
    <col min="10815" max="10815" width="4" style="256" customWidth="1"/>
    <col min="10816" max="10816" width="7.265625" style="256" customWidth="1"/>
    <col min="10817" max="10817" width="4.3984375" style="256" customWidth="1"/>
    <col min="10818" max="10818" width="13" style="256" customWidth="1"/>
    <col min="10819" max="10819" width="7.73046875" style="256" customWidth="1"/>
    <col min="10820" max="10820" width="5.59765625" style="256" customWidth="1"/>
    <col min="10821" max="10821" width="5.73046875" style="256" customWidth="1"/>
    <col min="10822" max="10822" width="8.1328125" style="256" customWidth="1"/>
    <col min="10823" max="10824" width="7.59765625" style="256" customWidth="1"/>
    <col min="10825" max="10825" width="6.73046875" style="256" customWidth="1"/>
    <col min="10826" max="10826" width="4" style="256" customWidth="1"/>
    <col min="10827" max="10827" width="7.265625" style="256" customWidth="1"/>
    <col min="10828" max="10828" width="4" style="256" customWidth="1"/>
    <col min="10829" max="10829" width="13" style="256" customWidth="1"/>
    <col min="10830" max="10830" width="7.73046875" style="256" customWidth="1"/>
    <col min="10831" max="10831" width="5.59765625" style="256" customWidth="1"/>
    <col min="10832" max="10832" width="5.73046875" style="256" customWidth="1"/>
    <col min="10833" max="10833" width="8.1328125" style="256" customWidth="1"/>
    <col min="10834" max="10835" width="7.59765625" style="256" customWidth="1"/>
    <col min="10836" max="10836" width="6.73046875" style="256" customWidth="1"/>
    <col min="10837" max="10837" width="4" style="256" customWidth="1"/>
    <col min="10838" max="10838" width="7.265625" style="256" customWidth="1"/>
    <col min="10839" max="10839" width="4" style="256" customWidth="1"/>
    <col min="10840" max="10840" width="13" style="256" customWidth="1"/>
    <col min="10841" max="10841" width="7.73046875" style="256" customWidth="1"/>
    <col min="10842" max="10842" width="5.59765625" style="256" customWidth="1"/>
    <col min="10843" max="10843" width="5.73046875" style="256" customWidth="1"/>
    <col min="10844" max="10844" width="8.1328125" style="256" customWidth="1"/>
    <col min="10845" max="10846" width="7.59765625" style="256" customWidth="1"/>
    <col min="10847" max="10847" width="6.73046875" style="256" customWidth="1"/>
    <col min="10848" max="10848" width="4" style="256" customWidth="1"/>
    <col min="10849" max="10849" width="7.265625" style="256" customWidth="1"/>
    <col min="10850" max="10850" width="4" style="256" customWidth="1"/>
    <col min="10851" max="10851" width="13" style="256" customWidth="1"/>
    <col min="10852" max="10852" width="7.73046875" style="256" customWidth="1"/>
    <col min="10853" max="10853" width="5.59765625" style="256" customWidth="1"/>
    <col min="10854" max="10854" width="5.73046875" style="256" customWidth="1"/>
    <col min="10855" max="10855" width="8.1328125" style="256" customWidth="1"/>
    <col min="10856" max="10857" width="7.59765625" style="256" customWidth="1"/>
    <col min="10858" max="10858" width="6.73046875" style="256" customWidth="1"/>
    <col min="10859" max="10859" width="4" style="256" customWidth="1"/>
    <col min="10860" max="10860" width="7.265625" style="256" customWidth="1"/>
    <col min="10861" max="10861" width="4" style="256" customWidth="1"/>
    <col min="10862" max="10862" width="13" style="256" customWidth="1"/>
    <col min="10863" max="10863" width="7.73046875" style="256" customWidth="1"/>
    <col min="10864" max="10864" width="5.59765625" style="256" customWidth="1"/>
    <col min="10865" max="10865" width="5.73046875" style="256" customWidth="1"/>
    <col min="10866" max="10866" width="8.1328125" style="256" customWidth="1"/>
    <col min="10867" max="10868" width="7.59765625" style="256" customWidth="1"/>
    <col min="10869" max="10869" width="6.73046875" style="256" customWidth="1"/>
    <col min="10870" max="10870" width="4" style="256" customWidth="1"/>
    <col min="10871" max="10871" width="7.265625" style="256" customWidth="1"/>
    <col min="10872" max="10872" width="4" style="256" customWidth="1"/>
    <col min="10873" max="10873" width="13" style="256" customWidth="1"/>
    <col min="10874" max="10874" width="7.73046875" style="256" customWidth="1"/>
    <col min="10875" max="10875" width="5.59765625" style="256" customWidth="1"/>
    <col min="10876" max="10876" width="5.73046875" style="256" customWidth="1"/>
    <col min="10877" max="10877" width="8.1328125" style="256" customWidth="1"/>
    <col min="10878" max="10879" width="7.59765625" style="256" customWidth="1"/>
    <col min="10880" max="10880" width="6.73046875" style="256" customWidth="1"/>
    <col min="10881" max="10881" width="4" style="256" customWidth="1"/>
    <col min="10882" max="10882" width="7.265625" style="256" customWidth="1"/>
    <col min="10883" max="10883" width="4" style="256" customWidth="1"/>
    <col min="10884" max="10884" width="13" style="256" customWidth="1"/>
    <col min="10885" max="10885" width="7.73046875" style="256" customWidth="1"/>
    <col min="10886" max="10886" width="5.59765625" style="256" customWidth="1"/>
    <col min="10887" max="10887" width="5.73046875" style="256" customWidth="1"/>
    <col min="10888" max="10888" width="8.1328125" style="256" customWidth="1"/>
    <col min="10889" max="10890" width="7.59765625" style="256" customWidth="1"/>
    <col min="10891" max="10891" width="6.73046875" style="256" customWidth="1"/>
    <col min="10892" max="10892" width="4" style="256" customWidth="1"/>
    <col min="10893" max="10893" width="7.265625" style="256" customWidth="1"/>
    <col min="10894" max="10894" width="4" style="256" customWidth="1"/>
    <col min="10895" max="10895" width="13" style="256" customWidth="1"/>
    <col min="10896" max="10896" width="7.73046875" style="256" customWidth="1"/>
    <col min="10897" max="10897" width="5.59765625" style="256" customWidth="1"/>
    <col min="10898" max="10899" width="9.1328125" style="256"/>
    <col min="10900" max="10900" width="6.59765625" style="256" customWidth="1"/>
    <col min="10901" max="10901" width="8.73046875" style="256" customWidth="1"/>
    <col min="10902" max="10902" width="7.3984375" style="256" customWidth="1"/>
    <col min="10903" max="10903" width="7.265625" style="256" customWidth="1"/>
    <col min="10904" max="10904" width="7.73046875" style="256" customWidth="1"/>
    <col min="10905" max="10905" width="4.3984375" style="256" customWidth="1"/>
    <col min="10906" max="10906" width="9.1328125" style="256"/>
    <col min="10907" max="10907" width="6" style="256" customWidth="1"/>
    <col min="10908" max="10908" width="12.265625" style="256" customWidth="1"/>
    <col min="10909" max="10909" width="8" style="256" customWidth="1"/>
    <col min="10910" max="10912" width="9.1328125" style="256"/>
    <col min="10913" max="10913" width="7.73046875" style="256" customWidth="1"/>
    <col min="10914" max="10914" width="8.265625" style="256" customWidth="1"/>
    <col min="10915" max="10915" width="7.1328125" style="256" customWidth="1"/>
    <col min="10916" max="10916" width="7.59765625" style="256" customWidth="1"/>
    <col min="10917" max="10917" width="7.3984375" style="256" customWidth="1"/>
    <col min="10918" max="10918" width="4.86328125" style="256" customWidth="1"/>
    <col min="10919" max="10919" width="9.1328125" style="256"/>
    <col min="10920" max="10920" width="5" style="256" customWidth="1"/>
    <col min="10921" max="10921" width="12.265625" style="256" customWidth="1"/>
    <col min="10922" max="10922" width="7.86328125" style="256" customWidth="1"/>
    <col min="10923" max="10925" width="9.1328125" style="256"/>
    <col min="10926" max="10926" width="7.265625" style="256" customWidth="1"/>
    <col min="10927" max="10927" width="8.1328125" style="256" customWidth="1"/>
    <col min="10928" max="10928" width="6.86328125" style="256" customWidth="1"/>
    <col min="10929" max="10929" width="8" style="256" customWidth="1"/>
    <col min="10930" max="10930" width="7.3984375" style="256" customWidth="1"/>
    <col min="10931" max="10931" width="4.59765625" style="256" customWidth="1"/>
    <col min="10932" max="10932" width="9.1328125" style="256"/>
    <col min="10933" max="10933" width="4.1328125" style="256" customWidth="1"/>
    <col min="10934" max="10934" width="12" style="256" customWidth="1"/>
    <col min="10935" max="10935" width="8.1328125" style="256" customWidth="1"/>
    <col min="10936" max="10938" width="9.1328125" style="256"/>
    <col min="10939" max="10939" width="5.3984375" style="256" customWidth="1"/>
    <col min="10940" max="10940" width="7.73046875" style="256" customWidth="1"/>
    <col min="10941" max="10941" width="5.1328125" style="256" customWidth="1"/>
    <col min="10942" max="10942" width="7.3984375" style="256" customWidth="1"/>
    <col min="10943" max="10943" width="7.1328125" style="256" customWidth="1"/>
    <col min="10944" max="10944" width="4.265625" style="256" customWidth="1"/>
    <col min="10945" max="10945" width="9.1328125" style="256"/>
    <col min="10946" max="10946" width="5.1328125" style="256" customWidth="1"/>
    <col min="10947" max="10947" width="12.265625" style="256" customWidth="1"/>
    <col min="10948" max="10948" width="7.73046875" style="256" customWidth="1"/>
    <col min="10949" max="10950" width="9.1328125" style="256"/>
    <col min="10951" max="10951" width="6.73046875" style="256" customWidth="1"/>
    <col min="10952" max="10952" width="7.59765625" style="256" customWidth="1"/>
    <col min="10953" max="10953" width="6.265625" style="256" customWidth="1"/>
    <col min="10954" max="10954" width="8.1328125" style="256" customWidth="1"/>
    <col min="10955" max="10955" width="7.1328125" style="256" customWidth="1"/>
    <col min="10956" max="10956" width="4.3984375" style="256" customWidth="1"/>
    <col min="10957" max="10957" width="9.1328125" style="256"/>
    <col min="10958" max="10958" width="3.86328125" style="256" customWidth="1"/>
    <col min="10959" max="10959" width="12.265625" style="256" customWidth="1"/>
    <col min="10960" max="10960" width="8.3984375" style="256" customWidth="1"/>
    <col min="10961" max="10962" width="9.1328125" style="256"/>
    <col min="10963" max="10963" width="8.1328125" style="256" customWidth="1"/>
    <col min="10964" max="10964" width="8.3984375" style="256" customWidth="1"/>
    <col min="10965" max="10965" width="7" style="256" customWidth="1"/>
    <col min="10966" max="10966" width="8.3984375" style="256" customWidth="1"/>
    <col min="10967" max="10967" width="9.1328125" style="256"/>
    <col min="10968" max="10968" width="6.1328125" style="256" customWidth="1"/>
    <col min="10969" max="10969" width="9.1328125" style="256"/>
    <col min="10970" max="10970" width="6.73046875" style="256" customWidth="1"/>
    <col min="10971" max="10987" width="9.1328125" style="256"/>
    <col min="10988" max="10988" width="5.59765625" style="256" customWidth="1"/>
    <col min="10989" max="10989" width="5.73046875" style="256" customWidth="1"/>
    <col min="10990" max="10990" width="8.1328125" style="256" customWidth="1"/>
    <col min="10991" max="10992" width="7.59765625" style="256" customWidth="1"/>
    <col min="10993" max="10993" width="6.73046875" style="256" customWidth="1"/>
    <col min="10994" max="10994" width="4" style="256" customWidth="1"/>
    <col min="10995" max="10995" width="7.265625" style="256" customWidth="1"/>
    <col min="10996" max="10996" width="4" style="256" customWidth="1"/>
    <col min="10997" max="10997" width="13" style="256" customWidth="1"/>
    <col min="10998" max="10998" width="8" style="256" customWidth="1"/>
    <col min="10999" max="10999" width="5.59765625" style="256" customWidth="1"/>
    <col min="11000" max="11000" width="5.73046875" style="256" customWidth="1"/>
    <col min="11001" max="11001" width="8.1328125" style="256" customWidth="1"/>
    <col min="11002" max="11003" width="7.59765625" style="256" customWidth="1"/>
    <col min="11004" max="11004" width="6.73046875" style="256" customWidth="1"/>
    <col min="11005" max="11005" width="4" style="256" customWidth="1"/>
    <col min="11006" max="11006" width="7.265625" style="256" customWidth="1"/>
    <col min="11007" max="11007" width="4" style="256" customWidth="1"/>
    <col min="11008" max="11008" width="13" style="256" customWidth="1"/>
    <col min="11009" max="11009" width="7.73046875" style="256" customWidth="1"/>
    <col min="11010" max="11010" width="5.59765625" style="256" customWidth="1"/>
    <col min="11011" max="11011" width="5.73046875" style="256" customWidth="1"/>
    <col min="11012" max="11012" width="8.1328125" style="256" customWidth="1"/>
    <col min="11013" max="11014" width="7.59765625" style="256" customWidth="1"/>
    <col min="11015" max="11015" width="6.73046875" style="256" customWidth="1"/>
    <col min="11016" max="11016" width="4" style="256" customWidth="1"/>
    <col min="11017" max="11017" width="7.265625" style="256" customWidth="1"/>
    <col min="11018" max="11018" width="4" style="256" customWidth="1"/>
    <col min="11019" max="11019" width="13" style="256" customWidth="1"/>
    <col min="11020" max="11020" width="7.73046875" style="256" customWidth="1"/>
    <col min="11021" max="11021" width="5.59765625" style="256" customWidth="1"/>
    <col min="11022" max="11022" width="5.73046875" style="256" customWidth="1"/>
    <col min="11023" max="11023" width="8.1328125" style="256" customWidth="1"/>
    <col min="11024" max="11025" width="7.59765625" style="256" customWidth="1"/>
    <col min="11026" max="11026" width="6.73046875" style="256" customWidth="1"/>
    <col min="11027" max="11027" width="4" style="256" customWidth="1"/>
    <col min="11028" max="11028" width="7.265625" style="256" customWidth="1"/>
    <col min="11029" max="11029" width="4" style="256" customWidth="1"/>
    <col min="11030" max="11030" width="13" style="256" customWidth="1"/>
    <col min="11031" max="11031" width="7.73046875" style="256" customWidth="1"/>
    <col min="11032" max="11032" width="5.59765625" style="256" customWidth="1"/>
    <col min="11033" max="11033" width="5.73046875" style="256" customWidth="1"/>
    <col min="11034" max="11034" width="8.1328125" style="256" customWidth="1"/>
    <col min="11035" max="11036" width="7.59765625" style="256" customWidth="1"/>
    <col min="11037" max="11037" width="6.73046875" style="256" customWidth="1"/>
    <col min="11038" max="11038" width="4" style="256" customWidth="1"/>
    <col min="11039" max="11039" width="7.265625" style="256" customWidth="1"/>
    <col min="11040" max="11040" width="4" style="256" customWidth="1"/>
    <col min="11041" max="11041" width="13" style="256" customWidth="1"/>
    <col min="11042" max="11042" width="7.73046875" style="256" customWidth="1"/>
    <col min="11043" max="11043" width="5.59765625" style="256" customWidth="1"/>
    <col min="11044" max="11044" width="5.73046875" style="256" customWidth="1"/>
    <col min="11045" max="11045" width="8.1328125" style="256" customWidth="1"/>
    <col min="11046" max="11047" width="7.59765625" style="256" customWidth="1"/>
    <col min="11048" max="11048" width="6.73046875" style="256" customWidth="1"/>
    <col min="11049" max="11049" width="4" style="256" customWidth="1"/>
    <col min="11050" max="11050" width="7.265625" style="256" customWidth="1"/>
    <col min="11051" max="11051" width="4" style="256" customWidth="1"/>
    <col min="11052" max="11052" width="13" style="256" customWidth="1"/>
    <col min="11053" max="11053" width="7.73046875" style="256" customWidth="1"/>
    <col min="11054" max="11054" width="5.59765625" style="256" customWidth="1"/>
    <col min="11055" max="11055" width="5.73046875" style="256" customWidth="1"/>
    <col min="11056" max="11056" width="8.1328125" style="256" customWidth="1"/>
    <col min="11057" max="11058" width="7.59765625" style="256" customWidth="1"/>
    <col min="11059" max="11059" width="6.73046875" style="256" customWidth="1"/>
    <col min="11060" max="11060" width="4" style="256" customWidth="1"/>
    <col min="11061" max="11061" width="7.265625" style="256" customWidth="1"/>
    <col min="11062" max="11062" width="4" style="256" customWidth="1"/>
    <col min="11063" max="11063" width="13" style="256" customWidth="1"/>
    <col min="11064" max="11064" width="7.73046875" style="256" customWidth="1"/>
    <col min="11065" max="11065" width="5.59765625" style="256" customWidth="1"/>
    <col min="11066" max="11066" width="5.73046875" style="256" customWidth="1"/>
    <col min="11067" max="11067" width="8.1328125" style="256" customWidth="1"/>
    <col min="11068" max="11069" width="7.59765625" style="256" customWidth="1"/>
    <col min="11070" max="11070" width="6.73046875" style="256" customWidth="1"/>
    <col min="11071" max="11071" width="4" style="256" customWidth="1"/>
    <col min="11072" max="11072" width="7.265625" style="256" customWidth="1"/>
    <col min="11073" max="11073" width="4.3984375" style="256" customWidth="1"/>
    <col min="11074" max="11074" width="13" style="256" customWidth="1"/>
    <col min="11075" max="11075" width="7.73046875" style="256" customWidth="1"/>
    <col min="11076" max="11076" width="5.59765625" style="256" customWidth="1"/>
    <col min="11077" max="11077" width="5.73046875" style="256" customWidth="1"/>
    <col min="11078" max="11078" width="8.1328125" style="256" customWidth="1"/>
    <col min="11079" max="11080" width="7.59765625" style="256" customWidth="1"/>
    <col min="11081" max="11081" width="6.73046875" style="256" customWidth="1"/>
    <col min="11082" max="11082" width="4" style="256" customWidth="1"/>
    <col min="11083" max="11083" width="7.265625" style="256" customWidth="1"/>
    <col min="11084" max="11084" width="4" style="256" customWidth="1"/>
    <col min="11085" max="11085" width="13" style="256" customWidth="1"/>
    <col min="11086" max="11086" width="7.73046875" style="256" customWidth="1"/>
    <col min="11087" max="11087" width="5.59765625" style="256" customWidth="1"/>
    <col min="11088" max="11088" width="5.73046875" style="256" customWidth="1"/>
    <col min="11089" max="11089" width="8.1328125" style="256" customWidth="1"/>
    <col min="11090" max="11091" width="7.59765625" style="256" customWidth="1"/>
    <col min="11092" max="11092" width="6.73046875" style="256" customWidth="1"/>
    <col min="11093" max="11093" width="4" style="256" customWidth="1"/>
    <col min="11094" max="11094" width="7.265625" style="256" customWidth="1"/>
    <col min="11095" max="11095" width="4" style="256" customWidth="1"/>
    <col min="11096" max="11096" width="13" style="256" customWidth="1"/>
    <col min="11097" max="11097" width="7.73046875" style="256" customWidth="1"/>
    <col min="11098" max="11098" width="5.59765625" style="256" customWidth="1"/>
    <col min="11099" max="11099" width="5.73046875" style="256" customWidth="1"/>
    <col min="11100" max="11100" width="8.1328125" style="256" customWidth="1"/>
    <col min="11101" max="11102" width="7.59765625" style="256" customWidth="1"/>
    <col min="11103" max="11103" width="6.73046875" style="256" customWidth="1"/>
    <col min="11104" max="11104" width="4" style="256" customWidth="1"/>
    <col min="11105" max="11105" width="7.265625" style="256" customWidth="1"/>
    <col min="11106" max="11106" width="4" style="256" customWidth="1"/>
    <col min="11107" max="11107" width="13" style="256" customWidth="1"/>
    <col min="11108" max="11108" width="7.73046875" style="256" customWidth="1"/>
    <col min="11109" max="11109" width="5.59765625" style="256" customWidth="1"/>
    <col min="11110" max="11110" width="5.73046875" style="256" customWidth="1"/>
    <col min="11111" max="11111" width="8.1328125" style="256" customWidth="1"/>
    <col min="11112" max="11113" width="7.59765625" style="256" customWidth="1"/>
    <col min="11114" max="11114" width="6.73046875" style="256" customWidth="1"/>
    <col min="11115" max="11115" width="4" style="256" customWidth="1"/>
    <col min="11116" max="11116" width="7.265625" style="256" customWidth="1"/>
    <col min="11117" max="11117" width="4" style="256" customWidth="1"/>
    <col min="11118" max="11118" width="13" style="256" customWidth="1"/>
    <col min="11119" max="11119" width="7.73046875" style="256" customWidth="1"/>
    <col min="11120" max="11120" width="5.59765625" style="256" customWidth="1"/>
    <col min="11121" max="11121" width="5.73046875" style="256" customWidth="1"/>
    <col min="11122" max="11122" width="8.1328125" style="256" customWidth="1"/>
    <col min="11123" max="11124" width="7.59765625" style="256" customWidth="1"/>
    <col min="11125" max="11125" width="6.73046875" style="256" customWidth="1"/>
    <col min="11126" max="11126" width="4" style="256" customWidth="1"/>
    <col min="11127" max="11127" width="7.265625" style="256" customWidth="1"/>
    <col min="11128" max="11128" width="4" style="256" customWidth="1"/>
    <col min="11129" max="11129" width="13" style="256" customWidth="1"/>
    <col min="11130" max="11130" width="7.73046875" style="256" customWidth="1"/>
    <col min="11131" max="11131" width="5.59765625" style="256" customWidth="1"/>
    <col min="11132" max="11132" width="5.73046875" style="256" customWidth="1"/>
    <col min="11133" max="11133" width="8.1328125" style="256" customWidth="1"/>
    <col min="11134" max="11135" width="7.59765625" style="256" customWidth="1"/>
    <col min="11136" max="11136" width="6.73046875" style="256" customWidth="1"/>
    <col min="11137" max="11137" width="4" style="256" customWidth="1"/>
    <col min="11138" max="11138" width="7.265625" style="256" customWidth="1"/>
    <col min="11139" max="11139" width="4" style="256" customWidth="1"/>
    <col min="11140" max="11140" width="13" style="256" customWidth="1"/>
    <col min="11141" max="11141" width="7.73046875" style="256" customWidth="1"/>
    <col min="11142" max="11142" width="5.59765625" style="256" customWidth="1"/>
    <col min="11143" max="11143" width="5.73046875" style="256" customWidth="1"/>
    <col min="11144" max="11144" width="8.1328125" style="256" customWidth="1"/>
    <col min="11145" max="11146" width="7.59765625" style="256" customWidth="1"/>
    <col min="11147" max="11147" width="6.73046875" style="256" customWidth="1"/>
    <col min="11148" max="11148" width="4" style="256" customWidth="1"/>
    <col min="11149" max="11149" width="7.265625" style="256" customWidth="1"/>
    <col min="11150" max="11150" width="4" style="256" customWidth="1"/>
    <col min="11151" max="11151" width="13" style="256" customWidth="1"/>
    <col min="11152" max="11152" width="7.73046875" style="256" customWidth="1"/>
    <col min="11153" max="11153" width="5.59765625" style="256" customWidth="1"/>
    <col min="11154" max="11155" width="9.1328125" style="256"/>
    <col min="11156" max="11156" width="6.59765625" style="256" customWidth="1"/>
    <col min="11157" max="11157" width="8.73046875" style="256" customWidth="1"/>
    <col min="11158" max="11158" width="7.3984375" style="256" customWidth="1"/>
    <col min="11159" max="11159" width="7.265625" style="256" customWidth="1"/>
    <col min="11160" max="11160" width="7.73046875" style="256" customWidth="1"/>
    <col min="11161" max="11161" width="4.3984375" style="256" customWidth="1"/>
    <col min="11162" max="11162" width="9.1328125" style="256"/>
    <col min="11163" max="11163" width="6" style="256" customWidth="1"/>
    <col min="11164" max="11164" width="12.265625" style="256" customWidth="1"/>
    <col min="11165" max="11165" width="8" style="256" customWidth="1"/>
    <col min="11166" max="11168" width="9.1328125" style="256"/>
    <col min="11169" max="11169" width="7.73046875" style="256" customWidth="1"/>
    <col min="11170" max="11170" width="8.265625" style="256" customWidth="1"/>
    <col min="11171" max="11171" width="7.1328125" style="256" customWidth="1"/>
    <col min="11172" max="11172" width="7.59765625" style="256" customWidth="1"/>
    <col min="11173" max="11173" width="7.3984375" style="256" customWidth="1"/>
    <col min="11174" max="11174" width="4.86328125" style="256" customWidth="1"/>
    <col min="11175" max="11175" width="9.1328125" style="256"/>
    <col min="11176" max="11176" width="5" style="256" customWidth="1"/>
    <col min="11177" max="11177" width="12.265625" style="256" customWidth="1"/>
    <col min="11178" max="11178" width="7.86328125" style="256" customWidth="1"/>
    <col min="11179" max="11181" width="9.1328125" style="256"/>
    <col min="11182" max="11182" width="7.265625" style="256" customWidth="1"/>
    <col min="11183" max="11183" width="8.1328125" style="256" customWidth="1"/>
    <col min="11184" max="11184" width="6.86328125" style="256" customWidth="1"/>
    <col min="11185" max="11185" width="8" style="256" customWidth="1"/>
    <col min="11186" max="11186" width="7.3984375" style="256" customWidth="1"/>
    <col min="11187" max="11187" width="4.59765625" style="256" customWidth="1"/>
    <col min="11188" max="11188" width="9.1328125" style="256"/>
    <col min="11189" max="11189" width="4.1328125" style="256" customWidth="1"/>
    <col min="11190" max="11190" width="12" style="256" customWidth="1"/>
    <col min="11191" max="11191" width="8.1328125" style="256" customWidth="1"/>
    <col min="11192" max="11194" width="9.1328125" style="256"/>
    <col min="11195" max="11195" width="5.3984375" style="256" customWidth="1"/>
    <col min="11196" max="11196" width="7.73046875" style="256" customWidth="1"/>
    <col min="11197" max="11197" width="5.1328125" style="256" customWidth="1"/>
    <col min="11198" max="11198" width="7.3984375" style="256" customWidth="1"/>
    <col min="11199" max="11199" width="7.1328125" style="256" customWidth="1"/>
    <col min="11200" max="11200" width="4.265625" style="256" customWidth="1"/>
    <col min="11201" max="11201" width="9.1328125" style="256"/>
    <col min="11202" max="11202" width="5.1328125" style="256" customWidth="1"/>
    <col min="11203" max="11203" width="12.265625" style="256" customWidth="1"/>
    <col min="11204" max="11204" width="7.73046875" style="256" customWidth="1"/>
    <col min="11205" max="11206" width="9.1328125" style="256"/>
    <col min="11207" max="11207" width="6.73046875" style="256" customWidth="1"/>
    <col min="11208" max="11208" width="7.59765625" style="256" customWidth="1"/>
    <col min="11209" max="11209" width="6.265625" style="256" customWidth="1"/>
    <col min="11210" max="11210" width="8.1328125" style="256" customWidth="1"/>
    <col min="11211" max="11211" width="7.1328125" style="256" customWidth="1"/>
    <col min="11212" max="11212" width="4.3984375" style="256" customWidth="1"/>
    <col min="11213" max="11213" width="9.1328125" style="256"/>
    <col min="11214" max="11214" width="3.86328125" style="256" customWidth="1"/>
    <col min="11215" max="11215" width="12.265625" style="256" customWidth="1"/>
    <col min="11216" max="11216" width="8.3984375" style="256" customWidth="1"/>
    <col min="11217" max="11218" width="9.1328125" style="256"/>
    <col min="11219" max="11219" width="8.1328125" style="256" customWidth="1"/>
    <col min="11220" max="11220" width="8.3984375" style="256" customWidth="1"/>
    <col min="11221" max="11221" width="7" style="256" customWidth="1"/>
    <col min="11222" max="11222" width="8.3984375" style="256" customWidth="1"/>
    <col min="11223" max="11223" width="9.1328125" style="256"/>
    <col min="11224" max="11224" width="6.1328125" style="256" customWidth="1"/>
    <col min="11225" max="11225" width="9.1328125" style="256"/>
    <col min="11226" max="11226" width="6.73046875" style="256" customWidth="1"/>
    <col min="11227" max="11243" width="9.1328125" style="256"/>
    <col min="11244" max="11244" width="5.59765625" style="256" customWidth="1"/>
    <col min="11245" max="11245" width="5.73046875" style="256" customWidth="1"/>
    <col min="11246" max="11246" width="8.1328125" style="256" customWidth="1"/>
    <col min="11247" max="11248" width="7.59765625" style="256" customWidth="1"/>
    <col min="11249" max="11249" width="6.73046875" style="256" customWidth="1"/>
    <col min="11250" max="11250" width="4" style="256" customWidth="1"/>
    <col min="11251" max="11251" width="7.265625" style="256" customWidth="1"/>
    <col min="11252" max="11252" width="4" style="256" customWidth="1"/>
    <col min="11253" max="11253" width="13" style="256" customWidth="1"/>
    <col min="11254" max="11254" width="8" style="256" customWidth="1"/>
    <col min="11255" max="11255" width="5.59765625" style="256" customWidth="1"/>
    <col min="11256" max="11256" width="5.73046875" style="256" customWidth="1"/>
    <col min="11257" max="11257" width="8.1328125" style="256" customWidth="1"/>
    <col min="11258" max="11259" width="7.59765625" style="256" customWidth="1"/>
    <col min="11260" max="11260" width="6.73046875" style="256" customWidth="1"/>
    <col min="11261" max="11261" width="4" style="256" customWidth="1"/>
    <col min="11262" max="11262" width="7.265625" style="256" customWidth="1"/>
    <col min="11263" max="11263" width="4" style="256" customWidth="1"/>
    <col min="11264" max="11264" width="13" style="256" customWidth="1"/>
    <col min="11265" max="11265" width="7.73046875" style="256" customWidth="1"/>
    <col min="11266" max="11266" width="5.59765625" style="256" customWidth="1"/>
    <col min="11267" max="11267" width="5.73046875" style="256" customWidth="1"/>
    <col min="11268" max="11268" width="8.1328125" style="256" customWidth="1"/>
    <col min="11269" max="11270" width="7.59765625" style="256" customWidth="1"/>
    <col min="11271" max="11271" width="6.73046875" style="256" customWidth="1"/>
    <col min="11272" max="11272" width="4" style="256" customWidth="1"/>
    <col min="11273" max="11273" width="7.265625" style="256" customWidth="1"/>
    <col min="11274" max="11274" width="4" style="256" customWidth="1"/>
    <col min="11275" max="11275" width="13" style="256" customWidth="1"/>
    <col min="11276" max="11276" width="7.73046875" style="256" customWidth="1"/>
    <col min="11277" max="11277" width="5.59765625" style="256" customWidth="1"/>
    <col min="11278" max="11278" width="5.73046875" style="256" customWidth="1"/>
    <col min="11279" max="11279" width="8.1328125" style="256" customWidth="1"/>
    <col min="11280" max="11281" width="7.59765625" style="256" customWidth="1"/>
    <col min="11282" max="11282" width="6.73046875" style="256" customWidth="1"/>
    <col min="11283" max="11283" width="4" style="256" customWidth="1"/>
    <col min="11284" max="11284" width="7.265625" style="256" customWidth="1"/>
    <col min="11285" max="11285" width="4" style="256" customWidth="1"/>
    <col min="11286" max="11286" width="13" style="256" customWidth="1"/>
    <col min="11287" max="11287" width="7.73046875" style="256" customWidth="1"/>
    <col min="11288" max="11288" width="5.59765625" style="256" customWidth="1"/>
    <col min="11289" max="11289" width="5.73046875" style="256" customWidth="1"/>
    <col min="11290" max="11290" width="8.1328125" style="256" customWidth="1"/>
    <col min="11291" max="11292" width="7.59765625" style="256" customWidth="1"/>
    <col min="11293" max="11293" width="6.73046875" style="256" customWidth="1"/>
    <col min="11294" max="11294" width="4" style="256" customWidth="1"/>
    <col min="11295" max="11295" width="7.265625" style="256" customWidth="1"/>
    <col min="11296" max="11296" width="4" style="256" customWidth="1"/>
    <col min="11297" max="11297" width="13" style="256" customWidth="1"/>
    <col min="11298" max="11298" width="7.73046875" style="256" customWidth="1"/>
    <col min="11299" max="11299" width="5.59765625" style="256" customWidth="1"/>
    <col min="11300" max="11300" width="5.73046875" style="256" customWidth="1"/>
    <col min="11301" max="11301" width="8.1328125" style="256" customWidth="1"/>
    <col min="11302" max="11303" width="7.59765625" style="256" customWidth="1"/>
    <col min="11304" max="11304" width="6.73046875" style="256" customWidth="1"/>
    <col min="11305" max="11305" width="4" style="256" customWidth="1"/>
    <col min="11306" max="11306" width="7.265625" style="256" customWidth="1"/>
    <col min="11307" max="11307" width="4" style="256" customWidth="1"/>
    <col min="11308" max="11308" width="13" style="256" customWidth="1"/>
    <col min="11309" max="11309" width="7.73046875" style="256" customWidth="1"/>
    <col min="11310" max="11310" width="5.59765625" style="256" customWidth="1"/>
    <col min="11311" max="11311" width="5.73046875" style="256" customWidth="1"/>
    <col min="11312" max="11312" width="8.1328125" style="256" customWidth="1"/>
    <col min="11313" max="11314" width="7.59765625" style="256" customWidth="1"/>
    <col min="11315" max="11315" width="6.73046875" style="256" customWidth="1"/>
    <col min="11316" max="11316" width="4" style="256" customWidth="1"/>
    <col min="11317" max="11317" width="7.265625" style="256" customWidth="1"/>
    <col min="11318" max="11318" width="4" style="256" customWidth="1"/>
    <col min="11319" max="11319" width="13" style="256" customWidth="1"/>
    <col min="11320" max="11320" width="7.73046875" style="256" customWidth="1"/>
    <col min="11321" max="11321" width="5.59765625" style="256" customWidth="1"/>
    <col min="11322" max="11322" width="5.73046875" style="256" customWidth="1"/>
    <col min="11323" max="11323" width="8.1328125" style="256" customWidth="1"/>
    <col min="11324" max="11325" width="7.59765625" style="256" customWidth="1"/>
    <col min="11326" max="11326" width="6.73046875" style="256" customWidth="1"/>
    <col min="11327" max="11327" width="4" style="256" customWidth="1"/>
    <col min="11328" max="11328" width="7.265625" style="256" customWidth="1"/>
    <col min="11329" max="11329" width="4.3984375" style="256" customWidth="1"/>
    <col min="11330" max="11330" width="13" style="256" customWidth="1"/>
    <col min="11331" max="11331" width="7.73046875" style="256" customWidth="1"/>
    <col min="11332" max="11332" width="5.59765625" style="256" customWidth="1"/>
    <col min="11333" max="11333" width="5.73046875" style="256" customWidth="1"/>
    <col min="11334" max="11334" width="8.1328125" style="256" customWidth="1"/>
    <col min="11335" max="11336" width="7.59765625" style="256" customWidth="1"/>
    <col min="11337" max="11337" width="6.73046875" style="256" customWidth="1"/>
    <col min="11338" max="11338" width="4" style="256" customWidth="1"/>
    <col min="11339" max="11339" width="7.265625" style="256" customWidth="1"/>
    <col min="11340" max="11340" width="4" style="256" customWidth="1"/>
    <col min="11341" max="11341" width="13" style="256" customWidth="1"/>
    <col min="11342" max="11342" width="7.73046875" style="256" customWidth="1"/>
    <col min="11343" max="11343" width="5.59765625" style="256" customWidth="1"/>
    <col min="11344" max="11344" width="5.73046875" style="256" customWidth="1"/>
    <col min="11345" max="11345" width="8.1328125" style="256" customWidth="1"/>
    <col min="11346" max="11347" width="7.59765625" style="256" customWidth="1"/>
    <col min="11348" max="11348" width="6.73046875" style="256" customWidth="1"/>
    <col min="11349" max="11349" width="4" style="256" customWidth="1"/>
    <col min="11350" max="11350" width="7.265625" style="256" customWidth="1"/>
    <col min="11351" max="11351" width="4" style="256" customWidth="1"/>
    <col min="11352" max="11352" width="13" style="256" customWidth="1"/>
    <col min="11353" max="11353" width="7.73046875" style="256" customWidth="1"/>
    <col min="11354" max="11354" width="5.59765625" style="256" customWidth="1"/>
    <col min="11355" max="11355" width="5.73046875" style="256" customWidth="1"/>
    <col min="11356" max="11356" width="8.1328125" style="256" customWidth="1"/>
    <col min="11357" max="11358" width="7.59765625" style="256" customWidth="1"/>
    <col min="11359" max="11359" width="6.73046875" style="256" customWidth="1"/>
    <col min="11360" max="11360" width="4" style="256" customWidth="1"/>
    <col min="11361" max="11361" width="7.265625" style="256" customWidth="1"/>
    <col min="11362" max="11362" width="4" style="256" customWidth="1"/>
    <col min="11363" max="11363" width="13" style="256" customWidth="1"/>
    <col min="11364" max="11364" width="7.73046875" style="256" customWidth="1"/>
    <col min="11365" max="11365" width="5.59765625" style="256" customWidth="1"/>
    <col min="11366" max="11366" width="5.73046875" style="256" customWidth="1"/>
    <col min="11367" max="11367" width="8.1328125" style="256" customWidth="1"/>
    <col min="11368" max="11369" width="7.59765625" style="256" customWidth="1"/>
    <col min="11370" max="11370" width="6.73046875" style="256" customWidth="1"/>
    <col min="11371" max="11371" width="4" style="256" customWidth="1"/>
    <col min="11372" max="11372" width="7.265625" style="256" customWidth="1"/>
    <col min="11373" max="11373" width="4" style="256" customWidth="1"/>
    <col min="11374" max="11374" width="13" style="256" customWidth="1"/>
    <col min="11375" max="11375" width="7.73046875" style="256" customWidth="1"/>
    <col min="11376" max="11376" width="5.59765625" style="256" customWidth="1"/>
    <col min="11377" max="11377" width="5.73046875" style="256" customWidth="1"/>
    <col min="11378" max="11378" width="8.1328125" style="256" customWidth="1"/>
    <col min="11379" max="11380" width="7.59765625" style="256" customWidth="1"/>
    <col min="11381" max="11381" width="6.73046875" style="256" customWidth="1"/>
    <col min="11382" max="11382" width="4" style="256" customWidth="1"/>
    <col min="11383" max="11383" width="7.265625" style="256" customWidth="1"/>
    <col min="11384" max="11384" width="4" style="256" customWidth="1"/>
    <col min="11385" max="11385" width="13" style="256" customWidth="1"/>
    <col min="11386" max="11386" width="7.73046875" style="256" customWidth="1"/>
    <col min="11387" max="11387" width="5.59765625" style="256" customWidth="1"/>
    <col min="11388" max="11388" width="5.73046875" style="256" customWidth="1"/>
    <col min="11389" max="11389" width="8.1328125" style="256" customWidth="1"/>
    <col min="11390" max="11391" width="7.59765625" style="256" customWidth="1"/>
    <col min="11392" max="11392" width="6.73046875" style="256" customWidth="1"/>
    <col min="11393" max="11393" width="4" style="256" customWidth="1"/>
    <col min="11394" max="11394" width="7.265625" style="256" customWidth="1"/>
    <col min="11395" max="11395" width="4" style="256" customWidth="1"/>
    <col min="11396" max="11396" width="13" style="256" customWidth="1"/>
    <col min="11397" max="11397" width="7.73046875" style="256" customWidth="1"/>
    <col min="11398" max="11398" width="5.59765625" style="256" customWidth="1"/>
    <col min="11399" max="11399" width="5.73046875" style="256" customWidth="1"/>
    <col min="11400" max="11400" width="8.1328125" style="256" customWidth="1"/>
    <col min="11401" max="11402" width="7.59765625" style="256" customWidth="1"/>
    <col min="11403" max="11403" width="6.73046875" style="256" customWidth="1"/>
    <col min="11404" max="11404" width="4" style="256" customWidth="1"/>
    <col min="11405" max="11405" width="7.265625" style="256" customWidth="1"/>
    <col min="11406" max="11406" width="4" style="256" customWidth="1"/>
    <col min="11407" max="11407" width="13" style="256" customWidth="1"/>
    <col min="11408" max="11408" width="7.73046875" style="256" customWidth="1"/>
    <col min="11409" max="11409" width="5.59765625" style="256" customWidth="1"/>
    <col min="11410" max="11411" width="9.1328125" style="256"/>
    <col min="11412" max="11412" width="6.59765625" style="256" customWidth="1"/>
    <col min="11413" max="11413" width="8.73046875" style="256" customWidth="1"/>
    <col min="11414" max="11414" width="7.3984375" style="256" customWidth="1"/>
    <col min="11415" max="11415" width="7.265625" style="256" customWidth="1"/>
    <col min="11416" max="11416" width="7.73046875" style="256" customWidth="1"/>
    <col min="11417" max="11417" width="4.3984375" style="256" customWidth="1"/>
    <col min="11418" max="11418" width="9.1328125" style="256"/>
    <col min="11419" max="11419" width="6" style="256" customWidth="1"/>
    <col min="11420" max="11420" width="12.265625" style="256" customWidth="1"/>
    <col min="11421" max="11421" width="8" style="256" customWidth="1"/>
    <col min="11422" max="11424" width="9.1328125" style="256"/>
    <col min="11425" max="11425" width="7.73046875" style="256" customWidth="1"/>
    <col min="11426" max="11426" width="8.265625" style="256" customWidth="1"/>
    <col min="11427" max="11427" width="7.1328125" style="256" customWidth="1"/>
    <col min="11428" max="11428" width="7.59765625" style="256" customWidth="1"/>
    <col min="11429" max="11429" width="7.3984375" style="256" customWidth="1"/>
    <col min="11430" max="11430" width="4.86328125" style="256" customWidth="1"/>
    <col min="11431" max="11431" width="9.1328125" style="256"/>
    <col min="11432" max="11432" width="5" style="256" customWidth="1"/>
    <col min="11433" max="11433" width="12.265625" style="256" customWidth="1"/>
    <col min="11434" max="11434" width="7.86328125" style="256" customWidth="1"/>
    <col min="11435" max="11437" width="9.1328125" style="256"/>
    <col min="11438" max="11438" width="7.265625" style="256" customWidth="1"/>
    <col min="11439" max="11439" width="8.1328125" style="256" customWidth="1"/>
    <col min="11440" max="11440" width="6.86328125" style="256" customWidth="1"/>
    <col min="11441" max="11441" width="8" style="256" customWidth="1"/>
    <col min="11442" max="11442" width="7.3984375" style="256" customWidth="1"/>
    <col min="11443" max="11443" width="4.59765625" style="256" customWidth="1"/>
    <col min="11444" max="11444" width="9.1328125" style="256"/>
    <col min="11445" max="11445" width="4.1328125" style="256" customWidth="1"/>
    <col min="11446" max="11446" width="12" style="256" customWidth="1"/>
    <col min="11447" max="11447" width="8.1328125" style="256" customWidth="1"/>
    <col min="11448" max="11450" width="9.1328125" style="256"/>
    <col min="11451" max="11451" width="5.3984375" style="256" customWidth="1"/>
    <col min="11452" max="11452" width="7.73046875" style="256" customWidth="1"/>
    <col min="11453" max="11453" width="5.1328125" style="256" customWidth="1"/>
    <col min="11454" max="11454" width="7.3984375" style="256" customWidth="1"/>
    <col min="11455" max="11455" width="7.1328125" style="256" customWidth="1"/>
    <col min="11456" max="11456" width="4.265625" style="256" customWidth="1"/>
    <col min="11457" max="11457" width="9.1328125" style="256"/>
    <col min="11458" max="11458" width="5.1328125" style="256" customWidth="1"/>
    <col min="11459" max="11459" width="12.265625" style="256" customWidth="1"/>
    <col min="11460" max="11460" width="7.73046875" style="256" customWidth="1"/>
    <col min="11461" max="11462" width="9.1328125" style="256"/>
    <col min="11463" max="11463" width="6.73046875" style="256" customWidth="1"/>
    <col min="11464" max="11464" width="7.59765625" style="256" customWidth="1"/>
    <col min="11465" max="11465" width="6.265625" style="256" customWidth="1"/>
    <col min="11466" max="11466" width="8.1328125" style="256" customWidth="1"/>
    <col min="11467" max="11467" width="7.1328125" style="256" customWidth="1"/>
    <col min="11468" max="11468" width="4.3984375" style="256" customWidth="1"/>
    <col min="11469" max="11469" width="9.1328125" style="256"/>
    <col min="11470" max="11470" width="3.86328125" style="256" customWidth="1"/>
    <col min="11471" max="11471" width="12.265625" style="256" customWidth="1"/>
    <col min="11472" max="11472" width="8.3984375" style="256" customWidth="1"/>
    <col min="11473" max="11474" width="9.1328125" style="256"/>
    <col min="11475" max="11475" width="8.1328125" style="256" customWidth="1"/>
    <col min="11476" max="11476" width="8.3984375" style="256" customWidth="1"/>
    <col min="11477" max="11477" width="7" style="256" customWidth="1"/>
    <col min="11478" max="11478" width="8.3984375" style="256" customWidth="1"/>
    <col min="11479" max="11479" width="9.1328125" style="256"/>
    <col min="11480" max="11480" width="6.1328125" style="256" customWidth="1"/>
    <col min="11481" max="11481" width="9.1328125" style="256"/>
    <col min="11482" max="11482" width="6.73046875" style="256" customWidth="1"/>
    <col min="11483" max="11499" width="9.1328125" style="256"/>
    <col min="11500" max="11500" width="5.59765625" style="256" customWidth="1"/>
    <col min="11501" max="11501" width="5.73046875" style="256" customWidth="1"/>
    <col min="11502" max="11502" width="8.1328125" style="256" customWidth="1"/>
    <col min="11503" max="11504" width="7.59765625" style="256" customWidth="1"/>
    <col min="11505" max="11505" width="6.73046875" style="256" customWidth="1"/>
    <col min="11506" max="11506" width="4" style="256" customWidth="1"/>
    <col min="11507" max="11507" width="7.265625" style="256" customWidth="1"/>
    <col min="11508" max="11508" width="4" style="256" customWidth="1"/>
    <col min="11509" max="11509" width="13" style="256" customWidth="1"/>
    <col min="11510" max="11510" width="8" style="256" customWidth="1"/>
    <col min="11511" max="11511" width="5.59765625" style="256" customWidth="1"/>
    <col min="11512" max="11512" width="5.73046875" style="256" customWidth="1"/>
    <col min="11513" max="11513" width="8.1328125" style="256" customWidth="1"/>
    <col min="11514" max="11515" width="7.59765625" style="256" customWidth="1"/>
    <col min="11516" max="11516" width="6.73046875" style="256" customWidth="1"/>
    <col min="11517" max="11517" width="4" style="256" customWidth="1"/>
    <col min="11518" max="11518" width="7.265625" style="256" customWidth="1"/>
    <col min="11519" max="11519" width="4" style="256" customWidth="1"/>
    <col min="11520" max="11520" width="13" style="256" customWidth="1"/>
    <col min="11521" max="11521" width="7.73046875" style="256" customWidth="1"/>
    <col min="11522" max="11522" width="5.59765625" style="256" customWidth="1"/>
    <col min="11523" max="11523" width="5.73046875" style="256" customWidth="1"/>
    <col min="11524" max="11524" width="8.1328125" style="256" customWidth="1"/>
    <col min="11525" max="11526" width="7.59765625" style="256" customWidth="1"/>
    <col min="11527" max="11527" width="6.73046875" style="256" customWidth="1"/>
    <col min="11528" max="11528" width="4" style="256" customWidth="1"/>
    <col min="11529" max="11529" width="7.265625" style="256" customWidth="1"/>
    <col min="11530" max="11530" width="4" style="256" customWidth="1"/>
    <col min="11531" max="11531" width="13" style="256" customWidth="1"/>
    <col min="11532" max="11532" width="7.73046875" style="256" customWidth="1"/>
    <col min="11533" max="11533" width="5.59765625" style="256" customWidth="1"/>
    <col min="11534" max="11534" width="5.73046875" style="256" customWidth="1"/>
    <col min="11535" max="11535" width="8.1328125" style="256" customWidth="1"/>
    <col min="11536" max="11537" width="7.59765625" style="256" customWidth="1"/>
    <col min="11538" max="11538" width="6.73046875" style="256" customWidth="1"/>
    <col min="11539" max="11539" width="4" style="256" customWidth="1"/>
    <col min="11540" max="11540" width="7.265625" style="256" customWidth="1"/>
    <col min="11541" max="11541" width="4" style="256" customWidth="1"/>
    <col min="11542" max="11542" width="13" style="256" customWidth="1"/>
    <col min="11543" max="11543" width="7.73046875" style="256" customWidth="1"/>
    <col min="11544" max="11544" width="5.59765625" style="256" customWidth="1"/>
    <col min="11545" max="11545" width="5.73046875" style="256" customWidth="1"/>
    <col min="11546" max="11546" width="8.1328125" style="256" customWidth="1"/>
    <col min="11547" max="11548" width="7.59765625" style="256" customWidth="1"/>
    <col min="11549" max="11549" width="6.73046875" style="256" customWidth="1"/>
    <col min="11550" max="11550" width="4" style="256" customWidth="1"/>
    <col min="11551" max="11551" width="7.265625" style="256" customWidth="1"/>
    <col min="11552" max="11552" width="4" style="256" customWidth="1"/>
    <col min="11553" max="11553" width="13" style="256" customWidth="1"/>
    <col min="11554" max="11554" width="7.73046875" style="256" customWidth="1"/>
    <col min="11555" max="11555" width="5.59765625" style="256" customWidth="1"/>
    <col min="11556" max="11556" width="5.73046875" style="256" customWidth="1"/>
    <col min="11557" max="11557" width="8.1328125" style="256" customWidth="1"/>
    <col min="11558" max="11559" width="7.59765625" style="256" customWidth="1"/>
    <col min="11560" max="11560" width="6.73046875" style="256" customWidth="1"/>
    <col min="11561" max="11561" width="4" style="256" customWidth="1"/>
    <col min="11562" max="11562" width="7.265625" style="256" customWidth="1"/>
    <col min="11563" max="11563" width="4" style="256" customWidth="1"/>
    <col min="11564" max="11564" width="13" style="256" customWidth="1"/>
    <col min="11565" max="11565" width="7.73046875" style="256" customWidth="1"/>
    <col min="11566" max="11566" width="5.59765625" style="256" customWidth="1"/>
    <col min="11567" max="11567" width="5.73046875" style="256" customWidth="1"/>
    <col min="11568" max="11568" width="8.1328125" style="256" customWidth="1"/>
    <col min="11569" max="11570" width="7.59765625" style="256" customWidth="1"/>
    <col min="11571" max="11571" width="6.73046875" style="256" customWidth="1"/>
    <col min="11572" max="11572" width="4" style="256" customWidth="1"/>
    <col min="11573" max="11573" width="7.265625" style="256" customWidth="1"/>
    <col min="11574" max="11574" width="4" style="256" customWidth="1"/>
    <col min="11575" max="11575" width="13" style="256" customWidth="1"/>
    <col min="11576" max="11576" width="7.73046875" style="256" customWidth="1"/>
    <col min="11577" max="11577" width="5.59765625" style="256" customWidth="1"/>
    <col min="11578" max="11578" width="5.73046875" style="256" customWidth="1"/>
    <col min="11579" max="11579" width="8.1328125" style="256" customWidth="1"/>
    <col min="11580" max="11581" width="7.59765625" style="256" customWidth="1"/>
    <col min="11582" max="11582" width="6.73046875" style="256" customWidth="1"/>
    <col min="11583" max="11583" width="4" style="256" customWidth="1"/>
    <col min="11584" max="11584" width="7.265625" style="256" customWidth="1"/>
    <col min="11585" max="11585" width="4.3984375" style="256" customWidth="1"/>
    <col min="11586" max="11586" width="13" style="256" customWidth="1"/>
    <col min="11587" max="11587" width="7.73046875" style="256" customWidth="1"/>
    <col min="11588" max="11588" width="5.59765625" style="256" customWidth="1"/>
    <col min="11589" max="11589" width="5.73046875" style="256" customWidth="1"/>
    <col min="11590" max="11590" width="8.1328125" style="256" customWidth="1"/>
    <col min="11591" max="11592" width="7.59765625" style="256" customWidth="1"/>
    <col min="11593" max="11593" width="6.73046875" style="256" customWidth="1"/>
    <col min="11594" max="11594" width="4" style="256" customWidth="1"/>
    <col min="11595" max="11595" width="7.265625" style="256" customWidth="1"/>
    <col min="11596" max="11596" width="4" style="256" customWidth="1"/>
    <col min="11597" max="11597" width="13" style="256" customWidth="1"/>
    <col min="11598" max="11598" width="7.73046875" style="256" customWidth="1"/>
    <col min="11599" max="11599" width="5.59765625" style="256" customWidth="1"/>
    <col min="11600" max="11600" width="5.73046875" style="256" customWidth="1"/>
    <col min="11601" max="11601" width="8.1328125" style="256" customWidth="1"/>
    <col min="11602" max="11603" width="7.59765625" style="256" customWidth="1"/>
    <col min="11604" max="11604" width="6.73046875" style="256" customWidth="1"/>
    <col min="11605" max="11605" width="4" style="256" customWidth="1"/>
    <col min="11606" max="11606" width="7.265625" style="256" customWidth="1"/>
    <col min="11607" max="11607" width="4" style="256" customWidth="1"/>
    <col min="11608" max="11608" width="13" style="256" customWidth="1"/>
    <col min="11609" max="11609" width="7.73046875" style="256" customWidth="1"/>
    <col min="11610" max="11610" width="5.59765625" style="256" customWidth="1"/>
    <col min="11611" max="11611" width="5.73046875" style="256" customWidth="1"/>
    <col min="11612" max="11612" width="8.1328125" style="256" customWidth="1"/>
    <col min="11613" max="11614" width="7.59765625" style="256" customWidth="1"/>
    <col min="11615" max="11615" width="6.73046875" style="256" customWidth="1"/>
    <col min="11616" max="11616" width="4" style="256" customWidth="1"/>
    <col min="11617" max="11617" width="7.265625" style="256" customWidth="1"/>
    <col min="11618" max="11618" width="4" style="256" customWidth="1"/>
    <col min="11619" max="11619" width="13" style="256" customWidth="1"/>
    <col min="11620" max="11620" width="7.73046875" style="256" customWidth="1"/>
    <col min="11621" max="11621" width="5.59765625" style="256" customWidth="1"/>
    <col min="11622" max="11622" width="5.73046875" style="256" customWidth="1"/>
    <col min="11623" max="11623" width="8.1328125" style="256" customWidth="1"/>
    <col min="11624" max="11625" width="7.59765625" style="256" customWidth="1"/>
    <col min="11626" max="11626" width="6.73046875" style="256" customWidth="1"/>
    <col min="11627" max="11627" width="4" style="256" customWidth="1"/>
    <col min="11628" max="11628" width="7.265625" style="256" customWidth="1"/>
    <col min="11629" max="11629" width="4" style="256" customWidth="1"/>
    <col min="11630" max="11630" width="13" style="256" customWidth="1"/>
    <col min="11631" max="11631" width="7.73046875" style="256" customWidth="1"/>
    <col min="11632" max="11632" width="5.59765625" style="256" customWidth="1"/>
    <col min="11633" max="11633" width="5.73046875" style="256" customWidth="1"/>
    <col min="11634" max="11634" width="8.1328125" style="256" customWidth="1"/>
    <col min="11635" max="11636" width="7.59765625" style="256" customWidth="1"/>
    <col min="11637" max="11637" width="6.73046875" style="256" customWidth="1"/>
    <col min="11638" max="11638" width="4" style="256" customWidth="1"/>
    <col min="11639" max="11639" width="7.265625" style="256" customWidth="1"/>
    <col min="11640" max="11640" width="4" style="256" customWidth="1"/>
    <col min="11641" max="11641" width="13" style="256" customWidth="1"/>
    <col min="11642" max="11642" width="7.73046875" style="256" customWidth="1"/>
    <col min="11643" max="11643" width="5.59765625" style="256" customWidth="1"/>
    <col min="11644" max="11644" width="5.73046875" style="256" customWidth="1"/>
    <col min="11645" max="11645" width="8.1328125" style="256" customWidth="1"/>
    <col min="11646" max="11647" width="7.59765625" style="256" customWidth="1"/>
    <col min="11648" max="11648" width="6.73046875" style="256" customWidth="1"/>
    <col min="11649" max="11649" width="4" style="256" customWidth="1"/>
    <col min="11650" max="11650" width="7.265625" style="256" customWidth="1"/>
    <col min="11651" max="11651" width="4" style="256" customWidth="1"/>
    <col min="11652" max="11652" width="13" style="256" customWidth="1"/>
    <col min="11653" max="11653" width="7.73046875" style="256" customWidth="1"/>
    <col min="11654" max="11654" width="5.59765625" style="256" customWidth="1"/>
    <col min="11655" max="11655" width="5.73046875" style="256" customWidth="1"/>
    <col min="11656" max="11656" width="8.1328125" style="256" customWidth="1"/>
    <col min="11657" max="11658" width="7.59765625" style="256" customWidth="1"/>
    <col min="11659" max="11659" width="6.73046875" style="256" customWidth="1"/>
    <col min="11660" max="11660" width="4" style="256" customWidth="1"/>
    <col min="11661" max="11661" width="7.265625" style="256" customWidth="1"/>
    <col min="11662" max="11662" width="4" style="256" customWidth="1"/>
    <col min="11663" max="11663" width="13" style="256" customWidth="1"/>
    <col min="11664" max="11664" width="7.73046875" style="256" customWidth="1"/>
    <col min="11665" max="11665" width="5.59765625" style="256" customWidth="1"/>
    <col min="11666" max="11667" width="9.1328125" style="256"/>
    <col min="11668" max="11668" width="6.59765625" style="256" customWidth="1"/>
    <col min="11669" max="11669" width="8.73046875" style="256" customWidth="1"/>
    <col min="11670" max="11670" width="7.3984375" style="256" customWidth="1"/>
    <col min="11671" max="11671" width="7.265625" style="256" customWidth="1"/>
    <col min="11672" max="11672" width="7.73046875" style="256" customWidth="1"/>
    <col min="11673" max="11673" width="4.3984375" style="256" customWidth="1"/>
    <col min="11674" max="11674" width="9.1328125" style="256"/>
    <col min="11675" max="11675" width="6" style="256" customWidth="1"/>
    <col min="11676" max="11676" width="12.265625" style="256" customWidth="1"/>
    <col min="11677" max="11677" width="8" style="256" customWidth="1"/>
    <col min="11678" max="11680" width="9.1328125" style="256"/>
    <col min="11681" max="11681" width="7.73046875" style="256" customWidth="1"/>
    <col min="11682" max="11682" width="8.265625" style="256" customWidth="1"/>
    <col min="11683" max="11683" width="7.1328125" style="256" customWidth="1"/>
    <col min="11684" max="11684" width="7.59765625" style="256" customWidth="1"/>
    <col min="11685" max="11685" width="7.3984375" style="256" customWidth="1"/>
    <col min="11686" max="11686" width="4.86328125" style="256" customWidth="1"/>
    <col min="11687" max="11687" width="9.1328125" style="256"/>
    <col min="11688" max="11688" width="5" style="256" customWidth="1"/>
    <col min="11689" max="11689" width="12.265625" style="256" customWidth="1"/>
    <col min="11690" max="11690" width="7.86328125" style="256" customWidth="1"/>
    <col min="11691" max="11693" width="9.1328125" style="256"/>
    <col min="11694" max="11694" width="7.265625" style="256" customWidth="1"/>
    <col min="11695" max="11695" width="8.1328125" style="256" customWidth="1"/>
    <col min="11696" max="11696" width="6.86328125" style="256" customWidth="1"/>
    <col min="11697" max="11697" width="8" style="256" customWidth="1"/>
    <col min="11698" max="11698" width="7.3984375" style="256" customWidth="1"/>
    <col min="11699" max="11699" width="4.59765625" style="256" customWidth="1"/>
    <col min="11700" max="11700" width="9.1328125" style="256"/>
    <col min="11701" max="11701" width="4.1328125" style="256" customWidth="1"/>
    <col min="11702" max="11702" width="12" style="256" customWidth="1"/>
    <col min="11703" max="11703" width="8.1328125" style="256" customWidth="1"/>
    <col min="11704" max="11706" width="9.1328125" style="256"/>
    <col min="11707" max="11707" width="5.3984375" style="256" customWidth="1"/>
    <col min="11708" max="11708" width="7.73046875" style="256" customWidth="1"/>
    <col min="11709" max="11709" width="5.1328125" style="256" customWidth="1"/>
    <col min="11710" max="11710" width="7.3984375" style="256" customWidth="1"/>
    <col min="11711" max="11711" width="7.1328125" style="256" customWidth="1"/>
    <col min="11712" max="11712" width="4.265625" style="256" customWidth="1"/>
    <col min="11713" max="11713" width="9.1328125" style="256"/>
    <col min="11714" max="11714" width="5.1328125" style="256" customWidth="1"/>
    <col min="11715" max="11715" width="12.265625" style="256" customWidth="1"/>
    <col min="11716" max="11716" width="7.73046875" style="256" customWidth="1"/>
    <col min="11717" max="11718" width="9.1328125" style="256"/>
    <col min="11719" max="11719" width="6.73046875" style="256" customWidth="1"/>
    <col min="11720" max="11720" width="7.59765625" style="256" customWidth="1"/>
    <col min="11721" max="11721" width="6.265625" style="256" customWidth="1"/>
    <col min="11722" max="11722" width="8.1328125" style="256" customWidth="1"/>
    <col min="11723" max="11723" width="7.1328125" style="256" customWidth="1"/>
    <col min="11724" max="11724" width="4.3984375" style="256" customWidth="1"/>
    <col min="11725" max="11725" width="9.1328125" style="256"/>
    <col min="11726" max="11726" width="3.86328125" style="256" customWidth="1"/>
    <col min="11727" max="11727" width="12.265625" style="256" customWidth="1"/>
    <col min="11728" max="11728" width="8.3984375" style="256" customWidth="1"/>
    <col min="11729" max="11730" width="9.1328125" style="256"/>
    <col min="11731" max="11731" width="8.1328125" style="256" customWidth="1"/>
    <col min="11732" max="11732" width="8.3984375" style="256" customWidth="1"/>
    <col min="11733" max="11733" width="7" style="256" customWidth="1"/>
    <col min="11734" max="11734" width="8.3984375" style="256" customWidth="1"/>
    <col min="11735" max="11735" width="9.1328125" style="256"/>
    <col min="11736" max="11736" width="6.1328125" style="256" customWidth="1"/>
    <col min="11737" max="11737" width="9.1328125" style="256"/>
    <col min="11738" max="11738" width="6.73046875" style="256" customWidth="1"/>
    <col min="11739" max="11755" width="9.1328125" style="256"/>
    <col min="11756" max="11756" width="5.59765625" style="256" customWidth="1"/>
    <col min="11757" max="11757" width="5.73046875" style="256" customWidth="1"/>
    <col min="11758" max="11758" width="8.1328125" style="256" customWidth="1"/>
    <col min="11759" max="11760" width="7.59765625" style="256" customWidth="1"/>
    <col min="11761" max="11761" width="6.73046875" style="256" customWidth="1"/>
    <col min="11762" max="11762" width="4" style="256" customWidth="1"/>
    <col min="11763" max="11763" width="7.265625" style="256" customWidth="1"/>
    <col min="11764" max="11764" width="4" style="256" customWidth="1"/>
    <col min="11765" max="11765" width="13" style="256" customWidth="1"/>
    <col min="11766" max="11766" width="8" style="256" customWidth="1"/>
    <col min="11767" max="11767" width="5.59765625" style="256" customWidth="1"/>
    <col min="11768" max="11768" width="5.73046875" style="256" customWidth="1"/>
    <col min="11769" max="11769" width="8.1328125" style="256" customWidth="1"/>
    <col min="11770" max="11771" width="7.59765625" style="256" customWidth="1"/>
    <col min="11772" max="11772" width="6.73046875" style="256" customWidth="1"/>
    <col min="11773" max="11773" width="4" style="256" customWidth="1"/>
    <col min="11774" max="11774" width="7.265625" style="256" customWidth="1"/>
    <col min="11775" max="11775" width="4" style="256" customWidth="1"/>
    <col min="11776" max="11776" width="13" style="256" customWidth="1"/>
    <col min="11777" max="11777" width="7.73046875" style="256" customWidth="1"/>
    <col min="11778" max="11778" width="5.59765625" style="256" customWidth="1"/>
    <col min="11779" max="11779" width="5.73046875" style="256" customWidth="1"/>
    <col min="11780" max="11780" width="8.1328125" style="256" customWidth="1"/>
    <col min="11781" max="11782" width="7.59765625" style="256" customWidth="1"/>
    <col min="11783" max="11783" width="6.73046875" style="256" customWidth="1"/>
    <col min="11784" max="11784" width="4" style="256" customWidth="1"/>
    <col min="11785" max="11785" width="7.265625" style="256" customWidth="1"/>
    <col min="11786" max="11786" width="4" style="256" customWidth="1"/>
    <col min="11787" max="11787" width="13" style="256" customWidth="1"/>
    <col min="11788" max="11788" width="7.73046875" style="256" customWidth="1"/>
    <col min="11789" max="11789" width="5.59765625" style="256" customWidth="1"/>
    <col min="11790" max="11790" width="5.73046875" style="256" customWidth="1"/>
    <col min="11791" max="11791" width="8.1328125" style="256" customWidth="1"/>
    <col min="11792" max="11793" width="7.59765625" style="256" customWidth="1"/>
    <col min="11794" max="11794" width="6.73046875" style="256" customWidth="1"/>
    <col min="11795" max="11795" width="4" style="256" customWidth="1"/>
    <col min="11796" max="11796" width="7.265625" style="256" customWidth="1"/>
    <col min="11797" max="11797" width="4" style="256" customWidth="1"/>
    <col min="11798" max="11798" width="13" style="256" customWidth="1"/>
    <col min="11799" max="11799" width="7.73046875" style="256" customWidth="1"/>
    <col min="11800" max="11800" width="5.59765625" style="256" customWidth="1"/>
    <col min="11801" max="11801" width="5.73046875" style="256" customWidth="1"/>
    <col min="11802" max="11802" width="8.1328125" style="256" customWidth="1"/>
    <col min="11803" max="11804" width="7.59765625" style="256" customWidth="1"/>
    <col min="11805" max="11805" width="6.73046875" style="256" customWidth="1"/>
    <col min="11806" max="11806" width="4" style="256" customWidth="1"/>
    <col min="11807" max="11807" width="7.265625" style="256" customWidth="1"/>
    <col min="11808" max="11808" width="4" style="256" customWidth="1"/>
    <col min="11809" max="11809" width="13" style="256" customWidth="1"/>
    <col min="11810" max="11810" width="7.73046875" style="256" customWidth="1"/>
    <col min="11811" max="11811" width="5.59765625" style="256" customWidth="1"/>
    <col min="11812" max="11812" width="5.73046875" style="256" customWidth="1"/>
    <col min="11813" max="11813" width="8.1328125" style="256" customWidth="1"/>
    <col min="11814" max="11815" width="7.59765625" style="256" customWidth="1"/>
    <col min="11816" max="11816" width="6.73046875" style="256" customWidth="1"/>
    <col min="11817" max="11817" width="4" style="256" customWidth="1"/>
    <col min="11818" max="11818" width="7.265625" style="256" customWidth="1"/>
    <col min="11819" max="11819" width="4" style="256" customWidth="1"/>
    <col min="11820" max="11820" width="13" style="256" customWidth="1"/>
    <col min="11821" max="11821" width="7.73046875" style="256" customWidth="1"/>
    <col min="11822" max="11822" width="5.59765625" style="256" customWidth="1"/>
    <col min="11823" max="11823" width="5.73046875" style="256" customWidth="1"/>
    <col min="11824" max="11824" width="8.1328125" style="256" customWidth="1"/>
    <col min="11825" max="11826" width="7.59765625" style="256" customWidth="1"/>
    <col min="11827" max="11827" width="6.73046875" style="256" customWidth="1"/>
    <col min="11828" max="11828" width="4" style="256" customWidth="1"/>
    <col min="11829" max="11829" width="7.265625" style="256" customWidth="1"/>
    <col min="11830" max="11830" width="4" style="256" customWidth="1"/>
    <col min="11831" max="11831" width="13" style="256" customWidth="1"/>
    <col min="11832" max="11832" width="7.73046875" style="256" customWidth="1"/>
    <col min="11833" max="11833" width="5.59765625" style="256" customWidth="1"/>
    <col min="11834" max="11834" width="5.73046875" style="256" customWidth="1"/>
    <col min="11835" max="11835" width="8.1328125" style="256" customWidth="1"/>
    <col min="11836" max="11837" width="7.59765625" style="256" customWidth="1"/>
    <col min="11838" max="11838" width="6.73046875" style="256" customWidth="1"/>
    <col min="11839" max="11839" width="4" style="256" customWidth="1"/>
    <col min="11840" max="11840" width="7.265625" style="256" customWidth="1"/>
    <col min="11841" max="11841" width="4.3984375" style="256" customWidth="1"/>
    <col min="11842" max="11842" width="13" style="256" customWidth="1"/>
    <col min="11843" max="11843" width="7.73046875" style="256" customWidth="1"/>
    <col min="11844" max="11844" width="5.59765625" style="256" customWidth="1"/>
    <col min="11845" max="11845" width="5.73046875" style="256" customWidth="1"/>
    <col min="11846" max="11846" width="8.1328125" style="256" customWidth="1"/>
    <col min="11847" max="11848" width="7.59765625" style="256" customWidth="1"/>
    <col min="11849" max="11849" width="6.73046875" style="256" customWidth="1"/>
    <col min="11850" max="11850" width="4" style="256" customWidth="1"/>
    <col min="11851" max="11851" width="7.265625" style="256" customWidth="1"/>
    <col min="11852" max="11852" width="4" style="256" customWidth="1"/>
    <col min="11853" max="11853" width="13" style="256" customWidth="1"/>
    <col min="11854" max="11854" width="7.73046875" style="256" customWidth="1"/>
    <col min="11855" max="11855" width="5.59765625" style="256" customWidth="1"/>
    <col min="11856" max="11856" width="5.73046875" style="256" customWidth="1"/>
    <col min="11857" max="11857" width="8.1328125" style="256" customWidth="1"/>
    <col min="11858" max="11859" width="7.59765625" style="256" customWidth="1"/>
    <col min="11860" max="11860" width="6.73046875" style="256" customWidth="1"/>
    <col min="11861" max="11861" width="4" style="256" customWidth="1"/>
    <col min="11862" max="11862" width="7.265625" style="256" customWidth="1"/>
    <col min="11863" max="11863" width="4" style="256" customWidth="1"/>
    <col min="11864" max="11864" width="13" style="256" customWidth="1"/>
    <col min="11865" max="11865" width="7.73046875" style="256" customWidth="1"/>
    <col min="11866" max="11866" width="5.59765625" style="256" customWidth="1"/>
    <col min="11867" max="11867" width="5.73046875" style="256" customWidth="1"/>
    <col min="11868" max="11868" width="8.1328125" style="256" customWidth="1"/>
    <col min="11869" max="11870" width="7.59765625" style="256" customWidth="1"/>
    <col min="11871" max="11871" width="6.73046875" style="256" customWidth="1"/>
    <col min="11872" max="11872" width="4" style="256" customWidth="1"/>
    <col min="11873" max="11873" width="7.265625" style="256" customWidth="1"/>
    <col min="11874" max="11874" width="4" style="256" customWidth="1"/>
    <col min="11875" max="11875" width="13" style="256" customWidth="1"/>
    <col min="11876" max="11876" width="7.73046875" style="256" customWidth="1"/>
    <col min="11877" max="11877" width="5.59765625" style="256" customWidth="1"/>
    <col min="11878" max="11878" width="5.73046875" style="256" customWidth="1"/>
    <col min="11879" max="11879" width="8.1328125" style="256" customWidth="1"/>
    <col min="11880" max="11881" width="7.59765625" style="256" customWidth="1"/>
    <col min="11882" max="11882" width="6.73046875" style="256" customWidth="1"/>
    <col min="11883" max="11883" width="4" style="256" customWidth="1"/>
    <col min="11884" max="11884" width="7.265625" style="256" customWidth="1"/>
    <col min="11885" max="11885" width="4" style="256" customWidth="1"/>
    <col min="11886" max="11886" width="13" style="256" customWidth="1"/>
    <col min="11887" max="11887" width="7.73046875" style="256" customWidth="1"/>
    <col min="11888" max="11888" width="5.59765625" style="256" customWidth="1"/>
    <col min="11889" max="11889" width="5.73046875" style="256" customWidth="1"/>
    <col min="11890" max="11890" width="8.1328125" style="256" customWidth="1"/>
    <col min="11891" max="11892" width="7.59765625" style="256" customWidth="1"/>
    <col min="11893" max="11893" width="6.73046875" style="256" customWidth="1"/>
    <col min="11894" max="11894" width="4" style="256" customWidth="1"/>
    <col min="11895" max="11895" width="7.265625" style="256" customWidth="1"/>
    <col min="11896" max="11896" width="4" style="256" customWidth="1"/>
    <col min="11897" max="11897" width="13" style="256" customWidth="1"/>
    <col min="11898" max="11898" width="7.73046875" style="256" customWidth="1"/>
    <col min="11899" max="11899" width="5.59765625" style="256" customWidth="1"/>
    <col min="11900" max="11900" width="5.73046875" style="256" customWidth="1"/>
    <col min="11901" max="11901" width="8.1328125" style="256" customWidth="1"/>
    <col min="11902" max="11903" width="7.59765625" style="256" customWidth="1"/>
    <col min="11904" max="11904" width="6.73046875" style="256" customWidth="1"/>
    <col min="11905" max="11905" width="4" style="256" customWidth="1"/>
    <col min="11906" max="11906" width="7.265625" style="256" customWidth="1"/>
    <col min="11907" max="11907" width="4" style="256" customWidth="1"/>
    <col min="11908" max="11908" width="13" style="256" customWidth="1"/>
    <col min="11909" max="11909" width="7.73046875" style="256" customWidth="1"/>
    <col min="11910" max="11910" width="5.59765625" style="256" customWidth="1"/>
    <col min="11911" max="11911" width="5.73046875" style="256" customWidth="1"/>
    <col min="11912" max="11912" width="8.1328125" style="256" customWidth="1"/>
    <col min="11913" max="11914" width="7.59765625" style="256" customWidth="1"/>
    <col min="11915" max="11915" width="6.73046875" style="256" customWidth="1"/>
    <col min="11916" max="11916" width="4" style="256" customWidth="1"/>
    <col min="11917" max="11917" width="7.265625" style="256" customWidth="1"/>
    <col min="11918" max="11918" width="4" style="256" customWidth="1"/>
    <col min="11919" max="11919" width="13" style="256" customWidth="1"/>
    <col min="11920" max="11920" width="7.73046875" style="256" customWidth="1"/>
    <col min="11921" max="11921" width="5.59765625" style="256" customWidth="1"/>
    <col min="11922" max="11923" width="9.1328125" style="256"/>
    <col min="11924" max="11924" width="6.59765625" style="256" customWidth="1"/>
    <col min="11925" max="11925" width="8.73046875" style="256" customWidth="1"/>
    <col min="11926" max="11926" width="7.3984375" style="256" customWidth="1"/>
    <col min="11927" max="11927" width="7.265625" style="256" customWidth="1"/>
    <col min="11928" max="11928" width="7.73046875" style="256" customWidth="1"/>
    <col min="11929" max="11929" width="4.3984375" style="256" customWidth="1"/>
    <col min="11930" max="11930" width="9.1328125" style="256"/>
    <col min="11931" max="11931" width="6" style="256" customWidth="1"/>
    <col min="11932" max="11932" width="12.265625" style="256" customWidth="1"/>
    <col min="11933" max="11933" width="8" style="256" customWidth="1"/>
    <col min="11934" max="11936" width="9.1328125" style="256"/>
    <col min="11937" max="11937" width="7.73046875" style="256" customWidth="1"/>
    <col min="11938" max="11938" width="8.265625" style="256" customWidth="1"/>
    <col min="11939" max="11939" width="7.1328125" style="256" customWidth="1"/>
    <col min="11940" max="11940" width="7.59765625" style="256" customWidth="1"/>
    <col min="11941" max="11941" width="7.3984375" style="256" customWidth="1"/>
    <col min="11942" max="11942" width="4.86328125" style="256" customWidth="1"/>
    <col min="11943" max="11943" width="9.1328125" style="256"/>
    <col min="11944" max="11944" width="5" style="256" customWidth="1"/>
    <col min="11945" max="11945" width="12.265625" style="256" customWidth="1"/>
    <col min="11946" max="11946" width="7.86328125" style="256" customWidth="1"/>
    <col min="11947" max="11949" width="9.1328125" style="256"/>
    <col min="11950" max="11950" width="7.265625" style="256" customWidth="1"/>
    <col min="11951" max="11951" width="8.1328125" style="256" customWidth="1"/>
    <col min="11952" max="11952" width="6.86328125" style="256" customWidth="1"/>
    <col min="11953" max="11953" width="8" style="256" customWidth="1"/>
    <col min="11954" max="11954" width="7.3984375" style="256" customWidth="1"/>
    <col min="11955" max="11955" width="4.59765625" style="256" customWidth="1"/>
    <col min="11956" max="11956" width="9.1328125" style="256"/>
    <col min="11957" max="11957" width="4.1328125" style="256" customWidth="1"/>
    <col min="11958" max="11958" width="12" style="256" customWidth="1"/>
    <col min="11959" max="11959" width="8.1328125" style="256" customWidth="1"/>
    <col min="11960" max="11962" width="9.1328125" style="256"/>
    <col min="11963" max="11963" width="5.3984375" style="256" customWidth="1"/>
    <col min="11964" max="11964" width="7.73046875" style="256" customWidth="1"/>
    <col min="11965" max="11965" width="5.1328125" style="256" customWidth="1"/>
    <col min="11966" max="11966" width="7.3984375" style="256" customWidth="1"/>
    <col min="11967" max="11967" width="7.1328125" style="256" customWidth="1"/>
    <col min="11968" max="11968" width="4.265625" style="256" customWidth="1"/>
    <col min="11969" max="11969" width="9.1328125" style="256"/>
    <col min="11970" max="11970" width="5.1328125" style="256" customWidth="1"/>
    <col min="11971" max="11971" width="12.265625" style="256" customWidth="1"/>
    <col min="11972" max="11972" width="7.73046875" style="256" customWidth="1"/>
    <col min="11973" max="11974" width="9.1328125" style="256"/>
    <col min="11975" max="11975" width="6.73046875" style="256" customWidth="1"/>
    <col min="11976" max="11976" width="7.59765625" style="256" customWidth="1"/>
    <col min="11977" max="11977" width="6.265625" style="256" customWidth="1"/>
    <col min="11978" max="11978" width="8.1328125" style="256" customWidth="1"/>
    <col min="11979" max="11979" width="7.1328125" style="256" customWidth="1"/>
    <col min="11980" max="11980" width="4.3984375" style="256" customWidth="1"/>
    <col min="11981" max="11981" width="9.1328125" style="256"/>
    <col min="11982" max="11982" width="3.86328125" style="256" customWidth="1"/>
    <col min="11983" max="11983" width="12.265625" style="256" customWidth="1"/>
    <col min="11984" max="11984" width="8.3984375" style="256" customWidth="1"/>
    <col min="11985" max="11986" width="9.1328125" style="256"/>
    <col min="11987" max="11987" width="8.1328125" style="256" customWidth="1"/>
    <col min="11988" max="11988" width="8.3984375" style="256" customWidth="1"/>
    <col min="11989" max="11989" width="7" style="256" customWidth="1"/>
    <col min="11990" max="11990" width="8.3984375" style="256" customWidth="1"/>
    <col min="11991" max="11991" width="9.1328125" style="256"/>
    <col min="11992" max="11992" width="6.1328125" style="256" customWidth="1"/>
    <col min="11993" max="11993" width="9.1328125" style="256"/>
    <col min="11994" max="11994" width="6.73046875" style="256" customWidth="1"/>
    <col min="11995" max="12011" width="9.1328125" style="256"/>
    <col min="12012" max="12012" width="5.59765625" style="256" customWidth="1"/>
    <col min="12013" max="12013" width="5.73046875" style="256" customWidth="1"/>
    <col min="12014" max="12014" width="8.1328125" style="256" customWidth="1"/>
    <col min="12015" max="12016" width="7.59765625" style="256" customWidth="1"/>
    <col min="12017" max="12017" width="6.73046875" style="256" customWidth="1"/>
    <col min="12018" max="12018" width="4" style="256" customWidth="1"/>
    <col min="12019" max="12019" width="7.265625" style="256" customWidth="1"/>
    <col min="12020" max="12020" width="4" style="256" customWidth="1"/>
    <col min="12021" max="12021" width="13" style="256" customWidth="1"/>
    <col min="12022" max="12022" width="8" style="256" customWidth="1"/>
    <col min="12023" max="12023" width="5.59765625" style="256" customWidth="1"/>
    <col min="12024" max="12024" width="5.73046875" style="256" customWidth="1"/>
    <col min="12025" max="12025" width="8.1328125" style="256" customWidth="1"/>
    <col min="12026" max="12027" width="7.59765625" style="256" customWidth="1"/>
    <col min="12028" max="12028" width="6.73046875" style="256" customWidth="1"/>
    <col min="12029" max="12029" width="4" style="256" customWidth="1"/>
    <col min="12030" max="12030" width="7.265625" style="256" customWidth="1"/>
    <col min="12031" max="12031" width="4" style="256" customWidth="1"/>
    <col min="12032" max="12032" width="13" style="256" customWidth="1"/>
    <col min="12033" max="12033" width="7.73046875" style="256" customWidth="1"/>
    <col min="12034" max="12034" width="5.59765625" style="256" customWidth="1"/>
    <col min="12035" max="12035" width="5.73046875" style="256" customWidth="1"/>
    <col min="12036" max="12036" width="8.1328125" style="256" customWidth="1"/>
    <col min="12037" max="12038" width="7.59765625" style="256" customWidth="1"/>
    <col min="12039" max="12039" width="6.73046875" style="256" customWidth="1"/>
    <col min="12040" max="12040" width="4" style="256" customWidth="1"/>
    <col min="12041" max="12041" width="7.265625" style="256" customWidth="1"/>
    <col min="12042" max="12042" width="4" style="256" customWidth="1"/>
    <col min="12043" max="12043" width="13" style="256" customWidth="1"/>
    <col min="12044" max="12044" width="7.73046875" style="256" customWidth="1"/>
    <col min="12045" max="12045" width="5.59765625" style="256" customWidth="1"/>
    <col min="12046" max="12046" width="5.73046875" style="256" customWidth="1"/>
    <col min="12047" max="12047" width="8.1328125" style="256" customWidth="1"/>
    <col min="12048" max="12049" width="7.59765625" style="256" customWidth="1"/>
    <col min="12050" max="12050" width="6.73046875" style="256" customWidth="1"/>
    <col min="12051" max="12051" width="4" style="256" customWidth="1"/>
    <col min="12052" max="12052" width="7.265625" style="256" customWidth="1"/>
    <col min="12053" max="12053" width="4" style="256" customWidth="1"/>
    <col min="12054" max="12054" width="13" style="256" customWidth="1"/>
    <col min="12055" max="12055" width="7.73046875" style="256" customWidth="1"/>
    <col min="12056" max="12056" width="5.59765625" style="256" customWidth="1"/>
    <col min="12057" max="12057" width="5.73046875" style="256" customWidth="1"/>
    <col min="12058" max="12058" width="8.1328125" style="256" customWidth="1"/>
    <col min="12059" max="12060" width="7.59765625" style="256" customWidth="1"/>
    <col min="12061" max="12061" width="6.73046875" style="256" customWidth="1"/>
    <col min="12062" max="12062" width="4" style="256" customWidth="1"/>
    <col min="12063" max="12063" width="7.265625" style="256" customWidth="1"/>
    <col min="12064" max="12064" width="4" style="256" customWidth="1"/>
    <col min="12065" max="12065" width="13" style="256" customWidth="1"/>
    <col min="12066" max="12066" width="7.73046875" style="256" customWidth="1"/>
    <col min="12067" max="12067" width="5.59765625" style="256" customWidth="1"/>
    <col min="12068" max="12068" width="5.73046875" style="256" customWidth="1"/>
    <col min="12069" max="12069" width="8.1328125" style="256" customWidth="1"/>
    <col min="12070" max="12071" width="7.59765625" style="256" customWidth="1"/>
    <col min="12072" max="12072" width="6.73046875" style="256" customWidth="1"/>
    <col min="12073" max="12073" width="4" style="256" customWidth="1"/>
    <col min="12074" max="12074" width="7.265625" style="256" customWidth="1"/>
    <col min="12075" max="12075" width="4" style="256" customWidth="1"/>
    <col min="12076" max="12076" width="13" style="256" customWidth="1"/>
    <col min="12077" max="12077" width="7.73046875" style="256" customWidth="1"/>
    <col min="12078" max="12078" width="5.59765625" style="256" customWidth="1"/>
    <col min="12079" max="12079" width="5.73046875" style="256" customWidth="1"/>
    <col min="12080" max="12080" width="8.1328125" style="256" customWidth="1"/>
    <col min="12081" max="12082" width="7.59765625" style="256" customWidth="1"/>
    <col min="12083" max="12083" width="6.73046875" style="256" customWidth="1"/>
    <col min="12084" max="12084" width="4" style="256" customWidth="1"/>
    <col min="12085" max="12085" width="7.265625" style="256" customWidth="1"/>
    <col min="12086" max="12086" width="4" style="256" customWidth="1"/>
    <col min="12087" max="12087" width="13" style="256" customWidth="1"/>
    <col min="12088" max="12088" width="7.73046875" style="256" customWidth="1"/>
    <col min="12089" max="12089" width="5.59765625" style="256" customWidth="1"/>
    <col min="12090" max="12090" width="5.73046875" style="256" customWidth="1"/>
    <col min="12091" max="12091" width="8.1328125" style="256" customWidth="1"/>
    <col min="12092" max="12093" width="7.59765625" style="256" customWidth="1"/>
    <col min="12094" max="12094" width="6.73046875" style="256" customWidth="1"/>
    <col min="12095" max="12095" width="4" style="256" customWidth="1"/>
    <col min="12096" max="12096" width="7.265625" style="256" customWidth="1"/>
    <col min="12097" max="12097" width="4.3984375" style="256" customWidth="1"/>
    <col min="12098" max="12098" width="13" style="256" customWidth="1"/>
    <col min="12099" max="12099" width="7.73046875" style="256" customWidth="1"/>
    <col min="12100" max="12100" width="5.59765625" style="256" customWidth="1"/>
    <col min="12101" max="12101" width="5.73046875" style="256" customWidth="1"/>
    <col min="12102" max="12102" width="8.1328125" style="256" customWidth="1"/>
    <col min="12103" max="12104" width="7.59765625" style="256" customWidth="1"/>
    <col min="12105" max="12105" width="6.73046875" style="256" customWidth="1"/>
    <col min="12106" max="12106" width="4" style="256" customWidth="1"/>
    <col min="12107" max="12107" width="7.265625" style="256" customWidth="1"/>
    <col min="12108" max="12108" width="4" style="256" customWidth="1"/>
    <col min="12109" max="12109" width="13" style="256" customWidth="1"/>
    <col min="12110" max="12110" width="7.73046875" style="256" customWidth="1"/>
    <col min="12111" max="12111" width="5.59765625" style="256" customWidth="1"/>
    <col min="12112" max="12112" width="5.73046875" style="256" customWidth="1"/>
    <col min="12113" max="12113" width="8.1328125" style="256" customWidth="1"/>
    <col min="12114" max="12115" width="7.59765625" style="256" customWidth="1"/>
    <col min="12116" max="12116" width="6.73046875" style="256" customWidth="1"/>
    <col min="12117" max="12117" width="4" style="256" customWidth="1"/>
    <col min="12118" max="12118" width="7.265625" style="256" customWidth="1"/>
    <col min="12119" max="12119" width="4" style="256" customWidth="1"/>
    <col min="12120" max="12120" width="13" style="256" customWidth="1"/>
    <col min="12121" max="12121" width="7.73046875" style="256" customWidth="1"/>
    <col min="12122" max="12122" width="5.59765625" style="256" customWidth="1"/>
    <col min="12123" max="12123" width="5.73046875" style="256" customWidth="1"/>
    <col min="12124" max="12124" width="8.1328125" style="256" customWidth="1"/>
    <col min="12125" max="12126" width="7.59765625" style="256" customWidth="1"/>
    <col min="12127" max="12127" width="6.73046875" style="256" customWidth="1"/>
    <col min="12128" max="12128" width="4" style="256" customWidth="1"/>
    <col min="12129" max="12129" width="7.265625" style="256" customWidth="1"/>
    <col min="12130" max="12130" width="4" style="256" customWidth="1"/>
    <col min="12131" max="12131" width="13" style="256" customWidth="1"/>
    <col min="12132" max="12132" width="7.73046875" style="256" customWidth="1"/>
    <col min="12133" max="12133" width="5.59765625" style="256" customWidth="1"/>
    <col min="12134" max="12134" width="5.73046875" style="256" customWidth="1"/>
    <col min="12135" max="12135" width="8.1328125" style="256" customWidth="1"/>
    <col min="12136" max="12137" width="7.59765625" style="256" customWidth="1"/>
    <col min="12138" max="12138" width="6.73046875" style="256" customWidth="1"/>
    <col min="12139" max="12139" width="4" style="256" customWidth="1"/>
    <col min="12140" max="12140" width="7.265625" style="256" customWidth="1"/>
    <col min="12141" max="12141" width="4" style="256" customWidth="1"/>
    <col min="12142" max="12142" width="13" style="256" customWidth="1"/>
    <col min="12143" max="12143" width="7.73046875" style="256" customWidth="1"/>
    <col min="12144" max="12144" width="5.59765625" style="256" customWidth="1"/>
    <col min="12145" max="12145" width="5.73046875" style="256" customWidth="1"/>
    <col min="12146" max="12146" width="8.1328125" style="256" customWidth="1"/>
    <col min="12147" max="12148" width="7.59765625" style="256" customWidth="1"/>
    <col min="12149" max="12149" width="6.73046875" style="256" customWidth="1"/>
    <col min="12150" max="12150" width="4" style="256" customWidth="1"/>
    <col min="12151" max="12151" width="7.265625" style="256" customWidth="1"/>
    <col min="12152" max="12152" width="4" style="256" customWidth="1"/>
    <col min="12153" max="12153" width="13" style="256" customWidth="1"/>
    <col min="12154" max="12154" width="7.73046875" style="256" customWidth="1"/>
    <col min="12155" max="12155" width="5.59765625" style="256" customWidth="1"/>
    <col min="12156" max="12156" width="5.73046875" style="256" customWidth="1"/>
    <col min="12157" max="12157" width="8.1328125" style="256" customWidth="1"/>
    <col min="12158" max="12159" width="7.59765625" style="256" customWidth="1"/>
    <col min="12160" max="12160" width="6.73046875" style="256" customWidth="1"/>
    <col min="12161" max="12161" width="4" style="256" customWidth="1"/>
    <col min="12162" max="12162" width="7.265625" style="256" customWidth="1"/>
    <col min="12163" max="12163" width="4" style="256" customWidth="1"/>
    <col min="12164" max="12164" width="13" style="256" customWidth="1"/>
    <col min="12165" max="12165" width="7.73046875" style="256" customWidth="1"/>
    <col min="12166" max="12166" width="5.59765625" style="256" customWidth="1"/>
    <col min="12167" max="12167" width="5.73046875" style="256" customWidth="1"/>
    <col min="12168" max="12168" width="8.1328125" style="256" customWidth="1"/>
    <col min="12169" max="12170" width="7.59765625" style="256" customWidth="1"/>
    <col min="12171" max="12171" width="6.73046875" style="256" customWidth="1"/>
    <col min="12172" max="12172" width="4" style="256" customWidth="1"/>
    <col min="12173" max="12173" width="7.265625" style="256" customWidth="1"/>
    <col min="12174" max="12174" width="4" style="256" customWidth="1"/>
    <col min="12175" max="12175" width="13" style="256" customWidth="1"/>
    <col min="12176" max="12176" width="7.73046875" style="256" customWidth="1"/>
    <col min="12177" max="12177" width="5.59765625" style="256" customWidth="1"/>
    <col min="12178" max="12179" width="9.1328125" style="256"/>
    <col min="12180" max="12180" width="6.59765625" style="256" customWidth="1"/>
    <col min="12181" max="12181" width="8.73046875" style="256" customWidth="1"/>
    <col min="12182" max="12182" width="7.3984375" style="256" customWidth="1"/>
    <col min="12183" max="12183" width="7.265625" style="256" customWidth="1"/>
    <col min="12184" max="12184" width="7.73046875" style="256" customWidth="1"/>
    <col min="12185" max="12185" width="4.3984375" style="256" customWidth="1"/>
    <col min="12186" max="12186" width="9.1328125" style="256"/>
    <col min="12187" max="12187" width="6" style="256" customWidth="1"/>
    <col min="12188" max="12188" width="12.265625" style="256" customWidth="1"/>
    <col min="12189" max="12189" width="8" style="256" customWidth="1"/>
    <col min="12190" max="12192" width="9.1328125" style="256"/>
    <col min="12193" max="12193" width="7.73046875" style="256" customWidth="1"/>
    <col min="12194" max="12194" width="8.265625" style="256" customWidth="1"/>
    <col min="12195" max="12195" width="7.1328125" style="256" customWidth="1"/>
    <col min="12196" max="12196" width="7.59765625" style="256" customWidth="1"/>
    <col min="12197" max="12197" width="7.3984375" style="256" customWidth="1"/>
    <col min="12198" max="12198" width="4.86328125" style="256" customWidth="1"/>
    <col min="12199" max="12199" width="9.1328125" style="256"/>
    <col min="12200" max="12200" width="5" style="256" customWidth="1"/>
    <col min="12201" max="12201" width="12.265625" style="256" customWidth="1"/>
    <col min="12202" max="12202" width="7.86328125" style="256" customWidth="1"/>
    <col min="12203" max="12205" width="9.1328125" style="256"/>
    <col min="12206" max="12206" width="7.265625" style="256" customWidth="1"/>
    <col min="12207" max="12207" width="8.1328125" style="256" customWidth="1"/>
    <col min="12208" max="12208" width="6.86328125" style="256" customWidth="1"/>
    <col min="12209" max="12209" width="8" style="256" customWidth="1"/>
    <col min="12210" max="12210" width="7.3984375" style="256" customWidth="1"/>
    <col min="12211" max="12211" width="4.59765625" style="256" customWidth="1"/>
    <col min="12212" max="12212" width="9.1328125" style="256"/>
    <col min="12213" max="12213" width="4.1328125" style="256" customWidth="1"/>
    <col min="12214" max="12214" width="12" style="256" customWidth="1"/>
    <col min="12215" max="12215" width="8.1328125" style="256" customWidth="1"/>
    <col min="12216" max="12218" width="9.1328125" style="256"/>
    <col min="12219" max="12219" width="5.3984375" style="256" customWidth="1"/>
    <col min="12220" max="12220" width="7.73046875" style="256" customWidth="1"/>
    <col min="12221" max="12221" width="5.1328125" style="256" customWidth="1"/>
    <col min="12222" max="12222" width="7.3984375" style="256" customWidth="1"/>
    <col min="12223" max="12223" width="7.1328125" style="256" customWidth="1"/>
    <col min="12224" max="12224" width="4.265625" style="256" customWidth="1"/>
    <col min="12225" max="12225" width="9.1328125" style="256"/>
    <col min="12226" max="12226" width="5.1328125" style="256" customWidth="1"/>
    <col min="12227" max="12227" width="12.265625" style="256" customWidth="1"/>
    <col min="12228" max="12228" width="7.73046875" style="256" customWidth="1"/>
    <col min="12229" max="12230" width="9.1328125" style="256"/>
    <col min="12231" max="12231" width="6.73046875" style="256" customWidth="1"/>
    <col min="12232" max="12232" width="7.59765625" style="256" customWidth="1"/>
    <col min="12233" max="12233" width="6.265625" style="256" customWidth="1"/>
    <col min="12234" max="12234" width="8.1328125" style="256" customWidth="1"/>
    <col min="12235" max="12235" width="7.1328125" style="256" customWidth="1"/>
    <col min="12236" max="12236" width="4.3984375" style="256" customWidth="1"/>
    <col min="12237" max="12237" width="9.1328125" style="256"/>
    <col min="12238" max="12238" width="3.86328125" style="256" customWidth="1"/>
    <col min="12239" max="12239" width="12.265625" style="256" customWidth="1"/>
    <col min="12240" max="12240" width="8.3984375" style="256" customWidth="1"/>
    <col min="12241" max="12242" width="9.1328125" style="256"/>
    <col min="12243" max="12243" width="8.1328125" style="256" customWidth="1"/>
    <col min="12244" max="12244" width="8.3984375" style="256" customWidth="1"/>
    <col min="12245" max="12245" width="7" style="256" customWidth="1"/>
    <col min="12246" max="12246" width="8.3984375" style="256" customWidth="1"/>
    <col min="12247" max="12247" width="9.1328125" style="256"/>
    <col min="12248" max="12248" width="6.1328125" style="256" customWidth="1"/>
    <col min="12249" max="12249" width="9.1328125" style="256"/>
    <col min="12250" max="12250" width="6.73046875" style="256" customWidth="1"/>
    <col min="12251" max="12267" width="9.1328125" style="256"/>
    <col min="12268" max="12268" width="5.59765625" style="256" customWidth="1"/>
    <col min="12269" max="12269" width="5.73046875" style="256" customWidth="1"/>
    <col min="12270" max="12270" width="8.1328125" style="256" customWidth="1"/>
    <col min="12271" max="12272" width="7.59765625" style="256" customWidth="1"/>
    <col min="12273" max="12273" width="6.73046875" style="256" customWidth="1"/>
    <col min="12274" max="12274" width="4" style="256" customWidth="1"/>
    <col min="12275" max="12275" width="7.265625" style="256" customWidth="1"/>
    <col min="12276" max="12276" width="4" style="256" customWidth="1"/>
    <col min="12277" max="12277" width="13" style="256" customWidth="1"/>
    <col min="12278" max="12278" width="8" style="256" customWidth="1"/>
    <col min="12279" max="12279" width="5.59765625" style="256" customWidth="1"/>
    <col min="12280" max="12280" width="5.73046875" style="256" customWidth="1"/>
    <col min="12281" max="12281" width="8.1328125" style="256" customWidth="1"/>
    <col min="12282" max="12283" width="7.59765625" style="256" customWidth="1"/>
    <col min="12284" max="12284" width="6.73046875" style="256" customWidth="1"/>
    <col min="12285" max="12285" width="4" style="256" customWidth="1"/>
    <col min="12286" max="12286" width="7.265625" style="256" customWidth="1"/>
    <col min="12287" max="12287" width="4" style="256" customWidth="1"/>
    <col min="12288" max="12288" width="13" style="256" customWidth="1"/>
    <col min="12289" max="12289" width="7.73046875" style="256" customWidth="1"/>
    <col min="12290" max="12290" width="5.59765625" style="256" customWidth="1"/>
    <col min="12291" max="12291" width="5.73046875" style="256" customWidth="1"/>
    <col min="12292" max="12292" width="8.1328125" style="256" customWidth="1"/>
    <col min="12293" max="12294" width="7.59765625" style="256" customWidth="1"/>
    <col min="12295" max="12295" width="6.73046875" style="256" customWidth="1"/>
    <col min="12296" max="12296" width="4" style="256" customWidth="1"/>
    <col min="12297" max="12297" width="7.265625" style="256" customWidth="1"/>
    <col min="12298" max="12298" width="4" style="256" customWidth="1"/>
    <col min="12299" max="12299" width="13" style="256" customWidth="1"/>
    <col min="12300" max="12300" width="7.73046875" style="256" customWidth="1"/>
    <col min="12301" max="12301" width="5.59765625" style="256" customWidth="1"/>
    <col min="12302" max="12302" width="5.73046875" style="256" customWidth="1"/>
    <col min="12303" max="12303" width="8.1328125" style="256" customWidth="1"/>
    <col min="12304" max="12305" width="7.59765625" style="256" customWidth="1"/>
    <col min="12306" max="12306" width="6.73046875" style="256" customWidth="1"/>
    <col min="12307" max="12307" width="4" style="256" customWidth="1"/>
    <col min="12308" max="12308" width="7.265625" style="256" customWidth="1"/>
    <col min="12309" max="12309" width="4" style="256" customWidth="1"/>
    <col min="12310" max="12310" width="13" style="256" customWidth="1"/>
    <col min="12311" max="12311" width="7.73046875" style="256" customWidth="1"/>
    <col min="12312" max="12312" width="5.59765625" style="256" customWidth="1"/>
    <col min="12313" max="12313" width="5.73046875" style="256" customWidth="1"/>
    <col min="12314" max="12314" width="8.1328125" style="256" customWidth="1"/>
    <col min="12315" max="12316" width="7.59765625" style="256" customWidth="1"/>
    <col min="12317" max="12317" width="6.73046875" style="256" customWidth="1"/>
    <col min="12318" max="12318" width="4" style="256" customWidth="1"/>
    <col min="12319" max="12319" width="7.265625" style="256" customWidth="1"/>
    <col min="12320" max="12320" width="4" style="256" customWidth="1"/>
    <col min="12321" max="12321" width="13" style="256" customWidth="1"/>
    <col min="12322" max="12322" width="7.73046875" style="256" customWidth="1"/>
    <col min="12323" max="12323" width="5.59765625" style="256" customWidth="1"/>
    <col min="12324" max="12324" width="5.73046875" style="256" customWidth="1"/>
    <col min="12325" max="12325" width="8.1328125" style="256" customWidth="1"/>
    <col min="12326" max="12327" width="7.59765625" style="256" customWidth="1"/>
    <col min="12328" max="12328" width="6.73046875" style="256" customWidth="1"/>
    <col min="12329" max="12329" width="4" style="256" customWidth="1"/>
    <col min="12330" max="12330" width="7.265625" style="256" customWidth="1"/>
    <col min="12331" max="12331" width="4" style="256" customWidth="1"/>
    <col min="12332" max="12332" width="13" style="256" customWidth="1"/>
    <col min="12333" max="12333" width="7.73046875" style="256" customWidth="1"/>
    <col min="12334" max="12334" width="5.59765625" style="256" customWidth="1"/>
    <col min="12335" max="12335" width="5.73046875" style="256" customWidth="1"/>
    <col min="12336" max="12336" width="8.1328125" style="256" customWidth="1"/>
    <col min="12337" max="12338" width="7.59765625" style="256" customWidth="1"/>
    <col min="12339" max="12339" width="6.73046875" style="256" customWidth="1"/>
    <col min="12340" max="12340" width="4" style="256" customWidth="1"/>
    <col min="12341" max="12341" width="7.265625" style="256" customWidth="1"/>
    <col min="12342" max="12342" width="4" style="256" customWidth="1"/>
    <col min="12343" max="12343" width="13" style="256" customWidth="1"/>
    <col min="12344" max="12344" width="7.73046875" style="256" customWidth="1"/>
    <col min="12345" max="12345" width="5.59765625" style="256" customWidth="1"/>
    <col min="12346" max="12346" width="5.73046875" style="256" customWidth="1"/>
    <col min="12347" max="12347" width="8.1328125" style="256" customWidth="1"/>
    <col min="12348" max="12349" width="7.59765625" style="256" customWidth="1"/>
    <col min="12350" max="12350" width="6.73046875" style="256" customWidth="1"/>
    <col min="12351" max="12351" width="4" style="256" customWidth="1"/>
    <col min="12352" max="12352" width="7.265625" style="256" customWidth="1"/>
    <col min="12353" max="12353" width="4.3984375" style="256" customWidth="1"/>
    <col min="12354" max="12354" width="13" style="256" customWidth="1"/>
    <col min="12355" max="12355" width="7.73046875" style="256" customWidth="1"/>
    <col min="12356" max="12356" width="5.59765625" style="256" customWidth="1"/>
    <col min="12357" max="12357" width="5.73046875" style="256" customWidth="1"/>
    <col min="12358" max="12358" width="8.1328125" style="256" customWidth="1"/>
    <col min="12359" max="12360" width="7.59765625" style="256" customWidth="1"/>
    <col min="12361" max="12361" width="6.73046875" style="256" customWidth="1"/>
    <col min="12362" max="12362" width="4" style="256" customWidth="1"/>
    <col min="12363" max="12363" width="7.265625" style="256" customWidth="1"/>
    <col min="12364" max="12364" width="4" style="256" customWidth="1"/>
    <col min="12365" max="12365" width="13" style="256" customWidth="1"/>
    <col min="12366" max="12366" width="7.73046875" style="256" customWidth="1"/>
    <col min="12367" max="12367" width="5.59765625" style="256" customWidth="1"/>
    <col min="12368" max="12368" width="5.73046875" style="256" customWidth="1"/>
    <col min="12369" max="12369" width="8.1328125" style="256" customWidth="1"/>
    <col min="12370" max="12371" width="7.59765625" style="256" customWidth="1"/>
    <col min="12372" max="12372" width="6.73046875" style="256" customWidth="1"/>
    <col min="12373" max="12373" width="4" style="256" customWidth="1"/>
    <col min="12374" max="12374" width="7.265625" style="256" customWidth="1"/>
    <col min="12375" max="12375" width="4" style="256" customWidth="1"/>
    <col min="12376" max="12376" width="13" style="256" customWidth="1"/>
    <col min="12377" max="12377" width="7.73046875" style="256" customWidth="1"/>
    <col min="12378" max="12378" width="5.59765625" style="256" customWidth="1"/>
    <col min="12379" max="12379" width="5.73046875" style="256" customWidth="1"/>
    <col min="12380" max="12380" width="8.1328125" style="256" customWidth="1"/>
    <col min="12381" max="12382" width="7.59765625" style="256" customWidth="1"/>
    <col min="12383" max="12383" width="6.73046875" style="256" customWidth="1"/>
    <col min="12384" max="12384" width="4" style="256" customWidth="1"/>
    <col min="12385" max="12385" width="7.265625" style="256" customWidth="1"/>
    <col min="12386" max="12386" width="4" style="256" customWidth="1"/>
    <col min="12387" max="12387" width="13" style="256" customWidth="1"/>
    <col min="12388" max="12388" width="7.73046875" style="256" customWidth="1"/>
    <col min="12389" max="12389" width="5.59765625" style="256" customWidth="1"/>
    <col min="12390" max="12390" width="5.73046875" style="256" customWidth="1"/>
    <col min="12391" max="12391" width="8.1328125" style="256" customWidth="1"/>
    <col min="12392" max="12393" width="7.59765625" style="256" customWidth="1"/>
    <col min="12394" max="12394" width="6.73046875" style="256" customWidth="1"/>
    <col min="12395" max="12395" width="4" style="256" customWidth="1"/>
    <col min="12396" max="12396" width="7.265625" style="256" customWidth="1"/>
    <col min="12397" max="12397" width="4" style="256" customWidth="1"/>
    <col min="12398" max="12398" width="13" style="256" customWidth="1"/>
    <col min="12399" max="12399" width="7.73046875" style="256" customWidth="1"/>
    <col min="12400" max="12400" width="5.59765625" style="256" customWidth="1"/>
    <col min="12401" max="12401" width="5.73046875" style="256" customWidth="1"/>
    <col min="12402" max="12402" width="8.1328125" style="256" customWidth="1"/>
    <col min="12403" max="12404" width="7.59765625" style="256" customWidth="1"/>
    <col min="12405" max="12405" width="6.73046875" style="256" customWidth="1"/>
    <col min="12406" max="12406" width="4" style="256" customWidth="1"/>
    <col min="12407" max="12407" width="7.265625" style="256" customWidth="1"/>
    <col min="12408" max="12408" width="4" style="256" customWidth="1"/>
    <col min="12409" max="12409" width="13" style="256" customWidth="1"/>
    <col min="12410" max="12410" width="7.73046875" style="256" customWidth="1"/>
    <col min="12411" max="12411" width="5.59765625" style="256" customWidth="1"/>
    <col min="12412" max="12412" width="5.73046875" style="256" customWidth="1"/>
    <col min="12413" max="12413" width="8.1328125" style="256" customWidth="1"/>
    <col min="12414" max="12415" width="7.59765625" style="256" customWidth="1"/>
    <col min="12416" max="12416" width="6.73046875" style="256" customWidth="1"/>
    <col min="12417" max="12417" width="4" style="256" customWidth="1"/>
    <col min="12418" max="12418" width="7.265625" style="256" customWidth="1"/>
    <col min="12419" max="12419" width="4" style="256" customWidth="1"/>
    <col min="12420" max="12420" width="13" style="256" customWidth="1"/>
    <col min="12421" max="12421" width="7.73046875" style="256" customWidth="1"/>
    <col min="12422" max="12422" width="5.59765625" style="256" customWidth="1"/>
    <col min="12423" max="12423" width="5.73046875" style="256" customWidth="1"/>
    <col min="12424" max="12424" width="8.1328125" style="256" customWidth="1"/>
    <col min="12425" max="12426" width="7.59765625" style="256" customWidth="1"/>
    <col min="12427" max="12427" width="6.73046875" style="256" customWidth="1"/>
    <col min="12428" max="12428" width="4" style="256" customWidth="1"/>
    <col min="12429" max="12429" width="7.265625" style="256" customWidth="1"/>
    <col min="12430" max="12430" width="4" style="256" customWidth="1"/>
    <col min="12431" max="12431" width="13" style="256" customWidth="1"/>
    <col min="12432" max="12432" width="7.73046875" style="256" customWidth="1"/>
    <col min="12433" max="12433" width="5.59765625" style="256" customWidth="1"/>
    <col min="12434" max="12435" width="9.1328125" style="256"/>
    <col min="12436" max="12436" width="6.59765625" style="256" customWidth="1"/>
    <col min="12437" max="12437" width="8.73046875" style="256" customWidth="1"/>
    <col min="12438" max="12438" width="7.3984375" style="256" customWidth="1"/>
    <col min="12439" max="12439" width="7.265625" style="256" customWidth="1"/>
    <col min="12440" max="12440" width="7.73046875" style="256" customWidth="1"/>
    <col min="12441" max="12441" width="4.3984375" style="256" customWidth="1"/>
    <col min="12442" max="12442" width="9.1328125" style="256"/>
    <col min="12443" max="12443" width="6" style="256" customWidth="1"/>
    <col min="12444" max="12444" width="12.265625" style="256" customWidth="1"/>
    <col min="12445" max="12445" width="8" style="256" customWidth="1"/>
    <col min="12446" max="12448" width="9.1328125" style="256"/>
    <col min="12449" max="12449" width="7.73046875" style="256" customWidth="1"/>
    <col min="12450" max="12450" width="8.265625" style="256" customWidth="1"/>
    <col min="12451" max="12451" width="7.1328125" style="256" customWidth="1"/>
    <col min="12452" max="12452" width="7.59765625" style="256" customWidth="1"/>
    <col min="12453" max="12453" width="7.3984375" style="256" customWidth="1"/>
    <col min="12454" max="12454" width="4.86328125" style="256" customWidth="1"/>
    <col min="12455" max="12455" width="9.1328125" style="256"/>
    <col min="12456" max="12456" width="5" style="256" customWidth="1"/>
    <col min="12457" max="12457" width="12.265625" style="256" customWidth="1"/>
    <col min="12458" max="12458" width="7.86328125" style="256" customWidth="1"/>
    <col min="12459" max="12461" width="9.1328125" style="256"/>
    <col min="12462" max="12462" width="7.265625" style="256" customWidth="1"/>
    <col min="12463" max="12463" width="8.1328125" style="256" customWidth="1"/>
    <col min="12464" max="12464" width="6.86328125" style="256" customWidth="1"/>
    <col min="12465" max="12465" width="8" style="256" customWidth="1"/>
    <col min="12466" max="12466" width="7.3984375" style="256" customWidth="1"/>
    <col min="12467" max="12467" width="4.59765625" style="256" customWidth="1"/>
    <col min="12468" max="12468" width="9.1328125" style="256"/>
    <col min="12469" max="12469" width="4.1328125" style="256" customWidth="1"/>
    <col min="12470" max="12470" width="12" style="256" customWidth="1"/>
    <col min="12471" max="12471" width="8.1328125" style="256" customWidth="1"/>
    <col min="12472" max="12474" width="9.1328125" style="256"/>
    <col min="12475" max="12475" width="5.3984375" style="256" customWidth="1"/>
    <col min="12476" max="12476" width="7.73046875" style="256" customWidth="1"/>
    <col min="12477" max="12477" width="5.1328125" style="256" customWidth="1"/>
    <col min="12478" max="12478" width="7.3984375" style="256" customWidth="1"/>
    <col min="12479" max="12479" width="7.1328125" style="256" customWidth="1"/>
    <col min="12480" max="12480" width="4.265625" style="256" customWidth="1"/>
    <col min="12481" max="12481" width="9.1328125" style="256"/>
    <col min="12482" max="12482" width="5.1328125" style="256" customWidth="1"/>
    <col min="12483" max="12483" width="12.265625" style="256" customWidth="1"/>
    <col min="12484" max="12484" width="7.73046875" style="256" customWidth="1"/>
    <col min="12485" max="12486" width="9.1328125" style="256"/>
    <col min="12487" max="12487" width="6.73046875" style="256" customWidth="1"/>
    <col min="12488" max="12488" width="7.59765625" style="256" customWidth="1"/>
    <col min="12489" max="12489" width="6.265625" style="256" customWidth="1"/>
    <col min="12490" max="12490" width="8.1328125" style="256" customWidth="1"/>
    <col min="12491" max="12491" width="7.1328125" style="256" customWidth="1"/>
    <col min="12492" max="12492" width="4.3984375" style="256" customWidth="1"/>
    <col min="12493" max="12493" width="9.1328125" style="256"/>
    <col min="12494" max="12494" width="3.86328125" style="256" customWidth="1"/>
    <col min="12495" max="12495" width="12.265625" style="256" customWidth="1"/>
    <col min="12496" max="12496" width="8.3984375" style="256" customWidth="1"/>
    <col min="12497" max="12498" width="9.1328125" style="256"/>
    <col min="12499" max="12499" width="8.1328125" style="256" customWidth="1"/>
    <col min="12500" max="12500" width="8.3984375" style="256" customWidth="1"/>
    <col min="12501" max="12501" width="7" style="256" customWidth="1"/>
    <col min="12502" max="12502" width="8.3984375" style="256" customWidth="1"/>
    <col min="12503" max="12503" width="9.1328125" style="256"/>
    <col min="12504" max="12504" width="6.1328125" style="256" customWidth="1"/>
    <col min="12505" max="12505" width="9.1328125" style="256"/>
    <col min="12506" max="12506" width="6.73046875" style="256" customWidth="1"/>
    <col min="12507" max="12523" width="9.1328125" style="256"/>
    <col min="12524" max="12524" width="5.59765625" style="256" customWidth="1"/>
    <col min="12525" max="12525" width="5.73046875" style="256" customWidth="1"/>
    <col min="12526" max="12526" width="8.1328125" style="256" customWidth="1"/>
    <col min="12527" max="12528" width="7.59765625" style="256" customWidth="1"/>
    <col min="12529" max="12529" width="6.73046875" style="256" customWidth="1"/>
    <col min="12530" max="12530" width="4" style="256" customWidth="1"/>
    <col min="12531" max="12531" width="7.265625" style="256" customWidth="1"/>
    <col min="12532" max="12532" width="4" style="256" customWidth="1"/>
    <col min="12533" max="12533" width="13" style="256" customWidth="1"/>
    <col min="12534" max="12534" width="8" style="256" customWidth="1"/>
    <col min="12535" max="12535" width="5.59765625" style="256" customWidth="1"/>
    <col min="12536" max="12536" width="5.73046875" style="256" customWidth="1"/>
    <col min="12537" max="12537" width="8.1328125" style="256" customWidth="1"/>
    <col min="12538" max="12539" width="7.59765625" style="256" customWidth="1"/>
    <col min="12540" max="12540" width="6.73046875" style="256" customWidth="1"/>
    <col min="12541" max="12541" width="4" style="256" customWidth="1"/>
    <col min="12542" max="12542" width="7.265625" style="256" customWidth="1"/>
    <col min="12543" max="12543" width="4" style="256" customWidth="1"/>
    <col min="12544" max="12544" width="13" style="256" customWidth="1"/>
    <col min="12545" max="12545" width="7.73046875" style="256" customWidth="1"/>
    <col min="12546" max="12546" width="5.59765625" style="256" customWidth="1"/>
    <col min="12547" max="12547" width="5.73046875" style="256" customWidth="1"/>
    <col min="12548" max="12548" width="8.1328125" style="256" customWidth="1"/>
    <col min="12549" max="12550" width="7.59765625" style="256" customWidth="1"/>
    <col min="12551" max="12551" width="6.73046875" style="256" customWidth="1"/>
    <col min="12552" max="12552" width="4" style="256" customWidth="1"/>
    <col min="12553" max="12553" width="7.265625" style="256" customWidth="1"/>
    <col min="12554" max="12554" width="4" style="256" customWidth="1"/>
    <col min="12555" max="12555" width="13" style="256" customWidth="1"/>
    <col min="12556" max="12556" width="7.73046875" style="256" customWidth="1"/>
    <col min="12557" max="12557" width="5.59765625" style="256" customWidth="1"/>
    <col min="12558" max="12558" width="5.73046875" style="256" customWidth="1"/>
    <col min="12559" max="12559" width="8.1328125" style="256" customWidth="1"/>
    <col min="12560" max="12561" width="7.59765625" style="256" customWidth="1"/>
    <col min="12562" max="12562" width="6.73046875" style="256" customWidth="1"/>
    <col min="12563" max="12563" width="4" style="256" customWidth="1"/>
    <col min="12564" max="12564" width="7.265625" style="256" customWidth="1"/>
    <col min="12565" max="12565" width="4" style="256" customWidth="1"/>
    <col min="12566" max="12566" width="13" style="256" customWidth="1"/>
    <col min="12567" max="12567" width="7.73046875" style="256" customWidth="1"/>
    <col min="12568" max="12568" width="5.59765625" style="256" customWidth="1"/>
    <col min="12569" max="12569" width="5.73046875" style="256" customWidth="1"/>
    <col min="12570" max="12570" width="8.1328125" style="256" customWidth="1"/>
    <col min="12571" max="12572" width="7.59765625" style="256" customWidth="1"/>
    <col min="12573" max="12573" width="6.73046875" style="256" customWidth="1"/>
    <col min="12574" max="12574" width="4" style="256" customWidth="1"/>
    <col min="12575" max="12575" width="7.265625" style="256" customWidth="1"/>
    <col min="12576" max="12576" width="4" style="256" customWidth="1"/>
    <col min="12577" max="12577" width="13" style="256" customWidth="1"/>
    <col min="12578" max="12578" width="7.73046875" style="256" customWidth="1"/>
    <col min="12579" max="12579" width="5.59765625" style="256" customWidth="1"/>
    <col min="12580" max="12580" width="5.73046875" style="256" customWidth="1"/>
    <col min="12581" max="12581" width="8.1328125" style="256" customWidth="1"/>
    <col min="12582" max="12583" width="7.59765625" style="256" customWidth="1"/>
    <col min="12584" max="12584" width="6.73046875" style="256" customWidth="1"/>
    <col min="12585" max="12585" width="4" style="256" customWidth="1"/>
    <col min="12586" max="12586" width="7.265625" style="256" customWidth="1"/>
    <col min="12587" max="12587" width="4" style="256" customWidth="1"/>
    <col min="12588" max="12588" width="13" style="256" customWidth="1"/>
    <col min="12589" max="12589" width="7.73046875" style="256" customWidth="1"/>
    <col min="12590" max="12590" width="5.59765625" style="256" customWidth="1"/>
    <col min="12591" max="12591" width="5.73046875" style="256" customWidth="1"/>
    <col min="12592" max="12592" width="8.1328125" style="256" customWidth="1"/>
    <col min="12593" max="12594" width="7.59765625" style="256" customWidth="1"/>
    <col min="12595" max="12595" width="6.73046875" style="256" customWidth="1"/>
    <col min="12596" max="12596" width="4" style="256" customWidth="1"/>
    <col min="12597" max="12597" width="7.265625" style="256" customWidth="1"/>
    <col min="12598" max="12598" width="4" style="256" customWidth="1"/>
    <col min="12599" max="12599" width="13" style="256" customWidth="1"/>
    <col min="12600" max="12600" width="7.73046875" style="256" customWidth="1"/>
    <col min="12601" max="12601" width="5.59765625" style="256" customWidth="1"/>
    <col min="12602" max="12602" width="5.73046875" style="256" customWidth="1"/>
    <col min="12603" max="12603" width="8.1328125" style="256" customWidth="1"/>
    <col min="12604" max="12605" width="7.59765625" style="256" customWidth="1"/>
    <col min="12606" max="12606" width="6.73046875" style="256" customWidth="1"/>
    <col min="12607" max="12607" width="4" style="256" customWidth="1"/>
    <col min="12608" max="12608" width="7.265625" style="256" customWidth="1"/>
    <col min="12609" max="12609" width="4.3984375" style="256" customWidth="1"/>
    <col min="12610" max="12610" width="13" style="256" customWidth="1"/>
    <col min="12611" max="12611" width="7.73046875" style="256" customWidth="1"/>
    <col min="12612" max="12612" width="5.59765625" style="256" customWidth="1"/>
    <col min="12613" max="12613" width="5.73046875" style="256" customWidth="1"/>
    <col min="12614" max="12614" width="8.1328125" style="256" customWidth="1"/>
    <col min="12615" max="12616" width="7.59765625" style="256" customWidth="1"/>
    <col min="12617" max="12617" width="6.73046875" style="256" customWidth="1"/>
    <col min="12618" max="12618" width="4" style="256" customWidth="1"/>
    <col min="12619" max="12619" width="7.265625" style="256" customWidth="1"/>
    <col min="12620" max="12620" width="4" style="256" customWidth="1"/>
    <col min="12621" max="12621" width="13" style="256" customWidth="1"/>
    <col min="12622" max="12622" width="7.73046875" style="256" customWidth="1"/>
    <col min="12623" max="12623" width="5.59765625" style="256" customWidth="1"/>
    <col min="12624" max="12624" width="5.73046875" style="256" customWidth="1"/>
    <col min="12625" max="12625" width="8.1328125" style="256" customWidth="1"/>
    <col min="12626" max="12627" width="7.59765625" style="256" customWidth="1"/>
    <col min="12628" max="12628" width="6.73046875" style="256" customWidth="1"/>
    <col min="12629" max="12629" width="4" style="256" customWidth="1"/>
    <col min="12630" max="12630" width="7.265625" style="256" customWidth="1"/>
    <col min="12631" max="12631" width="4" style="256" customWidth="1"/>
    <col min="12632" max="12632" width="13" style="256" customWidth="1"/>
    <col min="12633" max="12633" width="7.73046875" style="256" customWidth="1"/>
    <col min="12634" max="12634" width="5.59765625" style="256" customWidth="1"/>
    <col min="12635" max="12635" width="5.73046875" style="256" customWidth="1"/>
    <col min="12636" max="12636" width="8.1328125" style="256" customWidth="1"/>
    <col min="12637" max="12638" width="7.59765625" style="256" customWidth="1"/>
    <col min="12639" max="12639" width="6.73046875" style="256" customWidth="1"/>
    <col min="12640" max="12640" width="4" style="256" customWidth="1"/>
    <col min="12641" max="12641" width="7.265625" style="256" customWidth="1"/>
    <col min="12642" max="12642" width="4" style="256" customWidth="1"/>
    <col min="12643" max="12643" width="13" style="256" customWidth="1"/>
    <col min="12644" max="12644" width="7.73046875" style="256" customWidth="1"/>
    <col min="12645" max="12645" width="5.59765625" style="256" customWidth="1"/>
    <col min="12646" max="12646" width="5.73046875" style="256" customWidth="1"/>
    <col min="12647" max="12647" width="8.1328125" style="256" customWidth="1"/>
    <col min="12648" max="12649" width="7.59765625" style="256" customWidth="1"/>
    <col min="12650" max="12650" width="6.73046875" style="256" customWidth="1"/>
    <col min="12651" max="12651" width="4" style="256" customWidth="1"/>
    <col min="12652" max="12652" width="7.265625" style="256" customWidth="1"/>
    <col min="12653" max="12653" width="4" style="256" customWidth="1"/>
    <col min="12654" max="12654" width="13" style="256" customWidth="1"/>
    <col min="12655" max="12655" width="7.73046875" style="256" customWidth="1"/>
    <col min="12656" max="12656" width="5.59765625" style="256" customWidth="1"/>
    <col min="12657" max="12657" width="5.73046875" style="256" customWidth="1"/>
    <col min="12658" max="12658" width="8.1328125" style="256" customWidth="1"/>
    <col min="12659" max="12660" width="7.59765625" style="256" customWidth="1"/>
    <col min="12661" max="12661" width="6.73046875" style="256" customWidth="1"/>
    <col min="12662" max="12662" width="4" style="256" customWidth="1"/>
    <col min="12663" max="12663" width="7.265625" style="256" customWidth="1"/>
    <col min="12664" max="12664" width="4" style="256" customWidth="1"/>
    <col min="12665" max="12665" width="13" style="256" customWidth="1"/>
    <col min="12666" max="12666" width="7.73046875" style="256" customWidth="1"/>
    <col min="12667" max="12667" width="5.59765625" style="256" customWidth="1"/>
    <col min="12668" max="12668" width="5.73046875" style="256" customWidth="1"/>
    <col min="12669" max="12669" width="8.1328125" style="256" customWidth="1"/>
    <col min="12670" max="12671" width="7.59765625" style="256" customWidth="1"/>
    <col min="12672" max="12672" width="6.73046875" style="256" customWidth="1"/>
    <col min="12673" max="12673" width="4" style="256" customWidth="1"/>
    <col min="12674" max="12674" width="7.265625" style="256" customWidth="1"/>
    <col min="12675" max="12675" width="4" style="256" customWidth="1"/>
    <col min="12676" max="12676" width="13" style="256" customWidth="1"/>
    <col min="12677" max="12677" width="7.73046875" style="256" customWidth="1"/>
    <col min="12678" max="12678" width="5.59765625" style="256" customWidth="1"/>
    <col min="12679" max="12679" width="5.73046875" style="256" customWidth="1"/>
    <col min="12680" max="12680" width="8.1328125" style="256" customWidth="1"/>
    <col min="12681" max="12682" width="7.59765625" style="256" customWidth="1"/>
    <col min="12683" max="12683" width="6.73046875" style="256" customWidth="1"/>
    <col min="12684" max="12684" width="4" style="256" customWidth="1"/>
    <col min="12685" max="12685" width="7.265625" style="256" customWidth="1"/>
    <col min="12686" max="12686" width="4" style="256" customWidth="1"/>
    <col min="12687" max="12687" width="13" style="256" customWidth="1"/>
    <col min="12688" max="12688" width="7.73046875" style="256" customWidth="1"/>
    <col min="12689" max="12689" width="5.59765625" style="256" customWidth="1"/>
    <col min="12690" max="12691" width="9.1328125" style="256"/>
    <col min="12692" max="12692" width="6.59765625" style="256" customWidth="1"/>
    <col min="12693" max="12693" width="8.73046875" style="256" customWidth="1"/>
    <col min="12694" max="12694" width="7.3984375" style="256" customWidth="1"/>
    <col min="12695" max="12695" width="7.265625" style="256" customWidth="1"/>
    <col min="12696" max="12696" width="7.73046875" style="256" customWidth="1"/>
    <col min="12697" max="12697" width="4.3984375" style="256" customWidth="1"/>
    <col min="12698" max="12698" width="9.1328125" style="256"/>
    <col min="12699" max="12699" width="6" style="256" customWidth="1"/>
    <col min="12700" max="12700" width="12.265625" style="256" customWidth="1"/>
    <col min="12701" max="12701" width="8" style="256" customWidth="1"/>
    <col min="12702" max="12704" width="9.1328125" style="256"/>
    <col min="12705" max="12705" width="7.73046875" style="256" customWidth="1"/>
    <col min="12706" max="12706" width="8.265625" style="256" customWidth="1"/>
    <col min="12707" max="12707" width="7.1328125" style="256" customWidth="1"/>
    <col min="12708" max="12708" width="7.59765625" style="256" customWidth="1"/>
    <col min="12709" max="12709" width="7.3984375" style="256" customWidth="1"/>
    <col min="12710" max="12710" width="4.86328125" style="256" customWidth="1"/>
    <col min="12711" max="12711" width="9.1328125" style="256"/>
    <col min="12712" max="12712" width="5" style="256" customWidth="1"/>
    <col min="12713" max="12713" width="12.265625" style="256" customWidth="1"/>
    <col min="12714" max="12714" width="7.86328125" style="256" customWidth="1"/>
    <col min="12715" max="12717" width="9.1328125" style="256"/>
    <col min="12718" max="12718" width="7.265625" style="256" customWidth="1"/>
    <col min="12719" max="12719" width="8.1328125" style="256" customWidth="1"/>
    <col min="12720" max="12720" width="6.86328125" style="256" customWidth="1"/>
    <col min="12721" max="12721" width="8" style="256" customWidth="1"/>
    <col min="12722" max="12722" width="7.3984375" style="256" customWidth="1"/>
    <col min="12723" max="12723" width="4.59765625" style="256" customWidth="1"/>
    <col min="12724" max="12724" width="9.1328125" style="256"/>
    <col min="12725" max="12725" width="4.1328125" style="256" customWidth="1"/>
    <col min="12726" max="12726" width="12" style="256" customWidth="1"/>
    <col min="12727" max="12727" width="8.1328125" style="256" customWidth="1"/>
    <col min="12728" max="12730" width="9.1328125" style="256"/>
    <col min="12731" max="12731" width="5.3984375" style="256" customWidth="1"/>
    <col min="12732" max="12732" width="7.73046875" style="256" customWidth="1"/>
    <col min="12733" max="12733" width="5.1328125" style="256" customWidth="1"/>
    <col min="12734" max="12734" width="7.3984375" style="256" customWidth="1"/>
    <col min="12735" max="12735" width="7.1328125" style="256" customWidth="1"/>
    <col min="12736" max="12736" width="4.265625" style="256" customWidth="1"/>
    <col min="12737" max="12737" width="9.1328125" style="256"/>
    <col min="12738" max="12738" width="5.1328125" style="256" customWidth="1"/>
    <col min="12739" max="12739" width="12.265625" style="256" customWidth="1"/>
    <col min="12740" max="12740" width="7.73046875" style="256" customWidth="1"/>
    <col min="12741" max="12742" width="9.1328125" style="256"/>
    <col min="12743" max="12743" width="6.73046875" style="256" customWidth="1"/>
    <col min="12744" max="12744" width="7.59765625" style="256" customWidth="1"/>
    <col min="12745" max="12745" width="6.265625" style="256" customWidth="1"/>
    <col min="12746" max="12746" width="8.1328125" style="256" customWidth="1"/>
    <col min="12747" max="12747" width="7.1328125" style="256" customWidth="1"/>
    <col min="12748" max="12748" width="4.3984375" style="256" customWidth="1"/>
    <col min="12749" max="12749" width="9.1328125" style="256"/>
    <col min="12750" max="12750" width="3.86328125" style="256" customWidth="1"/>
    <col min="12751" max="12751" width="12.265625" style="256" customWidth="1"/>
    <col min="12752" max="12752" width="8.3984375" style="256" customWidth="1"/>
    <col min="12753" max="12754" width="9.1328125" style="256"/>
    <col min="12755" max="12755" width="8.1328125" style="256" customWidth="1"/>
    <col min="12756" max="12756" width="8.3984375" style="256" customWidth="1"/>
    <col min="12757" max="12757" width="7" style="256" customWidth="1"/>
    <col min="12758" max="12758" width="8.3984375" style="256" customWidth="1"/>
    <col min="12759" max="12759" width="9.1328125" style="256"/>
    <col min="12760" max="12760" width="6.1328125" style="256" customWidth="1"/>
    <col min="12761" max="12761" width="9.1328125" style="256"/>
    <col min="12762" max="12762" width="6.73046875" style="256" customWidth="1"/>
    <col min="12763" max="12779" width="9.1328125" style="256"/>
    <col min="12780" max="12780" width="5.59765625" style="256" customWidth="1"/>
    <col min="12781" max="12781" width="5.73046875" style="256" customWidth="1"/>
    <col min="12782" max="12782" width="8.1328125" style="256" customWidth="1"/>
    <col min="12783" max="12784" width="7.59765625" style="256" customWidth="1"/>
    <col min="12785" max="12785" width="6.73046875" style="256" customWidth="1"/>
    <col min="12786" max="12786" width="4" style="256" customWidth="1"/>
    <col min="12787" max="12787" width="7.265625" style="256" customWidth="1"/>
    <col min="12788" max="12788" width="4" style="256" customWidth="1"/>
    <col min="12789" max="12789" width="13" style="256" customWidth="1"/>
    <col min="12790" max="12790" width="8" style="256" customWidth="1"/>
    <col min="12791" max="12791" width="5.59765625" style="256" customWidth="1"/>
    <col min="12792" max="12792" width="5.73046875" style="256" customWidth="1"/>
    <col min="12793" max="12793" width="8.1328125" style="256" customWidth="1"/>
    <col min="12794" max="12795" width="7.59765625" style="256" customWidth="1"/>
    <col min="12796" max="12796" width="6.73046875" style="256" customWidth="1"/>
    <col min="12797" max="12797" width="4" style="256" customWidth="1"/>
    <col min="12798" max="12798" width="7.265625" style="256" customWidth="1"/>
    <col min="12799" max="12799" width="4" style="256" customWidth="1"/>
    <col min="12800" max="12800" width="13" style="256" customWidth="1"/>
    <col min="12801" max="12801" width="7.73046875" style="256" customWidth="1"/>
    <col min="12802" max="12802" width="5.59765625" style="256" customWidth="1"/>
    <col min="12803" max="12803" width="5.73046875" style="256" customWidth="1"/>
    <col min="12804" max="12804" width="8.1328125" style="256" customWidth="1"/>
    <col min="12805" max="12806" width="7.59765625" style="256" customWidth="1"/>
    <col min="12807" max="12807" width="6.73046875" style="256" customWidth="1"/>
    <col min="12808" max="12808" width="4" style="256" customWidth="1"/>
    <col min="12809" max="12809" width="7.265625" style="256" customWidth="1"/>
    <col min="12810" max="12810" width="4" style="256" customWidth="1"/>
    <col min="12811" max="12811" width="13" style="256" customWidth="1"/>
    <col min="12812" max="12812" width="7.73046875" style="256" customWidth="1"/>
    <col min="12813" max="12813" width="5.59765625" style="256" customWidth="1"/>
    <col min="12814" max="12814" width="5.73046875" style="256" customWidth="1"/>
    <col min="12815" max="12815" width="8.1328125" style="256" customWidth="1"/>
    <col min="12816" max="12817" width="7.59765625" style="256" customWidth="1"/>
    <col min="12818" max="12818" width="6.73046875" style="256" customWidth="1"/>
    <col min="12819" max="12819" width="4" style="256" customWidth="1"/>
    <col min="12820" max="12820" width="7.265625" style="256" customWidth="1"/>
    <col min="12821" max="12821" width="4" style="256" customWidth="1"/>
    <col min="12822" max="12822" width="13" style="256" customWidth="1"/>
    <col min="12823" max="12823" width="7.73046875" style="256" customWidth="1"/>
    <col min="12824" max="12824" width="5.59765625" style="256" customWidth="1"/>
    <col min="12825" max="12825" width="5.73046875" style="256" customWidth="1"/>
    <col min="12826" max="12826" width="8.1328125" style="256" customWidth="1"/>
    <col min="12827" max="12828" width="7.59765625" style="256" customWidth="1"/>
    <col min="12829" max="12829" width="6.73046875" style="256" customWidth="1"/>
    <col min="12830" max="12830" width="4" style="256" customWidth="1"/>
    <col min="12831" max="12831" width="7.265625" style="256" customWidth="1"/>
    <col min="12832" max="12832" width="4" style="256" customWidth="1"/>
    <col min="12833" max="12833" width="13" style="256" customWidth="1"/>
    <col min="12834" max="12834" width="7.73046875" style="256" customWidth="1"/>
    <col min="12835" max="12835" width="5.59765625" style="256" customWidth="1"/>
    <col min="12836" max="12836" width="5.73046875" style="256" customWidth="1"/>
    <col min="12837" max="12837" width="8.1328125" style="256" customWidth="1"/>
    <col min="12838" max="12839" width="7.59765625" style="256" customWidth="1"/>
    <col min="12840" max="12840" width="6.73046875" style="256" customWidth="1"/>
    <col min="12841" max="12841" width="4" style="256" customWidth="1"/>
    <col min="12842" max="12842" width="7.265625" style="256" customWidth="1"/>
    <col min="12843" max="12843" width="4" style="256" customWidth="1"/>
    <col min="12844" max="12844" width="13" style="256" customWidth="1"/>
    <col min="12845" max="12845" width="7.73046875" style="256" customWidth="1"/>
    <col min="12846" max="12846" width="5.59765625" style="256" customWidth="1"/>
    <col min="12847" max="12847" width="5.73046875" style="256" customWidth="1"/>
    <col min="12848" max="12848" width="8.1328125" style="256" customWidth="1"/>
    <col min="12849" max="12850" width="7.59765625" style="256" customWidth="1"/>
    <col min="12851" max="12851" width="6.73046875" style="256" customWidth="1"/>
    <col min="12852" max="12852" width="4" style="256" customWidth="1"/>
    <col min="12853" max="12853" width="7.265625" style="256" customWidth="1"/>
    <col min="12854" max="12854" width="4" style="256" customWidth="1"/>
    <col min="12855" max="12855" width="13" style="256" customWidth="1"/>
    <col min="12856" max="12856" width="7.73046875" style="256" customWidth="1"/>
    <col min="12857" max="12857" width="5.59765625" style="256" customWidth="1"/>
    <col min="12858" max="12858" width="5.73046875" style="256" customWidth="1"/>
    <col min="12859" max="12859" width="8.1328125" style="256" customWidth="1"/>
    <col min="12860" max="12861" width="7.59765625" style="256" customWidth="1"/>
    <col min="12862" max="12862" width="6.73046875" style="256" customWidth="1"/>
    <col min="12863" max="12863" width="4" style="256" customWidth="1"/>
    <col min="12864" max="12864" width="7.265625" style="256" customWidth="1"/>
    <col min="12865" max="12865" width="4.3984375" style="256" customWidth="1"/>
    <col min="12866" max="12866" width="13" style="256" customWidth="1"/>
    <col min="12867" max="12867" width="7.73046875" style="256" customWidth="1"/>
    <col min="12868" max="12868" width="5.59765625" style="256" customWidth="1"/>
    <col min="12869" max="12869" width="5.73046875" style="256" customWidth="1"/>
    <col min="12870" max="12870" width="8.1328125" style="256" customWidth="1"/>
    <col min="12871" max="12872" width="7.59765625" style="256" customWidth="1"/>
    <col min="12873" max="12873" width="6.73046875" style="256" customWidth="1"/>
    <col min="12874" max="12874" width="4" style="256" customWidth="1"/>
    <col min="12875" max="12875" width="7.265625" style="256" customWidth="1"/>
    <col min="12876" max="12876" width="4" style="256" customWidth="1"/>
    <col min="12877" max="12877" width="13" style="256" customWidth="1"/>
    <col min="12878" max="12878" width="7.73046875" style="256" customWidth="1"/>
    <col min="12879" max="12879" width="5.59765625" style="256" customWidth="1"/>
    <col min="12880" max="12880" width="5.73046875" style="256" customWidth="1"/>
    <col min="12881" max="12881" width="8.1328125" style="256" customWidth="1"/>
    <col min="12882" max="12883" width="7.59765625" style="256" customWidth="1"/>
    <col min="12884" max="12884" width="6.73046875" style="256" customWidth="1"/>
    <col min="12885" max="12885" width="4" style="256" customWidth="1"/>
    <col min="12886" max="12886" width="7.265625" style="256" customWidth="1"/>
    <col min="12887" max="12887" width="4" style="256" customWidth="1"/>
    <col min="12888" max="12888" width="13" style="256" customWidth="1"/>
    <col min="12889" max="12889" width="7.73046875" style="256" customWidth="1"/>
    <col min="12890" max="12890" width="5.59765625" style="256" customWidth="1"/>
    <col min="12891" max="12891" width="5.73046875" style="256" customWidth="1"/>
    <col min="12892" max="12892" width="8.1328125" style="256" customWidth="1"/>
    <col min="12893" max="12894" width="7.59765625" style="256" customWidth="1"/>
    <col min="12895" max="12895" width="6.73046875" style="256" customWidth="1"/>
    <col min="12896" max="12896" width="4" style="256" customWidth="1"/>
    <col min="12897" max="12897" width="7.265625" style="256" customWidth="1"/>
    <col min="12898" max="12898" width="4" style="256" customWidth="1"/>
    <col min="12899" max="12899" width="13" style="256" customWidth="1"/>
    <col min="12900" max="12900" width="7.73046875" style="256" customWidth="1"/>
    <col min="12901" max="12901" width="5.59765625" style="256" customWidth="1"/>
    <col min="12902" max="12902" width="5.73046875" style="256" customWidth="1"/>
    <col min="12903" max="12903" width="8.1328125" style="256" customWidth="1"/>
    <col min="12904" max="12905" width="7.59765625" style="256" customWidth="1"/>
    <col min="12906" max="12906" width="6.73046875" style="256" customWidth="1"/>
    <col min="12907" max="12907" width="4" style="256" customWidth="1"/>
    <col min="12908" max="12908" width="7.265625" style="256" customWidth="1"/>
    <col min="12909" max="12909" width="4" style="256" customWidth="1"/>
    <col min="12910" max="12910" width="13" style="256" customWidth="1"/>
    <col min="12911" max="12911" width="7.73046875" style="256" customWidth="1"/>
    <col min="12912" max="12912" width="5.59765625" style="256" customWidth="1"/>
    <col min="12913" max="12913" width="5.73046875" style="256" customWidth="1"/>
    <col min="12914" max="12914" width="8.1328125" style="256" customWidth="1"/>
    <col min="12915" max="12916" width="7.59765625" style="256" customWidth="1"/>
    <col min="12917" max="12917" width="6.73046875" style="256" customWidth="1"/>
    <col min="12918" max="12918" width="4" style="256" customWidth="1"/>
    <col min="12919" max="12919" width="7.265625" style="256" customWidth="1"/>
    <col min="12920" max="12920" width="4" style="256" customWidth="1"/>
    <col min="12921" max="12921" width="13" style="256" customWidth="1"/>
    <col min="12922" max="12922" width="7.73046875" style="256" customWidth="1"/>
    <col min="12923" max="12923" width="5.59765625" style="256" customWidth="1"/>
    <col min="12924" max="12924" width="5.73046875" style="256" customWidth="1"/>
    <col min="12925" max="12925" width="8.1328125" style="256" customWidth="1"/>
    <col min="12926" max="12927" width="7.59765625" style="256" customWidth="1"/>
    <col min="12928" max="12928" width="6.73046875" style="256" customWidth="1"/>
    <col min="12929" max="12929" width="4" style="256" customWidth="1"/>
    <col min="12930" max="12930" width="7.265625" style="256" customWidth="1"/>
    <col min="12931" max="12931" width="4" style="256" customWidth="1"/>
    <col min="12932" max="12932" width="13" style="256" customWidth="1"/>
    <col min="12933" max="12933" width="7.73046875" style="256" customWidth="1"/>
    <col min="12934" max="12934" width="5.59765625" style="256" customWidth="1"/>
    <col min="12935" max="12935" width="5.73046875" style="256" customWidth="1"/>
    <col min="12936" max="12936" width="8.1328125" style="256" customWidth="1"/>
    <col min="12937" max="12938" width="7.59765625" style="256" customWidth="1"/>
    <col min="12939" max="12939" width="6.73046875" style="256" customWidth="1"/>
    <col min="12940" max="12940" width="4" style="256" customWidth="1"/>
    <col min="12941" max="12941" width="7.265625" style="256" customWidth="1"/>
    <col min="12942" max="12942" width="4" style="256" customWidth="1"/>
    <col min="12943" max="12943" width="13" style="256" customWidth="1"/>
    <col min="12944" max="12944" width="7.73046875" style="256" customWidth="1"/>
    <col min="12945" max="12945" width="5.59765625" style="256" customWidth="1"/>
    <col min="12946" max="12947" width="9.1328125" style="256"/>
    <col min="12948" max="12948" width="6.59765625" style="256" customWidth="1"/>
    <col min="12949" max="12949" width="8.73046875" style="256" customWidth="1"/>
    <col min="12950" max="12950" width="7.3984375" style="256" customWidth="1"/>
    <col min="12951" max="12951" width="7.265625" style="256" customWidth="1"/>
    <col min="12952" max="12952" width="7.73046875" style="256" customWidth="1"/>
    <col min="12953" max="12953" width="4.3984375" style="256" customWidth="1"/>
    <col min="12954" max="12954" width="9.1328125" style="256"/>
    <col min="12955" max="12955" width="6" style="256" customWidth="1"/>
    <col min="12956" max="12956" width="12.265625" style="256" customWidth="1"/>
    <col min="12957" max="12957" width="8" style="256" customWidth="1"/>
    <col min="12958" max="12960" width="9.1328125" style="256"/>
    <col min="12961" max="12961" width="7.73046875" style="256" customWidth="1"/>
    <col min="12962" max="12962" width="8.265625" style="256" customWidth="1"/>
    <col min="12963" max="12963" width="7.1328125" style="256" customWidth="1"/>
    <col min="12964" max="12964" width="7.59765625" style="256" customWidth="1"/>
    <col min="12965" max="12965" width="7.3984375" style="256" customWidth="1"/>
    <col min="12966" max="12966" width="4.86328125" style="256" customWidth="1"/>
    <col min="12967" max="12967" width="9.1328125" style="256"/>
    <col min="12968" max="12968" width="5" style="256" customWidth="1"/>
    <col min="12969" max="12969" width="12.265625" style="256" customWidth="1"/>
    <col min="12970" max="12970" width="7.86328125" style="256" customWidth="1"/>
    <col min="12971" max="12973" width="9.1328125" style="256"/>
    <col min="12974" max="12974" width="7.265625" style="256" customWidth="1"/>
    <col min="12975" max="12975" width="8.1328125" style="256" customWidth="1"/>
    <col min="12976" max="12976" width="6.86328125" style="256" customWidth="1"/>
    <col min="12977" max="12977" width="8" style="256" customWidth="1"/>
    <col min="12978" max="12978" width="7.3984375" style="256" customWidth="1"/>
    <col min="12979" max="12979" width="4.59765625" style="256" customWidth="1"/>
    <col min="12980" max="12980" width="9.1328125" style="256"/>
    <col min="12981" max="12981" width="4.1328125" style="256" customWidth="1"/>
    <col min="12982" max="12982" width="12" style="256" customWidth="1"/>
    <col min="12983" max="12983" width="8.1328125" style="256" customWidth="1"/>
    <col min="12984" max="12986" width="9.1328125" style="256"/>
    <col min="12987" max="12987" width="5.3984375" style="256" customWidth="1"/>
    <col min="12988" max="12988" width="7.73046875" style="256" customWidth="1"/>
    <col min="12989" max="12989" width="5.1328125" style="256" customWidth="1"/>
    <col min="12990" max="12990" width="7.3984375" style="256" customWidth="1"/>
    <col min="12991" max="12991" width="7.1328125" style="256" customWidth="1"/>
    <col min="12992" max="12992" width="4.265625" style="256" customWidth="1"/>
    <col min="12993" max="12993" width="9.1328125" style="256"/>
    <col min="12994" max="12994" width="5.1328125" style="256" customWidth="1"/>
    <col min="12995" max="12995" width="12.265625" style="256" customWidth="1"/>
    <col min="12996" max="12996" width="7.73046875" style="256" customWidth="1"/>
    <col min="12997" max="12998" width="9.1328125" style="256"/>
    <col min="12999" max="12999" width="6.73046875" style="256" customWidth="1"/>
    <col min="13000" max="13000" width="7.59765625" style="256" customWidth="1"/>
    <col min="13001" max="13001" width="6.265625" style="256" customWidth="1"/>
    <col min="13002" max="13002" width="8.1328125" style="256" customWidth="1"/>
    <col min="13003" max="13003" width="7.1328125" style="256" customWidth="1"/>
    <col min="13004" max="13004" width="4.3984375" style="256" customWidth="1"/>
    <col min="13005" max="13005" width="9.1328125" style="256"/>
    <col min="13006" max="13006" width="3.86328125" style="256" customWidth="1"/>
    <col min="13007" max="13007" width="12.265625" style="256" customWidth="1"/>
    <col min="13008" max="13008" width="8.3984375" style="256" customWidth="1"/>
    <col min="13009" max="13010" width="9.1328125" style="256"/>
    <col min="13011" max="13011" width="8.1328125" style="256" customWidth="1"/>
    <col min="13012" max="13012" width="8.3984375" style="256" customWidth="1"/>
    <col min="13013" max="13013" width="7" style="256" customWidth="1"/>
    <col min="13014" max="13014" width="8.3984375" style="256" customWidth="1"/>
    <col min="13015" max="13015" width="9.1328125" style="256"/>
    <col min="13016" max="13016" width="6.1328125" style="256" customWidth="1"/>
    <col min="13017" max="13017" width="9.1328125" style="256"/>
    <col min="13018" max="13018" width="6.73046875" style="256" customWidth="1"/>
    <col min="13019" max="13035" width="9.1328125" style="256"/>
    <col min="13036" max="13036" width="5.59765625" style="256" customWidth="1"/>
    <col min="13037" max="13037" width="5.73046875" style="256" customWidth="1"/>
    <col min="13038" max="13038" width="8.1328125" style="256" customWidth="1"/>
    <col min="13039" max="13040" width="7.59765625" style="256" customWidth="1"/>
    <col min="13041" max="13041" width="6.73046875" style="256" customWidth="1"/>
    <col min="13042" max="13042" width="4" style="256" customWidth="1"/>
    <col min="13043" max="13043" width="7.265625" style="256" customWidth="1"/>
    <col min="13044" max="13044" width="4" style="256" customWidth="1"/>
    <col min="13045" max="13045" width="13" style="256" customWidth="1"/>
    <col min="13046" max="13046" width="8" style="256" customWidth="1"/>
    <col min="13047" max="13047" width="5.59765625" style="256" customWidth="1"/>
    <col min="13048" max="13048" width="5.73046875" style="256" customWidth="1"/>
    <col min="13049" max="13049" width="8.1328125" style="256" customWidth="1"/>
    <col min="13050" max="13051" width="7.59765625" style="256" customWidth="1"/>
    <col min="13052" max="13052" width="6.73046875" style="256" customWidth="1"/>
    <col min="13053" max="13053" width="4" style="256" customWidth="1"/>
    <col min="13054" max="13054" width="7.265625" style="256" customWidth="1"/>
    <col min="13055" max="13055" width="4" style="256" customWidth="1"/>
    <col min="13056" max="13056" width="13" style="256" customWidth="1"/>
    <col min="13057" max="13057" width="7.73046875" style="256" customWidth="1"/>
    <col min="13058" max="13058" width="5.59765625" style="256" customWidth="1"/>
    <col min="13059" max="13059" width="5.73046875" style="256" customWidth="1"/>
    <col min="13060" max="13060" width="8.1328125" style="256" customWidth="1"/>
    <col min="13061" max="13062" width="7.59765625" style="256" customWidth="1"/>
    <col min="13063" max="13063" width="6.73046875" style="256" customWidth="1"/>
    <col min="13064" max="13064" width="4" style="256" customWidth="1"/>
    <col min="13065" max="13065" width="7.265625" style="256" customWidth="1"/>
    <col min="13066" max="13066" width="4" style="256" customWidth="1"/>
    <col min="13067" max="13067" width="13" style="256" customWidth="1"/>
    <col min="13068" max="13068" width="7.73046875" style="256" customWidth="1"/>
    <col min="13069" max="13069" width="5.59765625" style="256" customWidth="1"/>
    <col min="13070" max="13070" width="5.73046875" style="256" customWidth="1"/>
    <col min="13071" max="13071" width="8.1328125" style="256" customWidth="1"/>
    <col min="13072" max="13073" width="7.59765625" style="256" customWidth="1"/>
    <col min="13074" max="13074" width="6.73046875" style="256" customWidth="1"/>
    <col min="13075" max="13075" width="4" style="256" customWidth="1"/>
    <col min="13076" max="13076" width="7.265625" style="256" customWidth="1"/>
    <col min="13077" max="13077" width="4" style="256" customWidth="1"/>
    <col min="13078" max="13078" width="13" style="256" customWidth="1"/>
    <col min="13079" max="13079" width="7.73046875" style="256" customWidth="1"/>
    <col min="13080" max="13080" width="5.59765625" style="256" customWidth="1"/>
    <col min="13081" max="13081" width="5.73046875" style="256" customWidth="1"/>
    <col min="13082" max="13082" width="8.1328125" style="256" customWidth="1"/>
    <col min="13083" max="13084" width="7.59765625" style="256" customWidth="1"/>
    <col min="13085" max="13085" width="6.73046875" style="256" customWidth="1"/>
    <col min="13086" max="13086" width="4" style="256" customWidth="1"/>
    <col min="13087" max="13087" width="7.265625" style="256" customWidth="1"/>
    <col min="13088" max="13088" width="4" style="256" customWidth="1"/>
    <col min="13089" max="13089" width="13" style="256" customWidth="1"/>
    <col min="13090" max="13090" width="7.73046875" style="256" customWidth="1"/>
    <col min="13091" max="13091" width="5.59765625" style="256" customWidth="1"/>
    <col min="13092" max="13092" width="5.73046875" style="256" customWidth="1"/>
    <col min="13093" max="13093" width="8.1328125" style="256" customWidth="1"/>
    <col min="13094" max="13095" width="7.59765625" style="256" customWidth="1"/>
    <col min="13096" max="13096" width="6.73046875" style="256" customWidth="1"/>
    <col min="13097" max="13097" width="4" style="256" customWidth="1"/>
    <col min="13098" max="13098" width="7.265625" style="256" customWidth="1"/>
    <col min="13099" max="13099" width="4" style="256" customWidth="1"/>
    <col min="13100" max="13100" width="13" style="256" customWidth="1"/>
    <col min="13101" max="13101" width="7.73046875" style="256" customWidth="1"/>
    <col min="13102" max="13102" width="5.59765625" style="256" customWidth="1"/>
    <col min="13103" max="13103" width="5.73046875" style="256" customWidth="1"/>
    <col min="13104" max="13104" width="8.1328125" style="256" customWidth="1"/>
    <col min="13105" max="13106" width="7.59765625" style="256" customWidth="1"/>
    <col min="13107" max="13107" width="6.73046875" style="256" customWidth="1"/>
    <col min="13108" max="13108" width="4" style="256" customWidth="1"/>
    <col min="13109" max="13109" width="7.265625" style="256" customWidth="1"/>
    <col min="13110" max="13110" width="4" style="256" customWidth="1"/>
    <col min="13111" max="13111" width="13" style="256" customWidth="1"/>
    <col min="13112" max="13112" width="7.73046875" style="256" customWidth="1"/>
    <col min="13113" max="13113" width="5.59765625" style="256" customWidth="1"/>
    <col min="13114" max="13114" width="5.73046875" style="256" customWidth="1"/>
    <col min="13115" max="13115" width="8.1328125" style="256" customWidth="1"/>
    <col min="13116" max="13117" width="7.59765625" style="256" customWidth="1"/>
    <col min="13118" max="13118" width="6.73046875" style="256" customWidth="1"/>
    <col min="13119" max="13119" width="4" style="256" customWidth="1"/>
    <col min="13120" max="13120" width="7.265625" style="256" customWidth="1"/>
    <col min="13121" max="13121" width="4.3984375" style="256" customWidth="1"/>
    <col min="13122" max="13122" width="13" style="256" customWidth="1"/>
    <col min="13123" max="13123" width="7.73046875" style="256" customWidth="1"/>
    <col min="13124" max="13124" width="5.59765625" style="256" customWidth="1"/>
    <col min="13125" max="13125" width="5.73046875" style="256" customWidth="1"/>
    <col min="13126" max="13126" width="8.1328125" style="256" customWidth="1"/>
    <col min="13127" max="13128" width="7.59765625" style="256" customWidth="1"/>
    <col min="13129" max="13129" width="6.73046875" style="256" customWidth="1"/>
    <col min="13130" max="13130" width="4" style="256" customWidth="1"/>
    <col min="13131" max="13131" width="7.265625" style="256" customWidth="1"/>
    <col min="13132" max="13132" width="4" style="256" customWidth="1"/>
    <col min="13133" max="13133" width="13" style="256" customWidth="1"/>
    <col min="13134" max="13134" width="7.73046875" style="256" customWidth="1"/>
    <col min="13135" max="13135" width="5.59765625" style="256" customWidth="1"/>
    <col min="13136" max="13136" width="5.73046875" style="256" customWidth="1"/>
    <col min="13137" max="13137" width="8.1328125" style="256" customWidth="1"/>
    <col min="13138" max="13139" width="7.59765625" style="256" customWidth="1"/>
    <col min="13140" max="13140" width="6.73046875" style="256" customWidth="1"/>
    <col min="13141" max="13141" width="4" style="256" customWidth="1"/>
    <col min="13142" max="13142" width="7.265625" style="256" customWidth="1"/>
    <col min="13143" max="13143" width="4" style="256" customWidth="1"/>
    <col min="13144" max="13144" width="13" style="256" customWidth="1"/>
    <col min="13145" max="13145" width="7.73046875" style="256" customWidth="1"/>
    <col min="13146" max="13146" width="5.59765625" style="256" customWidth="1"/>
    <col min="13147" max="13147" width="5.73046875" style="256" customWidth="1"/>
    <col min="13148" max="13148" width="8.1328125" style="256" customWidth="1"/>
    <col min="13149" max="13150" width="7.59765625" style="256" customWidth="1"/>
    <col min="13151" max="13151" width="6.73046875" style="256" customWidth="1"/>
    <col min="13152" max="13152" width="4" style="256" customWidth="1"/>
    <col min="13153" max="13153" width="7.265625" style="256" customWidth="1"/>
    <col min="13154" max="13154" width="4" style="256" customWidth="1"/>
    <col min="13155" max="13155" width="13" style="256" customWidth="1"/>
    <col min="13156" max="13156" width="7.73046875" style="256" customWidth="1"/>
    <col min="13157" max="13157" width="5.59765625" style="256" customWidth="1"/>
    <col min="13158" max="13158" width="5.73046875" style="256" customWidth="1"/>
    <col min="13159" max="13159" width="8.1328125" style="256" customWidth="1"/>
    <col min="13160" max="13161" width="7.59765625" style="256" customWidth="1"/>
    <col min="13162" max="13162" width="6.73046875" style="256" customWidth="1"/>
    <col min="13163" max="13163" width="4" style="256" customWidth="1"/>
    <col min="13164" max="13164" width="7.265625" style="256" customWidth="1"/>
    <col min="13165" max="13165" width="4" style="256" customWidth="1"/>
    <col min="13166" max="13166" width="13" style="256" customWidth="1"/>
    <col min="13167" max="13167" width="7.73046875" style="256" customWidth="1"/>
    <col min="13168" max="13168" width="5.59765625" style="256" customWidth="1"/>
    <col min="13169" max="13169" width="5.73046875" style="256" customWidth="1"/>
    <col min="13170" max="13170" width="8.1328125" style="256" customWidth="1"/>
    <col min="13171" max="13172" width="7.59765625" style="256" customWidth="1"/>
    <col min="13173" max="13173" width="6.73046875" style="256" customWidth="1"/>
    <col min="13174" max="13174" width="4" style="256" customWidth="1"/>
    <col min="13175" max="13175" width="7.265625" style="256" customWidth="1"/>
    <col min="13176" max="13176" width="4" style="256" customWidth="1"/>
    <col min="13177" max="13177" width="13" style="256" customWidth="1"/>
    <col min="13178" max="13178" width="7.73046875" style="256" customWidth="1"/>
    <col min="13179" max="13179" width="5.59765625" style="256" customWidth="1"/>
    <col min="13180" max="13180" width="5.73046875" style="256" customWidth="1"/>
    <col min="13181" max="13181" width="8.1328125" style="256" customWidth="1"/>
    <col min="13182" max="13183" width="7.59765625" style="256" customWidth="1"/>
    <col min="13184" max="13184" width="6.73046875" style="256" customWidth="1"/>
    <col min="13185" max="13185" width="4" style="256" customWidth="1"/>
    <col min="13186" max="13186" width="7.265625" style="256" customWidth="1"/>
    <col min="13187" max="13187" width="4" style="256" customWidth="1"/>
    <col min="13188" max="13188" width="13" style="256" customWidth="1"/>
    <col min="13189" max="13189" width="7.73046875" style="256" customWidth="1"/>
    <col min="13190" max="13190" width="5.59765625" style="256" customWidth="1"/>
    <col min="13191" max="13191" width="5.73046875" style="256" customWidth="1"/>
    <col min="13192" max="13192" width="8.1328125" style="256" customWidth="1"/>
    <col min="13193" max="13194" width="7.59765625" style="256" customWidth="1"/>
    <col min="13195" max="13195" width="6.73046875" style="256" customWidth="1"/>
    <col min="13196" max="13196" width="4" style="256" customWidth="1"/>
    <col min="13197" max="13197" width="7.265625" style="256" customWidth="1"/>
    <col min="13198" max="13198" width="4" style="256" customWidth="1"/>
    <col min="13199" max="13199" width="13" style="256" customWidth="1"/>
    <col min="13200" max="13200" width="7.73046875" style="256" customWidth="1"/>
    <col min="13201" max="13201" width="5.59765625" style="256" customWidth="1"/>
    <col min="13202" max="13203" width="9.1328125" style="256"/>
    <col min="13204" max="13204" width="6.59765625" style="256" customWidth="1"/>
    <col min="13205" max="13205" width="8.73046875" style="256" customWidth="1"/>
    <col min="13206" max="13206" width="7.3984375" style="256" customWidth="1"/>
    <col min="13207" max="13207" width="7.265625" style="256" customWidth="1"/>
    <col min="13208" max="13208" width="7.73046875" style="256" customWidth="1"/>
    <col min="13209" max="13209" width="4.3984375" style="256" customWidth="1"/>
    <col min="13210" max="13210" width="9.1328125" style="256"/>
    <col min="13211" max="13211" width="6" style="256" customWidth="1"/>
    <col min="13212" max="13212" width="12.265625" style="256" customWidth="1"/>
    <col min="13213" max="13213" width="8" style="256" customWidth="1"/>
    <col min="13214" max="13216" width="9.1328125" style="256"/>
    <col min="13217" max="13217" width="7.73046875" style="256" customWidth="1"/>
    <col min="13218" max="13218" width="8.265625" style="256" customWidth="1"/>
    <col min="13219" max="13219" width="7.1328125" style="256" customWidth="1"/>
    <col min="13220" max="13220" width="7.59765625" style="256" customWidth="1"/>
    <col min="13221" max="13221" width="7.3984375" style="256" customWidth="1"/>
    <col min="13222" max="13222" width="4.86328125" style="256" customWidth="1"/>
    <col min="13223" max="13223" width="9.1328125" style="256"/>
    <col min="13224" max="13224" width="5" style="256" customWidth="1"/>
    <col min="13225" max="13225" width="12.265625" style="256" customWidth="1"/>
    <col min="13226" max="13226" width="7.86328125" style="256" customWidth="1"/>
    <col min="13227" max="13229" width="9.1328125" style="256"/>
    <col min="13230" max="13230" width="7.265625" style="256" customWidth="1"/>
    <col min="13231" max="13231" width="8.1328125" style="256" customWidth="1"/>
    <col min="13232" max="13232" width="6.86328125" style="256" customWidth="1"/>
    <col min="13233" max="13233" width="8" style="256" customWidth="1"/>
    <col min="13234" max="13234" width="7.3984375" style="256" customWidth="1"/>
    <col min="13235" max="13235" width="4.59765625" style="256" customWidth="1"/>
    <col min="13236" max="13236" width="9.1328125" style="256"/>
    <col min="13237" max="13237" width="4.1328125" style="256" customWidth="1"/>
    <col min="13238" max="13238" width="12" style="256" customWidth="1"/>
    <col min="13239" max="13239" width="8.1328125" style="256" customWidth="1"/>
    <col min="13240" max="13242" width="9.1328125" style="256"/>
    <col min="13243" max="13243" width="5.3984375" style="256" customWidth="1"/>
    <col min="13244" max="13244" width="7.73046875" style="256" customWidth="1"/>
    <col min="13245" max="13245" width="5.1328125" style="256" customWidth="1"/>
    <col min="13246" max="13246" width="7.3984375" style="256" customWidth="1"/>
    <col min="13247" max="13247" width="7.1328125" style="256" customWidth="1"/>
    <col min="13248" max="13248" width="4.265625" style="256" customWidth="1"/>
    <col min="13249" max="13249" width="9.1328125" style="256"/>
    <col min="13250" max="13250" width="5.1328125" style="256" customWidth="1"/>
    <col min="13251" max="13251" width="12.265625" style="256" customWidth="1"/>
    <col min="13252" max="13252" width="7.73046875" style="256" customWidth="1"/>
    <col min="13253" max="13254" width="9.1328125" style="256"/>
    <col min="13255" max="13255" width="6.73046875" style="256" customWidth="1"/>
    <col min="13256" max="13256" width="7.59765625" style="256" customWidth="1"/>
    <col min="13257" max="13257" width="6.265625" style="256" customWidth="1"/>
    <col min="13258" max="13258" width="8.1328125" style="256" customWidth="1"/>
    <col min="13259" max="13259" width="7.1328125" style="256" customWidth="1"/>
    <col min="13260" max="13260" width="4.3984375" style="256" customWidth="1"/>
    <col min="13261" max="13261" width="9.1328125" style="256"/>
    <col min="13262" max="13262" width="3.86328125" style="256" customWidth="1"/>
    <col min="13263" max="13263" width="12.265625" style="256" customWidth="1"/>
    <col min="13264" max="13264" width="8.3984375" style="256" customWidth="1"/>
    <col min="13265" max="13266" width="9.1328125" style="256"/>
    <col min="13267" max="13267" width="8.1328125" style="256" customWidth="1"/>
    <col min="13268" max="13268" width="8.3984375" style="256" customWidth="1"/>
    <col min="13269" max="13269" width="7" style="256" customWidth="1"/>
    <col min="13270" max="13270" width="8.3984375" style="256" customWidth="1"/>
    <col min="13271" max="13271" width="9.1328125" style="256"/>
    <col min="13272" max="13272" width="6.1328125" style="256" customWidth="1"/>
    <col min="13273" max="13273" width="9.1328125" style="256"/>
    <col min="13274" max="13274" width="6.73046875" style="256" customWidth="1"/>
    <col min="13275" max="13291" width="9.1328125" style="256"/>
    <col min="13292" max="13292" width="5.59765625" style="256" customWidth="1"/>
    <col min="13293" max="13293" width="5.73046875" style="256" customWidth="1"/>
    <col min="13294" max="13294" width="8.1328125" style="256" customWidth="1"/>
    <col min="13295" max="13296" width="7.59765625" style="256" customWidth="1"/>
    <col min="13297" max="13297" width="6.73046875" style="256" customWidth="1"/>
    <col min="13298" max="13298" width="4" style="256" customWidth="1"/>
    <col min="13299" max="13299" width="7.265625" style="256" customWidth="1"/>
    <col min="13300" max="13300" width="4" style="256" customWidth="1"/>
    <col min="13301" max="13301" width="13" style="256" customWidth="1"/>
    <col min="13302" max="13302" width="8" style="256" customWidth="1"/>
    <col min="13303" max="13303" width="5.59765625" style="256" customWidth="1"/>
    <col min="13304" max="13304" width="5.73046875" style="256" customWidth="1"/>
    <col min="13305" max="13305" width="8.1328125" style="256" customWidth="1"/>
    <col min="13306" max="13307" width="7.59765625" style="256" customWidth="1"/>
    <col min="13308" max="13308" width="6.73046875" style="256" customWidth="1"/>
    <col min="13309" max="13309" width="4" style="256" customWidth="1"/>
    <col min="13310" max="13310" width="7.265625" style="256" customWidth="1"/>
    <col min="13311" max="13311" width="4" style="256" customWidth="1"/>
    <col min="13312" max="13312" width="13" style="256" customWidth="1"/>
    <col min="13313" max="13313" width="7.73046875" style="256" customWidth="1"/>
    <col min="13314" max="13314" width="5.59765625" style="256" customWidth="1"/>
    <col min="13315" max="13315" width="5.73046875" style="256" customWidth="1"/>
    <col min="13316" max="13316" width="8.1328125" style="256" customWidth="1"/>
    <col min="13317" max="13318" width="7.59765625" style="256" customWidth="1"/>
    <col min="13319" max="13319" width="6.73046875" style="256" customWidth="1"/>
    <col min="13320" max="13320" width="4" style="256" customWidth="1"/>
    <col min="13321" max="13321" width="7.265625" style="256" customWidth="1"/>
    <col min="13322" max="13322" width="4" style="256" customWidth="1"/>
    <col min="13323" max="13323" width="13" style="256" customWidth="1"/>
    <col min="13324" max="13324" width="7.73046875" style="256" customWidth="1"/>
    <col min="13325" max="13325" width="5.59765625" style="256" customWidth="1"/>
    <col min="13326" max="13326" width="5.73046875" style="256" customWidth="1"/>
    <col min="13327" max="13327" width="8.1328125" style="256" customWidth="1"/>
    <col min="13328" max="13329" width="7.59765625" style="256" customWidth="1"/>
    <col min="13330" max="13330" width="6.73046875" style="256" customWidth="1"/>
    <col min="13331" max="13331" width="4" style="256" customWidth="1"/>
    <col min="13332" max="13332" width="7.265625" style="256" customWidth="1"/>
    <col min="13333" max="13333" width="4" style="256" customWidth="1"/>
    <col min="13334" max="13334" width="13" style="256" customWidth="1"/>
    <col min="13335" max="13335" width="7.73046875" style="256" customWidth="1"/>
    <col min="13336" max="13336" width="5.59765625" style="256" customWidth="1"/>
    <col min="13337" max="13337" width="5.73046875" style="256" customWidth="1"/>
    <col min="13338" max="13338" width="8.1328125" style="256" customWidth="1"/>
    <col min="13339" max="13340" width="7.59765625" style="256" customWidth="1"/>
    <col min="13341" max="13341" width="6.73046875" style="256" customWidth="1"/>
    <col min="13342" max="13342" width="4" style="256" customWidth="1"/>
    <col min="13343" max="13343" width="7.265625" style="256" customWidth="1"/>
    <col min="13344" max="13344" width="4" style="256" customWidth="1"/>
    <col min="13345" max="13345" width="13" style="256" customWidth="1"/>
    <col min="13346" max="13346" width="7.73046875" style="256" customWidth="1"/>
    <col min="13347" max="13347" width="5.59765625" style="256" customWidth="1"/>
    <col min="13348" max="13348" width="5.73046875" style="256" customWidth="1"/>
    <col min="13349" max="13349" width="8.1328125" style="256" customWidth="1"/>
    <col min="13350" max="13351" width="7.59765625" style="256" customWidth="1"/>
    <col min="13352" max="13352" width="6.73046875" style="256" customWidth="1"/>
    <col min="13353" max="13353" width="4" style="256" customWidth="1"/>
    <col min="13354" max="13354" width="7.265625" style="256" customWidth="1"/>
    <col min="13355" max="13355" width="4" style="256" customWidth="1"/>
    <col min="13356" max="13356" width="13" style="256" customWidth="1"/>
    <col min="13357" max="13357" width="7.73046875" style="256" customWidth="1"/>
    <col min="13358" max="13358" width="5.59765625" style="256" customWidth="1"/>
    <col min="13359" max="13359" width="5.73046875" style="256" customWidth="1"/>
    <col min="13360" max="13360" width="8.1328125" style="256" customWidth="1"/>
    <col min="13361" max="13362" width="7.59765625" style="256" customWidth="1"/>
    <col min="13363" max="13363" width="6.73046875" style="256" customWidth="1"/>
    <col min="13364" max="13364" width="4" style="256" customWidth="1"/>
    <col min="13365" max="13365" width="7.265625" style="256" customWidth="1"/>
    <col min="13366" max="13366" width="4" style="256" customWidth="1"/>
    <col min="13367" max="13367" width="13" style="256" customWidth="1"/>
    <col min="13368" max="13368" width="7.73046875" style="256" customWidth="1"/>
    <col min="13369" max="13369" width="5.59765625" style="256" customWidth="1"/>
    <col min="13370" max="13370" width="5.73046875" style="256" customWidth="1"/>
    <col min="13371" max="13371" width="8.1328125" style="256" customWidth="1"/>
    <col min="13372" max="13373" width="7.59765625" style="256" customWidth="1"/>
    <col min="13374" max="13374" width="6.73046875" style="256" customWidth="1"/>
    <col min="13375" max="13375" width="4" style="256" customWidth="1"/>
    <col min="13376" max="13376" width="7.265625" style="256" customWidth="1"/>
    <col min="13377" max="13377" width="4.3984375" style="256" customWidth="1"/>
    <col min="13378" max="13378" width="13" style="256" customWidth="1"/>
    <col min="13379" max="13379" width="7.73046875" style="256" customWidth="1"/>
    <col min="13380" max="13380" width="5.59765625" style="256" customWidth="1"/>
    <col min="13381" max="13381" width="5.73046875" style="256" customWidth="1"/>
    <col min="13382" max="13382" width="8.1328125" style="256" customWidth="1"/>
    <col min="13383" max="13384" width="7.59765625" style="256" customWidth="1"/>
    <col min="13385" max="13385" width="6.73046875" style="256" customWidth="1"/>
    <col min="13386" max="13386" width="4" style="256" customWidth="1"/>
    <col min="13387" max="13387" width="7.265625" style="256" customWidth="1"/>
    <col min="13388" max="13388" width="4" style="256" customWidth="1"/>
    <col min="13389" max="13389" width="13" style="256" customWidth="1"/>
    <col min="13390" max="13390" width="7.73046875" style="256" customWidth="1"/>
    <col min="13391" max="13391" width="5.59765625" style="256" customWidth="1"/>
    <col min="13392" max="13392" width="5.73046875" style="256" customWidth="1"/>
    <col min="13393" max="13393" width="8.1328125" style="256" customWidth="1"/>
    <col min="13394" max="13395" width="7.59765625" style="256" customWidth="1"/>
    <col min="13396" max="13396" width="6.73046875" style="256" customWidth="1"/>
    <col min="13397" max="13397" width="4" style="256" customWidth="1"/>
    <col min="13398" max="13398" width="7.265625" style="256" customWidth="1"/>
    <col min="13399" max="13399" width="4" style="256" customWidth="1"/>
    <col min="13400" max="13400" width="13" style="256" customWidth="1"/>
    <col min="13401" max="13401" width="7.73046875" style="256" customWidth="1"/>
    <col min="13402" max="13402" width="5.59765625" style="256" customWidth="1"/>
    <col min="13403" max="13403" width="5.73046875" style="256" customWidth="1"/>
    <col min="13404" max="13404" width="8.1328125" style="256" customWidth="1"/>
    <col min="13405" max="13406" width="7.59765625" style="256" customWidth="1"/>
    <col min="13407" max="13407" width="6.73046875" style="256" customWidth="1"/>
    <col min="13408" max="13408" width="4" style="256" customWidth="1"/>
    <col min="13409" max="13409" width="7.265625" style="256" customWidth="1"/>
    <col min="13410" max="13410" width="4" style="256" customWidth="1"/>
    <col min="13411" max="13411" width="13" style="256" customWidth="1"/>
    <col min="13412" max="13412" width="7.73046875" style="256" customWidth="1"/>
    <col min="13413" max="13413" width="5.59765625" style="256" customWidth="1"/>
    <col min="13414" max="13414" width="5.73046875" style="256" customWidth="1"/>
    <col min="13415" max="13415" width="8.1328125" style="256" customWidth="1"/>
    <col min="13416" max="13417" width="7.59765625" style="256" customWidth="1"/>
    <col min="13418" max="13418" width="6.73046875" style="256" customWidth="1"/>
    <col min="13419" max="13419" width="4" style="256" customWidth="1"/>
    <col min="13420" max="13420" width="7.265625" style="256" customWidth="1"/>
    <col min="13421" max="13421" width="4" style="256" customWidth="1"/>
    <col min="13422" max="13422" width="13" style="256" customWidth="1"/>
    <col min="13423" max="13423" width="7.73046875" style="256" customWidth="1"/>
    <col min="13424" max="13424" width="5.59765625" style="256" customWidth="1"/>
    <col min="13425" max="13425" width="5.73046875" style="256" customWidth="1"/>
    <col min="13426" max="13426" width="8.1328125" style="256" customWidth="1"/>
    <col min="13427" max="13428" width="7.59765625" style="256" customWidth="1"/>
    <col min="13429" max="13429" width="6.73046875" style="256" customWidth="1"/>
    <col min="13430" max="13430" width="4" style="256" customWidth="1"/>
    <col min="13431" max="13431" width="7.265625" style="256" customWidth="1"/>
    <col min="13432" max="13432" width="4" style="256" customWidth="1"/>
    <col min="13433" max="13433" width="13" style="256" customWidth="1"/>
    <col min="13434" max="13434" width="7.73046875" style="256" customWidth="1"/>
    <col min="13435" max="13435" width="5.59765625" style="256" customWidth="1"/>
    <col min="13436" max="13436" width="5.73046875" style="256" customWidth="1"/>
    <col min="13437" max="13437" width="8.1328125" style="256" customWidth="1"/>
    <col min="13438" max="13439" width="7.59765625" style="256" customWidth="1"/>
    <col min="13440" max="13440" width="6.73046875" style="256" customWidth="1"/>
    <col min="13441" max="13441" width="4" style="256" customWidth="1"/>
    <col min="13442" max="13442" width="7.265625" style="256" customWidth="1"/>
    <col min="13443" max="13443" width="4" style="256" customWidth="1"/>
    <col min="13444" max="13444" width="13" style="256" customWidth="1"/>
    <col min="13445" max="13445" width="7.73046875" style="256" customWidth="1"/>
    <col min="13446" max="13446" width="5.59765625" style="256" customWidth="1"/>
    <col min="13447" max="13447" width="5.73046875" style="256" customWidth="1"/>
    <col min="13448" max="13448" width="8.1328125" style="256" customWidth="1"/>
    <col min="13449" max="13450" width="7.59765625" style="256" customWidth="1"/>
    <col min="13451" max="13451" width="6.73046875" style="256" customWidth="1"/>
    <col min="13452" max="13452" width="4" style="256" customWidth="1"/>
    <col min="13453" max="13453" width="7.265625" style="256" customWidth="1"/>
    <col min="13454" max="13454" width="4" style="256" customWidth="1"/>
    <col min="13455" max="13455" width="13" style="256" customWidth="1"/>
    <col min="13456" max="13456" width="7.73046875" style="256" customWidth="1"/>
    <col min="13457" max="13457" width="5.59765625" style="256" customWidth="1"/>
    <col min="13458" max="13459" width="9.1328125" style="256"/>
    <col min="13460" max="13460" width="6.59765625" style="256" customWidth="1"/>
    <col min="13461" max="13461" width="8.73046875" style="256" customWidth="1"/>
    <col min="13462" max="13462" width="7.3984375" style="256" customWidth="1"/>
    <col min="13463" max="13463" width="7.265625" style="256" customWidth="1"/>
    <col min="13464" max="13464" width="7.73046875" style="256" customWidth="1"/>
    <col min="13465" max="13465" width="4.3984375" style="256" customWidth="1"/>
    <col min="13466" max="13466" width="9.1328125" style="256"/>
    <col min="13467" max="13467" width="6" style="256" customWidth="1"/>
    <col min="13468" max="13468" width="12.265625" style="256" customWidth="1"/>
    <col min="13469" max="13469" width="8" style="256" customWidth="1"/>
    <col min="13470" max="13472" width="9.1328125" style="256"/>
    <col min="13473" max="13473" width="7.73046875" style="256" customWidth="1"/>
    <col min="13474" max="13474" width="8.265625" style="256" customWidth="1"/>
    <col min="13475" max="13475" width="7.1328125" style="256" customWidth="1"/>
    <col min="13476" max="13476" width="7.59765625" style="256" customWidth="1"/>
    <col min="13477" max="13477" width="7.3984375" style="256" customWidth="1"/>
    <col min="13478" max="13478" width="4.86328125" style="256" customWidth="1"/>
    <col min="13479" max="13479" width="9.1328125" style="256"/>
    <col min="13480" max="13480" width="5" style="256" customWidth="1"/>
    <col min="13481" max="13481" width="12.265625" style="256" customWidth="1"/>
    <col min="13482" max="13482" width="7.86328125" style="256" customWidth="1"/>
    <col min="13483" max="13485" width="9.1328125" style="256"/>
    <col min="13486" max="13486" width="7.265625" style="256" customWidth="1"/>
    <col min="13487" max="13487" width="8.1328125" style="256" customWidth="1"/>
    <col min="13488" max="13488" width="6.86328125" style="256" customWidth="1"/>
    <col min="13489" max="13489" width="8" style="256" customWidth="1"/>
    <col min="13490" max="13490" width="7.3984375" style="256" customWidth="1"/>
    <col min="13491" max="13491" width="4.59765625" style="256" customWidth="1"/>
    <col min="13492" max="13492" width="9.1328125" style="256"/>
    <col min="13493" max="13493" width="4.1328125" style="256" customWidth="1"/>
    <col min="13494" max="13494" width="12" style="256" customWidth="1"/>
    <col min="13495" max="13495" width="8.1328125" style="256" customWidth="1"/>
    <col min="13496" max="13498" width="9.1328125" style="256"/>
    <col min="13499" max="13499" width="5.3984375" style="256" customWidth="1"/>
    <col min="13500" max="13500" width="7.73046875" style="256" customWidth="1"/>
    <col min="13501" max="13501" width="5.1328125" style="256" customWidth="1"/>
    <col min="13502" max="13502" width="7.3984375" style="256" customWidth="1"/>
    <col min="13503" max="13503" width="7.1328125" style="256" customWidth="1"/>
    <col min="13504" max="13504" width="4.265625" style="256" customWidth="1"/>
    <col min="13505" max="13505" width="9.1328125" style="256"/>
    <col min="13506" max="13506" width="5.1328125" style="256" customWidth="1"/>
    <col min="13507" max="13507" width="12.265625" style="256" customWidth="1"/>
    <col min="13508" max="13508" width="7.73046875" style="256" customWidth="1"/>
    <col min="13509" max="13510" width="9.1328125" style="256"/>
    <col min="13511" max="13511" width="6.73046875" style="256" customWidth="1"/>
    <col min="13512" max="13512" width="7.59765625" style="256" customWidth="1"/>
    <col min="13513" max="13513" width="6.265625" style="256" customWidth="1"/>
    <col min="13514" max="13514" width="8.1328125" style="256" customWidth="1"/>
    <col min="13515" max="13515" width="7.1328125" style="256" customWidth="1"/>
    <col min="13516" max="13516" width="4.3984375" style="256" customWidth="1"/>
    <col min="13517" max="13517" width="9.1328125" style="256"/>
    <col min="13518" max="13518" width="3.86328125" style="256" customWidth="1"/>
    <col min="13519" max="13519" width="12.265625" style="256" customWidth="1"/>
    <col min="13520" max="13520" width="8.3984375" style="256" customWidth="1"/>
    <col min="13521" max="13522" width="9.1328125" style="256"/>
    <col min="13523" max="13523" width="8.1328125" style="256" customWidth="1"/>
    <col min="13524" max="13524" width="8.3984375" style="256" customWidth="1"/>
    <col min="13525" max="13525" width="7" style="256" customWidth="1"/>
    <col min="13526" max="13526" width="8.3984375" style="256" customWidth="1"/>
    <col min="13527" max="13527" width="9.1328125" style="256"/>
    <col min="13528" max="13528" width="6.1328125" style="256" customWidth="1"/>
    <col min="13529" max="13529" width="9.1328125" style="256"/>
    <col min="13530" max="13530" width="6.73046875" style="256" customWidth="1"/>
    <col min="13531" max="13547" width="9.1328125" style="256"/>
    <col min="13548" max="13548" width="5.59765625" style="256" customWidth="1"/>
    <col min="13549" max="13549" width="5.73046875" style="256" customWidth="1"/>
    <col min="13550" max="13550" width="8.1328125" style="256" customWidth="1"/>
    <col min="13551" max="13552" width="7.59765625" style="256" customWidth="1"/>
    <col min="13553" max="13553" width="6.73046875" style="256" customWidth="1"/>
    <col min="13554" max="13554" width="4" style="256" customWidth="1"/>
    <col min="13555" max="13555" width="7.265625" style="256" customWidth="1"/>
    <col min="13556" max="13556" width="4" style="256" customWidth="1"/>
    <col min="13557" max="13557" width="13" style="256" customWidth="1"/>
    <col min="13558" max="13558" width="8" style="256" customWidth="1"/>
    <col min="13559" max="13559" width="5.59765625" style="256" customWidth="1"/>
    <col min="13560" max="13560" width="5.73046875" style="256" customWidth="1"/>
    <col min="13561" max="13561" width="8.1328125" style="256" customWidth="1"/>
    <col min="13562" max="13563" width="7.59765625" style="256" customWidth="1"/>
    <col min="13564" max="13564" width="6.73046875" style="256" customWidth="1"/>
    <col min="13565" max="13565" width="4" style="256" customWidth="1"/>
    <col min="13566" max="13566" width="7.265625" style="256" customWidth="1"/>
    <col min="13567" max="13567" width="4" style="256" customWidth="1"/>
    <col min="13568" max="13568" width="13" style="256" customWidth="1"/>
    <col min="13569" max="13569" width="7.73046875" style="256" customWidth="1"/>
    <col min="13570" max="13570" width="5.59765625" style="256" customWidth="1"/>
    <col min="13571" max="13571" width="5.73046875" style="256" customWidth="1"/>
    <col min="13572" max="13572" width="8.1328125" style="256" customWidth="1"/>
    <col min="13573" max="13574" width="7.59765625" style="256" customWidth="1"/>
    <col min="13575" max="13575" width="6.73046875" style="256" customWidth="1"/>
    <col min="13576" max="13576" width="4" style="256" customWidth="1"/>
    <col min="13577" max="13577" width="7.265625" style="256" customWidth="1"/>
    <col min="13578" max="13578" width="4" style="256" customWidth="1"/>
    <col min="13579" max="13579" width="13" style="256" customWidth="1"/>
    <col min="13580" max="13580" width="7.73046875" style="256" customWidth="1"/>
    <col min="13581" max="13581" width="5.59765625" style="256" customWidth="1"/>
    <col min="13582" max="13582" width="5.73046875" style="256" customWidth="1"/>
    <col min="13583" max="13583" width="8.1328125" style="256" customWidth="1"/>
    <col min="13584" max="13585" width="7.59765625" style="256" customWidth="1"/>
    <col min="13586" max="13586" width="6.73046875" style="256" customWidth="1"/>
    <col min="13587" max="13587" width="4" style="256" customWidth="1"/>
    <col min="13588" max="13588" width="7.265625" style="256" customWidth="1"/>
    <col min="13589" max="13589" width="4" style="256" customWidth="1"/>
    <col min="13590" max="13590" width="13" style="256" customWidth="1"/>
    <col min="13591" max="13591" width="7.73046875" style="256" customWidth="1"/>
    <col min="13592" max="13592" width="5.59765625" style="256" customWidth="1"/>
    <col min="13593" max="13593" width="5.73046875" style="256" customWidth="1"/>
    <col min="13594" max="13594" width="8.1328125" style="256" customWidth="1"/>
    <col min="13595" max="13596" width="7.59765625" style="256" customWidth="1"/>
    <col min="13597" max="13597" width="6.73046875" style="256" customWidth="1"/>
    <col min="13598" max="13598" width="4" style="256" customWidth="1"/>
    <col min="13599" max="13599" width="7.265625" style="256" customWidth="1"/>
    <col min="13600" max="13600" width="4" style="256" customWidth="1"/>
    <col min="13601" max="13601" width="13" style="256" customWidth="1"/>
    <col min="13602" max="13602" width="7.73046875" style="256" customWidth="1"/>
    <col min="13603" max="13603" width="5.59765625" style="256" customWidth="1"/>
    <col min="13604" max="13604" width="5.73046875" style="256" customWidth="1"/>
    <col min="13605" max="13605" width="8.1328125" style="256" customWidth="1"/>
    <col min="13606" max="13607" width="7.59765625" style="256" customWidth="1"/>
    <col min="13608" max="13608" width="6.73046875" style="256" customWidth="1"/>
    <col min="13609" max="13609" width="4" style="256" customWidth="1"/>
    <col min="13610" max="13610" width="7.265625" style="256" customWidth="1"/>
    <col min="13611" max="13611" width="4" style="256" customWidth="1"/>
    <col min="13612" max="13612" width="13" style="256" customWidth="1"/>
    <col min="13613" max="13613" width="7.73046875" style="256" customWidth="1"/>
    <col min="13614" max="13614" width="5.59765625" style="256" customWidth="1"/>
    <col min="13615" max="13615" width="5.73046875" style="256" customWidth="1"/>
    <col min="13616" max="13616" width="8.1328125" style="256" customWidth="1"/>
    <col min="13617" max="13618" width="7.59765625" style="256" customWidth="1"/>
    <col min="13619" max="13619" width="6.73046875" style="256" customWidth="1"/>
    <col min="13620" max="13620" width="4" style="256" customWidth="1"/>
    <col min="13621" max="13621" width="7.265625" style="256" customWidth="1"/>
    <col min="13622" max="13622" width="4" style="256" customWidth="1"/>
    <col min="13623" max="13623" width="13" style="256" customWidth="1"/>
    <col min="13624" max="13624" width="7.73046875" style="256" customWidth="1"/>
    <col min="13625" max="13625" width="5.59765625" style="256" customWidth="1"/>
    <col min="13626" max="13626" width="5.73046875" style="256" customWidth="1"/>
    <col min="13627" max="13627" width="8.1328125" style="256" customWidth="1"/>
    <col min="13628" max="13629" width="7.59765625" style="256" customWidth="1"/>
    <col min="13630" max="13630" width="6.73046875" style="256" customWidth="1"/>
    <col min="13631" max="13631" width="4" style="256" customWidth="1"/>
    <col min="13632" max="13632" width="7.265625" style="256" customWidth="1"/>
    <col min="13633" max="13633" width="4.3984375" style="256" customWidth="1"/>
    <col min="13634" max="13634" width="13" style="256" customWidth="1"/>
    <col min="13635" max="13635" width="7.73046875" style="256" customWidth="1"/>
    <col min="13636" max="13636" width="5.59765625" style="256" customWidth="1"/>
    <col min="13637" max="13637" width="5.73046875" style="256" customWidth="1"/>
    <col min="13638" max="13638" width="8.1328125" style="256" customWidth="1"/>
    <col min="13639" max="13640" width="7.59765625" style="256" customWidth="1"/>
    <col min="13641" max="13641" width="6.73046875" style="256" customWidth="1"/>
    <col min="13642" max="13642" width="4" style="256" customWidth="1"/>
    <col min="13643" max="13643" width="7.265625" style="256" customWidth="1"/>
    <col min="13644" max="13644" width="4" style="256" customWidth="1"/>
    <col min="13645" max="13645" width="13" style="256" customWidth="1"/>
    <col min="13646" max="13646" width="7.73046875" style="256" customWidth="1"/>
    <col min="13647" max="13647" width="5.59765625" style="256" customWidth="1"/>
    <col min="13648" max="13648" width="5.73046875" style="256" customWidth="1"/>
    <col min="13649" max="13649" width="8.1328125" style="256" customWidth="1"/>
    <col min="13650" max="13651" width="7.59765625" style="256" customWidth="1"/>
    <col min="13652" max="13652" width="6.73046875" style="256" customWidth="1"/>
    <col min="13653" max="13653" width="4" style="256" customWidth="1"/>
    <col min="13654" max="13654" width="7.265625" style="256" customWidth="1"/>
    <col min="13655" max="13655" width="4" style="256" customWidth="1"/>
    <col min="13656" max="13656" width="13" style="256" customWidth="1"/>
    <col min="13657" max="13657" width="7.73046875" style="256" customWidth="1"/>
    <col min="13658" max="13658" width="5.59765625" style="256" customWidth="1"/>
    <col min="13659" max="13659" width="5.73046875" style="256" customWidth="1"/>
    <col min="13660" max="13660" width="8.1328125" style="256" customWidth="1"/>
    <col min="13661" max="13662" width="7.59765625" style="256" customWidth="1"/>
    <col min="13663" max="13663" width="6.73046875" style="256" customWidth="1"/>
    <col min="13664" max="13664" width="4" style="256" customWidth="1"/>
    <col min="13665" max="13665" width="7.265625" style="256" customWidth="1"/>
    <col min="13666" max="13666" width="4" style="256" customWidth="1"/>
    <col min="13667" max="13667" width="13" style="256" customWidth="1"/>
    <col min="13668" max="13668" width="7.73046875" style="256" customWidth="1"/>
    <col min="13669" max="13669" width="5.59765625" style="256" customWidth="1"/>
    <col min="13670" max="13670" width="5.73046875" style="256" customWidth="1"/>
    <col min="13671" max="13671" width="8.1328125" style="256" customWidth="1"/>
    <col min="13672" max="13673" width="7.59765625" style="256" customWidth="1"/>
    <col min="13674" max="13674" width="6.73046875" style="256" customWidth="1"/>
    <col min="13675" max="13675" width="4" style="256" customWidth="1"/>
    <col min="13676" max="13676" width="7.265625" style="256" customWidth="1"/>
    <col min="13677" max="13677" width="4" style="256" customWidth="1"/>
    <col min="13678" max="13678" width="13" style="256" customWidth="1"/>
    <col min="13679" max="13679" width="7.73046875" style="256" customWidth="1"/>
    <col min="13680" max="13680" width="5.59765625" style="256" customWidth="1"/>
    <col min="13681" max="13681" width="5.73046875" style="256" customWidth="1"/>
    <col min="13682" max="13682" width="8.1328125" style="256" customWidth="1"/>
    <col min="13683" max="13684" width="7.59765625" style="256" customWidth="1"/>
    <col min="13685" max="13685" width="6.73046875" style="256" customWidth="1"/>
    <col min="13686" max="13686" width="4" style="256" customWidth="1"/>
    <col min="13687" max="13687" width="7.265625" style="256" customWidth="1"/>
    <col min="13688" max="13688" width="4" style="256" customWidth="1"/>
    <col min="13689" max="13689" width="13" style="256" customWidth="1"/>
    <col min="13690" max="13690" width="7.73046875" style="256" customWidth="1"/>
    <col min="13691" max="13691" width="5.59765625" style="256" customWidth="1"/>
    <col min="13692" max="13692" width="5.73046875" style="256" customWidth="1"/>
    <col min="13693" max="13693" width="8.1328125" style="256" customWidth="1"/>
    <col min="13694" max="13695" width="7.59765625" style="256" customWidth="1"/>
    <col min="13696" max="13696" width="6.73046875" style="256" customWidth="1"/>
    <col min="13697" max="13697" width="4" style="256" customWidth="1"/>
    <col min="13698" max="13698" width="7.265625" style="256" customWidth="1"/>
    <col min="13699" max="13699" width="4" style="256" customWidth="1"/>
    <col min="13700" max="13700" width="13" style="256" customWidth="1"/>
    <col min="13701" max="13701" width="7.73046875" style="256" customWidth="1"/>
    <col min="13702" max="13702" width="5.59765625" style="256" customWidth="1"/>
    <col min="13703" max="13703" width="5.73046875" style="256" customWidth="1"/>
    <col min="13704" max="13704" width="8.1328125" style="256" customWidth="1"/>
    <col min="13705" max="13706" width="7.59765625" style="256" customWidth="1"/>
    <col min="13707" max="13707" width="6.73046875" style="256" customWidth="1"/>
    <col min="13708" max="13708" width="4" style="256" customWidth="1"/>
    <col min="13709" max="13709" width="7.265625" style="256" customWidth="1"/>
    <col min="13710" max="13710" width="4" style="256" customWidth="1"/>
    <col min="13711" max="13711" width="13" style="256" customWidth="1"/>
    <col min="13712" max="13712" width="7.73046875" style="256" customWidth="1"/>
    <col min="13713" max="13713" width="5.59765625" style="256" customWidth="1"/>
    <col min="13714" max="13715" width="9.1328125" style="256"/>
    <col min="13716" max="13716" width="6.59765625" style="256" customWidth="1"/>
    <col min="13717" max="13717" width="8.73046875" style="256" customWidth="1"/>
    <col min="13718" max="13718" width="7.3984375" style="256" customWidth="1"/>
    <col min="13719" max="13719" width="7.265625" style="256" customWidth="1"/>
    <col min="13720" max="13720" width="7.73046875" style="256" customWidth="1"/>
    <col min="13721" max="13721" width="4.3984375" style="256" customWidth="1"/>
    <col min="13722" max="13722" width="9.1328125" style="256"/>
    <col min="13723" max="13723" width="6" style="256" customWidth="1"/>
    <col min="13724" max="13724" width="12.265625" style="256" customWidth="1"/>
    <col min="13725" max="13725" width="8" style="256" customWidth="1"/>
    <col min="13726" max="13728" width="9.1328125" style="256"/>
    <col min="13729" max="13729" width="7.73046875" style="256" customWidth="1"/>
    <col min="13730" max="13730" width="8.265625" style="256" customWidth="1"/>
    <col min="13731" max="13731" width="7.1328125" style="256" customWidth="1"/>
    <col min="13732" max="13732" width="7.59765625" style="256" customWidth="1"/>
    <col min="13733" max="13733" width="7.3984375" style="256" customWidth="1"/>
    <col min="13734" max="13734" width="4.86328125" style="256" customWidth="1"/>
    <col min="13735" max="13735" width="9.1328125" style="256"/>
    <col min="13736" max="13736" width="5" style="256" customWidth="1"/>
    <col min="13737" max="13737" width="12.265625" style="256" customWidth="1"/>
    <col min="13738" max="13738" width="7.86328125" style="256" customWidth="1"/>
    <col min="13739" max="13741" width="9.1328125" style="256"/>
    <col min="13742" max="13742" width="7.265625" style="256" customWidth="1"/>
    <col min="13743" max="13743" width="8.1328125" style="256" customWidth="1"/>
    <col min="13744" max="13744" width="6.86328125" style="256" customWidth="1"/>
    <col min="13745" max="13745" width="8" style="256" customWidth="1"/>
    <col min="13746" max="13746" width="7.3984375" style="256" customWidth="1"/>
    <col min="13747" max="13747" width="4.59765625" style="256" customWidth="1"/>
    <col min="13748" max="13748" width="9.1328125" style="256"/>
    <col min="13749" max="13749" width="4.1328125" style="256" customWidth="1"/>
    <col min="13750" max="13750" width="12" style="256" customWidth="1"/>
    <col min="13751" max="13751" width="8.1328125" style="256" customWidth="1"/>
    <col min="13752" max="13754" width="9.1328125" style="256"/>
    <col min="13755" max="13755" width="5.3984375" style="256" customWidth="1"/>
    <col min="13756" max="13756" width="7.73046875" style="256" customWidth="1"/>
    <col min="13757" max="13757" width="5.1328125" style="256" customWidth="1"/>
    <col min="13758" max="13758" width="7.3984375" style="256" customWidth="1"/>
    <col min="13759" max="13759" width="7.1328125" style="256" customWidth="1"/>
    <col min="13760" max="13760" width="4.265625" style="256" customWidth="1"/>
    <col min="13761" max="13761" width="9.1328125" style="256"/>
    <col min="13762" max="13762" width="5.1328125" style="256" customWidth="1"/>
    <col min="13763" max="13763" width="12.265625" style="256" customWidth="1"/>
    <col min="13764" max="13764" width="7.73046875" style="256" customWidth="1"/>
    <col min="13765" max="13766" width="9.1328125" style="256"/>
    <col min="13767" max="13767" width="6.73046875" style="256" customWidth="1"/>
    <col min="13768" max="13768" width="7.59765625" style="256" customWidth="1"/>
    <col min="13769" max="13769" width="6.265625" style="256" customWidth="1"/>
    <col min="13770" max="13770" width="8.1328125" style="256" customWidth="1"/>
    <col min="13771" max="13771" width="7.1328125" style="256" customWidth="1"/>
    <col min="13772" max="13772" width="4.3984375" style="256" customWidth="1"/>
    <col min="13773" max="13773" width="9.1328125" style="256"/>
    <col min="13774" max="13774" width="3.86328125" style="256" customWidth="1"/>
    <col min="13775" max="13775" width="12.265625" style="256" customWidth="1"/>
    <col min="13776" max="13776" width="8.3984375" style="256" customWidth="1"/>
    <col min="13777" max="13778" width="9.1328125" style="256"/>
    <col min="13779" max="13779" width="8.1328125" style="256" customWidth="1"/>
    <col min="13780" max="13780" width="8.3984375" style="256" customWidth="1"/>
    <col min="13781" max="13781" width="7" style="256" customWidth="1"/>
    <col min="13782" max="13782" width="8.3984375" style="256" customWidth="1"/>
    <col min="13783" max="13783" width="9.1328125" style="256"/>
    <col min="13784" max="13784" width="6.1328125" style="256" customWidth="1"/>
    <col min="13785" max="13785" width="9.1328125" style="256"/>
    <col min="13786" max="13786" width="6.73046875" style="256" customWidth="1"/>
    <col min="13787" max="13803" width="9.1328125" style="256"/>
    <col min="13804" max="13804" width="5.59765625" style="256" customWidth="1"/>
    <col min="13805" max="13805" width="5.73046875" style="256" customWidth="1"/>
    <col min="13806" max="13806" width="8.1328125" style="256" customWidth="1"/>
    <col min="13807" max="13808" width="7.59765625" style="256" customWidth="1"/>
    <col min="13809" max="13809" width="6.73046875" style="256" customWidth="1"/>
    <col min="13810" max="13810" width="4" style="256" customWidth="1"/>
    <col min="13811" max="13811" width="7.265625" style="256" customWidth="1"/>
    <col min="13812" max="13812" width="4" style="256" customWidth="1"/>
    <col min="13813" max="13813" width="13" style="256" customWidth="1"/>
    <col min="13814" max="13814" width="8" style="256" customWidth="1"/>
    <col min="13815" max="13815" width="5.59765625" style="256" customWidth="1"/>
    <col min="13816" max="13816" width="5.73046875" style="256" customWidth="1"/>
    <col min="13817" max="13817" width="8.1328125" style="256" customWidth="1"/>
    <col min="13818" max="13819" width="7.59765625" style="256" customWidth="1"/>
    <col min="13820" max="13820" width="6.73046875" style="256" customWidth="1"/>
    <col min="13821" max="13821" width="4" style="256" customWidth="1"/>
    <col min="13822" max="13822" width="7.265625" style="256" customWidth="1"/>
    <col min="13823" max="13823" width="4" style="256" customWidth="1"/>
    <col min="13824" max="13824" width="13" style="256" customWidth="1"/>
    <col min="13825" max="13825" width="7.73046875" style="256" customWidth="1"/>
    <col min="13826" max="13826" width="5.59765625" style="256" customWidth="1"/>
    <col min="13827" max="13827" width="5.73046875" style="256" customWidth="1"/>
    <col min="13828" max="13828" width="8.1328125" style="256" customWidth="1"/>
    <col min="13829" max="13830" width="7.59765625" style="256" customWidth="1"/>
    <col min="13831" max="13831" width="6.73046875" style="256" customWidth="1"/>
    <col min="13832" max="13832" width="4" style="256" customWidth="1"/>
    <col min="13833" max="13833" width="7.265625" style="256" customWidth="1"/>
    <col min="13834" max="13834" width="4" style="256" customWidth="1"/>
    <col min="13835" max="13835" width="13" style="256" customWidth="1"/>
    <col min="13836" max="13836" width="7.73046875" style="256" customWidth="1"/>
    <col min="13837" max="13837" width="5.59765625" style="256" customWidth="1"/>
    <col min="13838" max="13838" width="5.73046875" style="256" customWidth="1"/>
    <col min="13839" max="13839" width="8.1328125" style="256" customWidth="1"/>
    <col min="13840" max="13841" width="7.59765625" style="256" customWidth="1"/>
    <col min="13842" max="13842" width="6.73046875" style="256" customWidth="1"/>
    <col min="13843" max="13843" width="4" style="256" customWidth="1"/>
    <col min="13844" max="13844" width="7.265625" style="256" customWidth="1"/>
    <col min="13845" max="13845" width="4" style="256" customWidth="1"/>
    <col min="13846" max="13846" width="13" style="256" customWidth="1"/>
    <col min="13847" max="13847" width="7.73046875" style="256" customWidth="1"/>
    <col min="13848" max="13848" width="5.59765625" style="256" customWidth="1"/>
    <col min="13849" max="13849" width="5.73046875" style="256" customWidth="1"/>
    <col min="13850" max="13850" width="8.1328125" style="256" customWidth="1"/>
    <col min="13851" max="13852" width="7.59765625" style="256" customWidth="1"/>
    <col min="13853" max="13853" width="6.73046875" style="256" customWidth="1"/>
    <col min="13854" max="13854" width="4" style="256" customWidth="1"/>
    <col min="13855" max="13855" width="7.265625" style="256" customWidth="1"/>
    <col min="13856" max="13856" width="4" style="256" customWidth="1"/>
    <col min="13857" max="13857" width="13" style="256" customWidth="1"/>
    <col min="13858" max="13858" width="7.73046875" style="256" customWidth="1"/>
    <col min="13859" max="13859" width="5.59765625" style="256" customWidth="1"/>
    <col min="13860" max="13860" width="5.73046875" style="256" customWidth="1"/>
    <col min="13861" max="13861" width="8.1328125" style="256" customWidth="1"/>
    <col min="13862" max="13863" width="7.59765625" style="256" customWidth="1"/>
    <col min="13864" max="13864" width="6.73046875" style="256" customWidth="1"/>
    <col min="13865" max="13865" width="4" style="256" customWidth="1"/>
    <col min="13866" max="13866" width="7.265625" style="256" customWidth="1"/>
    <col min="13867" max="13867" width="4" style="256" customWidth="1"/>
    <col min="13868" max="13868" width="13" style="256" customWidth="1"/>
    <col min="13869" max="13869" width="7.73046875" style="256" customWidth="1"/>
    <col min="13870" max="13870" width="5.59765625" style="256" customWidth="1"/>
    <col min="13871" max="13871" width="5.73046875" style="256" customWidth="1"/>
    <col min="13872" max="13872" width="8.1328125" style="256" customWidth="1"/>
    <col min="13873" max="13874" width="7.59765625" style="256" customWidth="1"/>
    <col min="13875" max="13875" width="6.73046875" style="256" customWidth="1"/>
    <col min="13876" max="13876" width="4" style="256" customWidth="1"/>
    <col min="13877" max="13877" width="7.265625" style="256" customWidth="1"/>
    <col min="13878" max="13878" width="4" style="256" customWidth="1"/>
    <col min="13879" max="13879" width="13" style="256" customWidth="1"/>
    <col min="13880" max="13880" width="7.73046875" style="256" customWidth="1"/>
    <col min="13881" max="13881" width="5.59765625" style="256" customWidth="1"/>
    <col min="13882" max="13882" width="5.73046875" style="256" customWidth="1"/>
    <col min="13883" max="13883" width="8.1328125" style="256" customWidth="1"/>
    <col min="13884" max="13885" width="7.59765625" style="256" customWidth="1"/>
    <col min="13886" max="13886" width="6.73046875" style="256" customWidth="1"/>
    <col min="13887" max="13887" width="4" style="256" customWidth="1"/>
    <col min="13888" max="13888" width="7.265625" style="256" customWidth="1"/>
    <col min="13889" max="13889" width="4.3984375" style="256" customWidth="1"/>
    <col min="13890" max="13890" width="13" style="256" customWidth="1"/>
    <col min="13891" max="13891" width="7.73046875" style="256" customWidth="1"/>
    <col min="13892" max="13892" width="5.59765625" style="256" customWidth="1"/>
    <col min="13893" max="13893" width="5.73046875" style="256" customWidth="1"/>
    <col min="13894" max="13894" width="8.1328125" style="256" customWidth="1"/>
    <col min="13895" max="13896" width="7.59765625" style="256" customWidth="1"/>
    <col min="13897" max="13897" width="6.73046875" style="256" customWidth="1"/>
    <col min="13898" max="13898" width="4" style="256" customWidth="1"/>
    <col min="13899" max="13899" width="7.265625" style="256" customWidth="1"/>
    <col min="13900" max="13900" width="4" style="256" customWidth="1"/>
    <col min="13901" max="13901" width="13" style="256" customWidth="1"/>
    <col min="13902" max="13902" width="7.73046875" style="256" customWidth="1"/>
    <col min="13903" max="13903" width="5.59765625" style="256" customWidth="1"/>
    <col min="13904" max="13904" width="5.73046875" style="256" customWidth="1"/>
    <col min="13905" max="13905" width="8.1328125" style="256" customWidth="1"/>
    <col min="13906" max="13907" width="7.59765625" style="256" customWidth="1"/>
    <col min="13908" max="13908" width="6.73046875" style="256" customWidth="1"/>
    <col min="13909" max="13909" width="4" style="256" customWidth="1"/>
    <col min="13910" max="13910" width="7.265625" style="256" customWidth="1"/>
    <col min="13911" max="13911" width="4" style="256" customWidth="1"/>
    <col min="13912" max="13912" width="13" style="256" customWidth="1"/>
    <col min="13913" max="13913" width="7.73046875" style="256" customWidth="1"/>
    <col min="13914" max="13914" width="5.59765625" style="256" customWidth="1"/>
    <col min="13915" max="13915" width="5.73046875" style="256" customWidth="1"/>
    <col min="13916" max="13916" width="8.1328125" style="256" customWidth="1"/>
    <col min="13917" max="13918" width="7.59765625" style="256" customWidth="1"/>
    <col min="13919" max="13919" width="6.73046875" style="256" customWidth="1"/>
    <col min="13920" max="13920" width="4" style="256" customWidth="1"/>
    <col min="13921" max="13921" width="7.265625" style="256" customWidth="1"/>
    <col min="13922" max="13922" width="4" style="256" customWidth="1"/>
    <col min="13923" max="13923" width="13" style="256" customWidth="1"/>
    <col min="13924" max="13924" width="7.73046875" style="256" customWidth="1"/>
    <col min="13925" max="13925" width="5.59765625" style="256" customWidth="1"/>
    <col min="13926" max="13926" width="5.73046875" style="256" customWidth="1"/>
    <col min="13927" max="13927" width="8.1328125" style="256" customWidth="1"/>
    <col min="13928" max="13929" width="7.59765625" style="256" customWidth="1"/>
    <col min="13930" max="13930" width="6.73046875" style="256" customWidth="1"/>
    <col min="13931" max="13931" width="4" style="256" customWidth="1"/>
    <col min="13932" max="13932" width="7.265625" style="256" customWidth="1"/>
    <col min="13933" max="13933" width="4" style="256" customWidth="1"/>
    <col min="13934" max="13934" width="13" style="256" customWidth="1"/>
    <col min="13935" max="13935" width="7.73046875" style="256" customWidth="1"/>
    <col min="13936" max="13936" width="5.59765625" style="256" customWidth="1"/>
    <col min="13937" max="13937" width="5.73046875" style="256" customWidth="1"/>
    <col min="13938" max="13938" width="8.1328125" style="256" customWidth="1"/>
    <col min="13939" max="13940" width="7.59765625" style="256" customWidth="1"/>
    <col min="13941" max="13941" width="6.73046875" style="256" customWidth="1"/>
    <col min="13942" max="13942" width="4" style="256" customWidth="1"/>
    <col min="13943" max="13943" width="7.265625" style="256" customWidth="1"/>
    <col min="13944" max="13944" width="4" style="256" customWidth="1"/>
    <col min="13945" max="13945" width="13" style="256" customWidth="1"/>
    <col min="13946" max="13946" width="7.73046875" style="256" customWidth="1"/>
    <col min="13947" max="13947" width="5.59765625" style="256" customWidth="1"/>
    <col min="13948" max="13948" width="5.73046875" style="256" customWidth="1"/>
    <col min="13949" max="13949" width="8.1328125" style="256" customWidth="1"/>
    <col min="13950" max="13951" width="7.59765625" style="256" customWidth="1"/>
    <col min="13952" max="13952" width="6.73046875" style="256" customWidth="1"/>
    <col min="13953" max="13953" width="4" style="256" customWidth="1"/>
    <col min="13954" max="13954" width="7.265625" style="256" customWidth="1"/>
    <col min="13955" max="13955" width="4" style="256" customWidth="1"/>
    <col min="13956" max="13956" width="13" style="256" customWidth="1"/>
    <col min="13957" max="13957" width="7.73046875" style="256" customWidth="1"/>
    <col min="13958" max="13958" width="5.59765625" style="256" customWidth="1"/>
    <col min="13959" max="13959" width="5.73046875" style="256" customWidth="1"/>
    <col min="13960" max="13960" width="8.1328125" style="256" customWidth="1"/>
    <col min="13961" max="13962" width="7.59765625" style="256" customWidth="1"/>
    <col min="13963" max="13963" width="6.73046875" style="256" customWidth="1"/>
    <col min="13964" max="13964" width="4" style="256" customWidth="1"/>
    <col min="13965" max="13965" width="7.265625" style="256" customWidth="1"/>
    <col min="13966" max="13966" width="4" style="256" customWidth="1"/>
    <col min="13967" max="13967" width="13" style="256" customWidth="1"/>
    <col min="13968" max="13968" width="7.73046875" style="256" customWidth="1"/>
    <col min="13969" max="13969" width="5.59765625" style="256" customWidth="1"/>
    <col min="13970" max="13971" width="9.1328125" style="256"/>
    <col min="13972" max="13972" width="6.59765625" style="256" customWidth="1"/>
    <col min="13973" max="13973" width="8.73046875" style="256" customWidth="1"/>
    <col min="13974" max="13974" width="7.3984375" style="256" customWidth="1"/>
    <col min="13975" max="13975" width="7.265625" style="256" customWidth="1"/>
    <col min="13976" max="13976" width="7.73046875" style="256" customWidth="1"/>
    <col min="13977" max="13977" width="4.3984375" style="256" customWidth="1"/>
    <col min="13978" max="13978" width="9.1328125" style="256"/>
    <col min="13979" max="13979" width="6" style="256" customWidth="1"/>
    <col min="13980" max="13980" width="12.265625" style="256" customWidth="1"/>
    <col min="13981" max="13981" width="8" style="256" customWidth="1"/>
    <col min="13982" max="13984" width="9.1328125" style="256"/>
    <col min="13985" max="13985" width="7.73046875" style="256" customWidth="1"/>
    <col min="13986" max="13986" width="8.265625" style="256" customWidth="1"/>
    <col min="13987" max="13987" width="7.1328125" style="256" customWidth="1"/>
    <col min="13988" max="13988" width="7.59765625" style="256" customWidth="1"/>
    <col min="13989" max="13989" width="7.3984375" style="256" customWidth="1"/>
    <col min="13990" max="13990" width="4.86328125" style="256" customWidth="1"/>
    <col min="13991" max="13991" width="9.1328125" style="256"/>
    <col min="13992" max="13992" width="5" style="256" customWidth="1"/>
    <col min="13993" max="13993" width="12.265625" style="256" customWidth="1"/>
    <col min="13994" max="13994" width="7.86328125" style="256" customWidth="1"/>
    <col min="13995" max="13997" width="9.1328125" style="256"/>
    <col min="13998" max="13998" width="7.265625" style="256" customWidth="1"/>
    <col min="13999" max="13999" width="8.1328125" style="256" customWidth="1"/>
    <col min="14000" max="14000" width="6.86328125" style="256" customWidth="1"/>
    <col min="14001" max="14001" width="8" style="256" customWidth="1"/>
    <col min="14002" max="14002" width="7.3984375" style="256" customWidth="1"/>
    <col min="14003" max="14003" width="4.59765625" style="256" customWidth="1"/>
    <col min="14004" max="14004" width="9.1328125" style="256"/>
    <col min="14005" max="14005" width="4.1328125" style="256" customWidth="1"/>
    <col min="14006" max="14006" width="12" style="256" customWidth="1"/>
    <col min="14007" max="14007" width="8.1328125" style="256" customWidth="1"/>
    <col min="14008" max="14010" width="9.1328125" style="256"/>
    <col min="14011" max="14011" width="5.3984375" style="256" customWidth="1"/>
    <col min="14012" max="14012" width="7.73046875" style="256" customWidth="1"/>
    <col min="14013" max="14013" width="5.1328125" style="256" customWidth="1"/>
    <col min="14014" max="14014" width="7.3984375" style="256" customWidth="1"/>
    <col min="14015" max="14015" width="7.1328125" style="256" customWidth="1"/>
    <col min="14016" max="14016" width="4.265625" style="256" customWidth="1"/>
    <col min="14017" max="14017" width="9.1328125" style="256"/>
    <col min="14018" max="14018" width="5.1328125" style="256" customWidth="1"/>
    <col min="14019" max="14019" width="12.265625" style="256" customWidth="1"/>
    <col min="14020" max="14020" width="7.73046875" style="256" customWidth="1"/>
    <col min="14021" max="14022" width="9.1328125" style="256"/>
    <col min="14023" max="14023" width="6.73046875" style="256" customWidth="1"/>
    <col min="14024" max="14024" width="7.59765625" style="256" customWidth="1"/>
    <col min="14025" max="14025" width="6.265625" style="256" customWidth="1"/>
    <col min="14026" max="14026" width="8.1328125" style="256" customWidth="1"/>
    <col min="14027" max="14027" width="7.1328125" style="256" customWidth="1"/>
    <col min="14028" max="14028" width="4.3984375" style="256" customWidth="1"/>
    <col min="14029" max="14029" width="9.1328125" style="256"/>
    <col min="14030" max="14030" width="3.86328125" style="256" customWidth="1"/>
    <col min="14031" max="14031" width="12.265625" style="256" customWidth="1"/>
    <col min="14032" max="14032" width="8.3984375" style="256" customWidth="1"/>
    <col min="14033" max="14034" width="9.1328125" style="256"/>
    <col min="14035" max="14035" width="8.1328125" style="256" customWidth="1"/>
    <col min="14036" max="14036" width="8.3984375" style="256" customWidth="1"/>
    <col min="14037" max="14037" width="7" style="256" customWidth="1"/>
    <col min="14038" max="14038" width="8.3984375" style="256" customWidth="1"/>
    <col min="14039" max="14039" width="9.1328125" style="256"/>
    <col min="14040" max="14040" width="6.1328125" style="256" customWidth="1"/>
    <col min="14041" max="14041" width="9.1328125" style="256"/>
    <col min="14042" max="14042" width="6.73046875" style="256" customWidth="1"/>
    <col min="14043" max="14059" width="9.1328125" style="256"/>
    <col min="14060" max="14060" width="5.59765625" style="256" customWidth="1"/>
    <col min="14061" max="14061" width="5.73046875" style="256" customWidth="1"/>
    <col min="14062" max="14062" width="8.1328125" style="256" customWidth="1"/>
    <col min="14063" max="14064" width="7.59765625" style="256" customWidth="1"/>
    <col min="14065" max="14065" width="6.73046875" style="256" customWidth="1"/>
    <col min="14066" max="14066" width="4" style="256" customWidth="1"/>
    <col min="14067" max="14067" width="7.265625" style="256" customWidth="1"/>
    <col min="14068" max="14068" width="4" style="256" customWidth="1"/>
    <col min="14069" max="14069" width="13" style="256" customWidth="1"/>
    <col min="14070" max="14070" width="8" style="256" customWidth="1"/>
    <col min="14071" max="14071" width="5.59765625" style="256" customWidth="1"/>
    <col min="14072" max="14072" width="5.73046875" style="256" customWidth="1"/>
    <col min="14073" max="14073" width="8.1328125" style="256" customWidth="1"/>
    <col min="14074" max="14075" width="7.59765625" style="256" customWidth="1"/>
    <col min="14076" max="14076" width="6.73046875" style="256" customWidth="1"/>
    <col min="14077" max="14077" width="4" style="256" customWidth="1"/>
    <col min="14078" max="14078" width="7.265625" style="256" customWidth="1"/>
    <col min="14079" max="14079" width="4" style="256" customWidth="1"/>
    <col min="14080" max="14080" width="13" style="256" customWidth="1"/>
    <col min="14081" max="14081" width="7.73046875" style="256" customWidth="1"/>
    <col min="14082" max="14082" width="5.59765625" style="256" customWidth="1"/>
    <col min="14083" max="14083" width="5.73046875" style="256" customWidth="1"/>
    <col min="14084" max="14084" width="8.1328125" style="256" customWidth="1"/>
    <col min="14085" max="14086" width="7.59765625" style="256" customWidth="1"/>
    <col min="14087" max="14087" width="6.73046875" style="256" customWidth="1"/>
    <col min="14088" max="14088" width="4" style="256" customWidth="1"/>
    <col min="14089" max="14089" width="7.265625" style="256" customWidth="1"/>
    <col min="14090" max="14090" width="4" style="256" customWidth="1"/>
    <col min="14091" max="14091" width="13" style="256" customWidth="1"/>
    <col min="14092" max="14092" width="7.73046875" style="256" customWidth="1"/>
    <col min="14093" max="14093" width="5.59765625" style="256" customWidth="1"/>
    <col min="14094" max="14094" width="5.73046875" style="256" customWidth="1"/>
    <col min="14095" max="14095" width="8.1328125" style="256" customWidth="1"/>
    <col min="14096" max="14097" width="7.59765625" style="256" customWidth="1"/>
    <col min="14098" max="14098" width="6.73046875" style="256" customWidth="1"/>
    <col min="14099" max="14099" width="4" style="256" customWidth="1"/>
    <col min="14100" max="14100" width="7.265625" style="256" customWidth="1"/>
    <col min="14101" max="14101" width="4" style="256" customWidth="1"/>
    <col min="14102" max="14102" width="13" style="256" customWidth="1"/>
    <col min="14103" max="14103" width="7.73046875" style="256" customWidth="1"/>
    <col min="14104" max="14104" width="5.59765625" style="256" customWidth="1"/>
    <col min="14105" max="14105" width="5.73046875" style="256" customWidth="1"/>
    <col min="14106" max="14106" width="8.1328125" style="256" customWidth="1"/>
    <col min="14107" max="14108" width="7.59765625" style="256" customWidth="1"/>
    <col min="14109" max="14109" width="6.73046875" style="256" customWidth="1"/>
    <col min="14110" max="14110" width="4" style="256" customWidth="1"/>
    <col min="14111" max="14111" width="7.265625" style="256" customWidth="1"/>
    <col min="14112" max="14112" width="4" style="256" customWidth="1"/>
    <col min="14113" max="14113" width="13" style="256" customWidth="1"/>
    <col min="14114" max="14114" width="7.73046875" style="256" customWidth="1"/>
    <col min="14115" max="14115" width="5.59765625" style="256" customWidth="1"/>
    <col min="14116" max="14116" width="5.73046875" style="256" customWidth="1"/>
    <col min="14117" max="14117" width="8.1328125" style="256" customWidth="1"/>
    <col min="14118" max="14119" width="7.59765625" style="256" customWidth="1"/>
    <col min="14120" max="14120" width="6.73046875" style="256" customWidth="1"/>
    <col min="14121" max="14121" width="4" style="256" customWidth="1"/>
    <col min="14122" max="14122" width="7.265625" style="256" customWidth="1"/>
    <col min="14123" max="14123" width="4" style="256" customWidth="1"/>
    <col min="14124" max="14124" width="13" style="256" customWidth="1"/>
    <col min="14125" max="14125" width="7.73046875" style="256" customWidth="1"/>
    <col min="14126" max="14126" width="5.59765625" style="256" customWidth="1"/>
    <col min="14127" max="14127" width="5.73046875" style="256" customWidth="1"/>
    <col min="14128" max="14128" width="8.1328125" style="256" customWidth="1"/>
    <col min="14129" max="14130" width="7.59765625" style="256" customWidth="1"/>
    <col min="14131" max="14131" width="6.73046875" style="256" customWidth="1"/>
    <col min="14132" max="14132" width="4" style="256" customWidth="1"/>
    <col min="14133" max="14133" width="7.265625" style="256" customWidth="1"/>
    <col min="14134" max="14134" width="4" style="256" customWidth="1"/>
    <col min="14135" max="14135" width="13" style="256" customWidth="1"/>
    <col min="14136" max="14136" width="7.73046875" style="256" customWidth="1"/>
    <col min="14137" max="14137" width="5.59765625" style="256" customWidth="1"/>
    <col min="14138" max="14138" width="5.73046875" style="256" customWidth="1"/>
    <col min="14139" max="14139" width="8.1328125" style="256" customWidth="1"/>
    <col min="14140" max="14141" width="7.59765625" style="256" customWidth="1"/>
    <col min="14142" max="14142" width="6.73046875" style="256" customWidth="1"/>
    <col min="14143" max="14143" width="4" style="256" customWidth="1"/>
    <col min="14144" max="14144" width="7.265625" style="256" customWidth="1"/>
    <col min="14145" max="14145" width="4.3984375" style="256" customWidth="1"/>
    <col min="14146" max="14146" width="13" style="256" customWidth="1"/>
    <col min="14147" max="14147" width="7.73046875" style="256" customWidth="1"/>
    <col min="14148" max="14148" width="5.59765625" style="256" customWidth="1"/>
    <col min="14149" max="14149" width="5.73046875" style="256" customWidth="1"/>
    <col min="14150" max="14150" width="8.1328125" style="256" customWidth="1"/>
    <col min="14151" max="14152" width="7.59765625" style="256" customWidth="1"/>
    <col min="14153" max="14153" width="6.73046875" style="256" customWidth="1"/>
    <col min="14154" max="14154" width="4" style="256" customWidth="1"/>
    <col min="14155" max="14155" width="7.265625" style="256" customWidth="1"/>
    <col min="14156" max="14156" width="4" style="256" customWidth="1"/>
    <col min="14157" max="14157" width="13" style="256" customWidth="1"/>
    <col min="14158" max="14158" width="7.73046875" style="256" customWidth="1"/>
    <col min="14159" max="14159" width="5.59765625" style="256" customWidth="1"/>
    <col min="14160" max="14160" width="5.73046875" style="256" customWidth="1"/>
    <col min="14161" max="14161" width="8.1328125" style="256" customWidth="1"/>
    <col min="14162" max="14163" width="7.59765625" style="256" customWidth="1"/>
    <col min="14164" max="14164" width="6.73046875" style="256" customWidth="1"/>
    <col min="14165" max="14165" width="4" style="256" customWidth="1"/>
    <col min="14166" max="14166" width="7.265625" style="256" customWidth="1"/>
    <col min="14167" max="14167" width="4" style="256" customWidth="1"/>
    <col min="14168" max="14168" width="13" style="256" customWidth="1"/>
    <col min="14169" max="14169" width="7.73046875" style="256" customWidth="1"/>
    <col min="14170" max="14170" width="5.59765625" style="256" customWidth="1"/>
    <col min="14171" max="14171" width="5.73046875" style="256" customWidth="1"/>
    <col min="14172" max="14172" width="8.1328125" style="256" customWidth="1"/>
    <col min="14173" max="14174" width="7.59765625" style="256" customWidth="1"/>
    <col min="14175" max="14175" width="6.73046875" style="256" customWidth="1"/>
    <col min="14176" max="14176" width="4" style="256" customWidth="1"/>
    <col min="14177" max="14177" width="7.265625" style="256" customWidth="1"/>
    <col min="14178" max="14178" width="4" style="256" customWidth="1"/>
    <col min="14179" max="14179" width="13" style="256" customWidth="1"/>
    <col min="14180" max="14180" width="7.73046875" style="256" customWidth="1"/>
    <col min="14181" max="14181" width="5.59765625" style="256" customWidth="1"/>
    <col min="14182" max="14182" width="5.73046875" style="256" customWidth="1"/>
    <col min="14183" max="14183" width="8.1328125" style="256" customWidth="1"/>
    <col min="14184" max="14185" width="7.59765625" style="256" customWidth="1"/>
    <col min="14186" max="14186" width="6.73046875" style="256" customWidth="1"/>
    <col min="14187" max="14187" width="4" style="256" customWidth="1"/>
    <col min="14188" max="14188" width="7.265625" style="256" customWidth="1"/>
    <col min="14189" max="14189" width="4" style="256" customWidth="1"/>
    <col min="14190" max="14190" width="13" style="256" customWidth="1"/>
    <col min="14191" max="14191" width="7.73046875" style="256" customWidth="1"/>
    <col min="14192" max="14192" width="5.59765625" style="256" customWidth="1"/>
    <col min="14193" max="14193" width="5.73046875" style="256" customWidth="1"/>
    <col min="14194" max="14194" width="8.1328125" style="256" customWidth="1"/>
    <col min="14195" max="14196" width="7.59765625" style="256" customWidth="1"/>
    <col min="14197" max="14197" width="6.73046875" style="256" customWidth="1"/>
    <col min="14198" max="14198" width="4" style="256" customWidth="1"/>
    <col min="14199" max="14199" width="7.265625" style="256" customWidth="1"/>
    <col min="14200" max="14200" width="4" style="256" customWidth="1"/>
    <col min="14201" max="14201" width="13" style="256" customWidth="1"/>
    <col min="14202" max="14202" width="7.73046875" style="256" customWidth="1"/>
    <col min="14203" max="14203" width="5.59765625" style="256" customWidth="1"/>
    <col min="14204" max="14204" width="5.73046875" style="256" customWidth="1"/>
    <col min="14205" max="14205" width="8.1328125" style="256" customWidth="1"/>
    <col min="14206" max="14207" width="7.59765625" style="256" customWidth="1"/>
    <col min="14208" max="14208" width="6.73046875" style="256" customWidth="1"/>
    <col min="14209" max="14209" width="4" style="256" customWidth="1"/>
    <col min="14210" max="14210" width="7.265625" style="256" customWidth="1"/>
    <col min="14211" max="14211" width="4" style="256" customWidth="1"/>
    <col min="14212" max="14212" width="13" style="256" customWidth="1"/>
    <col min="14213" max="14213" width="7.73046875" style="256" customWidth="1"/>
    <col min="14214" max="14214" width="5.59765625" style="256" customWidth="1"/>
    <col min="14215" max="14215" width="5.73046875" style="256" customWidth="1"/>
    <col min="14216" max="14216" width="8.1328125" style="256" customWidth="1"/>
    <col min="14217" max="14218" width="7.59765625" style="256" customWidth="1"/>
    <col min="14219" max="14219" width="6.73046875" style="256" customWidth="1"/>
    <col min="14220" max="14220" width="4" style="256" customWidth="1"/>
    <col min="14221" max="14221" width="7.265625" style="256" customWidth="1"/>
    <col min="14222" max="14222" width="4" style="256" customWidth="1"/>
    <col min="14223" max="14223" width="13" style="256" customWidth="1"/>
    <col min="14224" max="14224" width="7.73046875" style="256" customWidth="1"/>
    <col min="14225" max="14225" width="5.59765625" style="256" customWidth="1"/>
    <col min="14226" max="14227" width="9.1328125" style="256"/>
    <col min="14228" max="14228" width="6.59765625" style="256" customWidth="1"/>
    <col min="14229" max="14229" width="8.73046875" style="256" customWidth="1"/>
    <col min="14230" max="14230" width="7.3984375" style="256" customWidth="1"/>
    <col min="14231" max="14231" width="7.265625" style="256" customWidth="1"/>
    <col min="14232" max="14232" width="7.73046875" style="256" customWidth="1"/>
    <col min="14233" max="14233" width="4.3984375" style="256" customWidth="1"/>
    <col min="14234" max="14234" width="9.1328125" style="256"/>
    <col min="14235" max="14235" width="6" style="256" customWidth="1"/>
    <col min="14236" max="14236" width="12.265625" style="256" customWidth="1"/>
    <col min="14237" max="14237" width="8" style="256" customWidth="1"/>
    <col min="14238" max="14240" width="9.1328125" style="256"/>
    <col min="14241" max="14241" width="7.73046875" style="256" customWidth="1"/>
    <col min="14242" max="14242" width="8.265625" style="256" customWidth="1"/>
    <col min="14243" max="14243" width="7.1328125" style="256" customWidth="1"/>
    <col min="14244" max="14244" width="7.59765625" style="256" customWidth="1"/>
    <col min="14245" max="14245" width="7.3984375" style="256" customWidth="1"/>
    <col min="14246" max="14246" width="4.86328125" style="256" customWidth="1"/>
    <col min="14247" max="14247" width="9.1328125" style="256"/>
    <col min="14248" max="14248" width="5" style="256" customWidth="1"/>
    <col min="14249" max="14249" width="12.265625" style="256" customWidth="1"/>
    <col min="14250" max="14250" width="7.86328125" style="256" customWidth="1"/>
    <col min="14251" max="14253" width="9.1328125" style="256"/>
    <col min="14254" max="14254" width="7.265625" style="256" customWidth="1"/>
    <col min="14255" max="14255" width="8.1328125" style="256" customWidth="1"/>
    <col min="14256" max="14256" width="6.86328125" style="256" customWidth="1"/>
    <col min="14257" max="14257" width="8" style="256" customWidth="1"/>
    <col min="14258" max="14258" width="7.3984375" style="256" customWidth="1"/>
    <col min="14259" max="14259" width="4.59765625" style="256" customWidth="1"/>
    <col min="14260" max="14260" width="9.1328125" style="256"/>
    <col min="14261" max="14261" width="4.1328125" style="256" customWidth="1"/>
    <col min="14262" max="14262" width="12" style="256" customWidth="1"/>
    <col min="14263" max="14263" width="8.1328125" style="256" customWidth="1"/>
    <col min="14264" max="14266" width="9.1328125" style="256"/>
    <col min="14267" max="14267" width="5.3984375" style="256" customWidth="1"/>
    <col min="14268" max="14268" width="7.73046875" style="256" customWidth="1"/>
    <col min="14269" max="14269" width="5.1328125" style="256" customWidth="1"/>
    <col min="14270" max="14270" width="7.3984375" style="256" customWidth="1"/>
    <col min="14271" max="14271" width="7.1328125" style="256" customWidth="1"/>
    <col min="14272" max="14272" width="4.265625" style="256" customWidth="1"/>
    <col min="14273" max="14273" width="9.1328125" style="256"/>
    <col min="14274" max="14274" width="5.1328125" style="256" customWidth="1"/>
    <col min="14275" max="14275" width="12.265625" style="256" customWidth="1"/>
    <col min="14276" max="14276" width="7.73046875" style="256" customWidth="1"/>
    <col min="14277" max="14278" width="9.1328125" style="256"/>
    <col min="14279" max="14279" width="6.73046875" style="256" customWidth="1"/>
    <col min="14280" max="14280" width="7.59765625" style="256" customWidth="1"/>
    <col min="14281" max="14281" width="6.265625" style="256" customWidth="1"/>
    <col min="14282" max="14282" width="8.1328125" style="256" customWidth="1"/>
    <col min="14283" max="14283" width="7.1328125" style="256" customWidth="1"/>
    <col min="14284" max="14284" width="4.3984375" style="256" customWidth="1"/>
    <col min="14285" max="14285" width="9.1328125" style="256"/>
    <col min="14286" max="14286" width="3.86328125" style="256" customWidth="1"/>
    <col min="14287" max="14287" width="12.265625" style="256" customWidth="1"/>
    <col min="14288" max="14288" width="8.3984375" style="256" customWidth="1"/>
    <col min="14289" max="14290" width="9.1328125" style="256"/>
    <col min="14291" max="14291" width="8.1328125" style="256" customWidth="1"/>
    <col min="14292" max="14292" width="8.3984375" style="256" customWidth="1"/>
    <col min="14293" max="14293" width="7" style="256" customWidth="1"/>
    <col min="14294" max="14294" width="8.3984375" style="256" customWidth="1"/>
    <col min="14295" max="14295" width="9.1328125" style="256"/>
    <col min="14296" max="14296" width="6.1328125" style="256" customWidth="1"/>
    <col min="14297" max="14297" width="9.1328125" style="256"/>
    <col min="14298" max="14298" width="6.73046875" style="256" customWidth="1"/>
    <col min="14299" max="14315" width="9.1328125" style="256"/>
    <col min="14316" max="14316" width="5.59765625" style="256" customWidth="1"/>
    <col min="14317" max="14317" width="5.73046875" style="256" customWidth="1"/>
    <col min="14318" max="14318" width="8.1328125" style="256" customWidth="1"/>
    <col min="14319" max="14320" width="7.59765625" style="256" customWidth="1"/>
    <col min="14321" max="14321" width="6.73046875" style="256" customWidth="1"/>
    <col min="14322" max="14322" width="4" style="256" customWidth="1"/>
    <col min="14323" max="14323" width="7.265625" style="256" customWidth="1"/>
    <col min="14324" max="14324" width="4" style="256" customWidth="1"/>
    <col min="14325" max="14325" width="13" style="256" customWidth="1"/>
    <col min="14326" max="14326" width="8" style="256" customWidth="1"/>
    <col min="14327" max="14327" width="5.59765625" style="256" customWidth="1"/>
    <col min="14328" max="14328" width="5.73046875" style="256" customWidth="1"/>
    <col min="14329" max="14329" width="8.1328125" style="256" customWidth="1"/>
    <col min="14330" max="14331" width="7.59765625" style="256" customWidth="1"/>
    <col min="14332" max="14332" width="6.73046875" style="256" customWidth="1"/>
    <col min="14333" max="14333" width="4" style="256" customWidth="1"/>
    <col min="14334" max="14334" width="7.265625" style="256" customWidth="1"/>
    <col min="14335" max="14335" width="4" style="256" customWidth="1"/>
    <col min="14336" max="14336" width="13" style="256" customWidth="1"/>
    <col min="14337" max="14337" width="7.73046875" style="256" customWidth="1"/>
    <col min="14338" max="14338" width="5.59765625" style="256" customWidth="1"/>
    <col min="14339" max="14339" width="5.73046875" style="256" customWidth="1"/>
    <col min="14340" max="14340" width="8.1328125" style="256" customWidth="1"/>
    <col min="14341" max="14342" width="7.59765625" style="256" customWidth="1"/>
    <col min="14343" max="14343" width="6.73046875" style="256" customWidth="1"/>
    <col min="14344" max="14344" width="4" style="256" customWidth="1"/>
    <col min="14345" max="14345" width="7.265625" style="256" customWidth="1"/>
    <col min="14346" max="14346" width="4" style="256" customWidth="1"/>
    <col min="14347" max="14347" width="13" style="256" customWidth="1"/>
    <col min="14348" max="14348" width="7.73046875" style="256" customWidth="1"/>
    <col min="14349" max="14349" width="5.59765625" style="256" customWidth="1"/>
    <col min="14350" max="14350" width="5.73046875" style="256" customWidth="1"/>
    <col min="14351" max="14351" width="8.1328125" style="256" customWidth="1"/>
    <col min="14352" max="14353" width="7.59765625" style="256" customWidth="1"/>
    <col min="14354" max="14354" width="6.73046875" style="256" customWidth="1"/>
    <col min="14355" max="14355" width="4" style="256" customWidth="1"/>
    <col min="14356" max="14356" width="7.265625" style="256" customWidth="1"/>
    <col min="14357" max="14357" width="4" style="256" customWidth="1"/>
    <col min="14358" max="14358" width="13" style="256" customWidth="1"/>
    <col min="14359" max="14359" width="7.73046875" style="256" customWidth="1"/>
    <col min="14360" max="14360" width="5.59765625" style="256" customWidth="1"/>
    <col min="14361" max="14361" width="5.73046875" style="256" customWidth="1"/>
    <col min="14362" max="14362" width="8.1328125" style="256" customWidth="1"/>
    <col min="14363" max="14364" width="7.59765625" style="256" customWidth="1"/>
    <col min="14365" max="14365" width="6.73046875" style="256" customWidth="1"/>
    <col min="14366" max="14366" width="4" style="256" customWidth="1"/>
    <col min="14367" max="14367" width="7.265625" style="256" customWidth="1"/>
    <col min="14368" max="14368" width="4" style="256" customWidth="1"/>
    <col min="14369" max="14369" width="13" style="256" customWidth="1"/>
    <col min="14370" max="14370" width="7.73046875" style="256" customWidth="1"/>
    <col min="14371" max="14371" width="5.59765625" style="256" customWidth="1"/>
    <col min="14372" max="14372" width="5.73046875" style="256" customWidth="1"/>
    <col min="14373" max="14373" width="8.1328125" style="256" customWidth="1"/>
    <col min="14374" max="14375" width="7.59765625" style="256" customWidth="1"/>
    <col min="14376" max="14376" width="6.73046875" style="256" customWidth="1"/>
    <col min="14377" max="14377" width="4" style="256" customWidth="1"/>
    <col min="14378" max="14378" width="7.265625" style="256" customWidth="1"/>
    <col min="14379" max="14379" width="4" style="256" customWidth="1"/>
    <col min="14380" max="14380" width="13" style="256" customWidth="1"/>
    <col min="14381" max="14381" width="7.73046875" style="256" customWidth="1"/>
    <col min="14382" max="14382" width="5.59765625" style="256" customWidth="1"/>
    <col min="14383" max="14383" width="5.73046875" style="256" customWidth="1"/>
    <col min="14384" max="14384" width="8.1328125" style="256" customWidth="1"/>
    <col min="14385" max="14386" width="7.59765625" style="256" customWidth="1"/>
    <col min="14387" max="14387" width="6.73046875" style="256" customWidth="1"/>
    <col min="14388" max="14388" width="4" style="256" customWidth="1"/>
    <col min="14389" max="14389" width="7.265625" style="256" customWidth="1"/>
    <col min="14390" max="14390" width="4" style="256" customWidth="1"/>
    <col min="14391" max="14391" width="13" style="256" customWidth="1"/>
    <col min="14392" max="14392" width="7.73046875" style="256" customWidth="1"/>
    <col min="14393" max="14393" width="5.59765625" style="256" customWidth="1"/>
    <col min="14394" max="14394" width="5.73046875" style="256" customWidth="1"/>
    <col min="14395" max="14395" width="8.1328125" style="256" customWidth="1"/>
    <col min="14396" max="14397" width="7.59765625" style="256" customWidth="1"/>
    <col min="14398" max="14398" width="6.73046875" style="256" customWidth="1"/>
    <col min="14399" max="14399" width="4" style="256" customWidth="1"/>
    <col min="14400" max="14400" width="7.265625" style="256" customWidth="1"/>
    <col min="14401" max="14401" width="4.3984375" style="256" customWidth="1"/>
    <col min="14402" max="14402" width="13" style="256" customWidth="1"/>
    <col min="14403" max="14403" width="7.73046875" style="256" customWidth="1"/>
    <col min="14404" max="14404" width="5.59765625" style="256" customWidth="1"/>
    <col min="14405" max="14405" width="5.73046875" style="256" customWidth="1"/>
    <col min="14406" max="14406" width="8.1328125" style="256" customWidth="1"/>
    <col min="14407" max="14408" width="7.59765625" style="256" customWidth="1"/>
    <col min="14409" max="14409" width="6.73046875" style="256" customWidth="1"/>
    <col min="14410" max="14410" width="4" style="256" customWidth="1"/>
    <col min="14411" max="14411" width="7.265625" style="256" customWidth="1"/>
    <col min="14412" max="14412" width="4" style="256" customWidth="1"/>
    <col min="14413" max="14413" width="13" style="256" customWidth="1"/>
    <col min="14414" max="14414" width="7.73046875" style="256" customWidth="1"/>
    <col min="14415" max="14415" width="5.59765625" style="256" customWidth="1"/>
    <col min="14416" max="14416" width="5.73046875" style="256" customWidth="1"/>
    <col min="14417" max="14417" width="8.1328125" style="256" customWidth="1"/>
    <col min="14418" max="14419" width="7.59765625" style="256" customWidth="1"/>
    <col min="14420" max="14420" width="6.73046875" style="256" customWidth="1"/>
    <col min="14421" max="14421" width="4" style="256" customWidth="1"/>
    <col min="14422" max="14422" width="7.265625" style="256" customWidth="1"/>
    <col min="14423" max="14423" width="4" style="256" customWidth="1"/>
    <col min="14424" max="14424" width="13" style="256" customWidth="1"/>
    <col min="14425" max="14425" width="7.73046875" style="256" customWidth="1"/>
    <col min="14426" max="14426" width="5.59765625" style="256" customWidth="1"/>
    <col min="14427" max="14427" width="5.73046875" style="256" customWidth="1"/>
    <col min="14428" max="14428" width="8.1328125" style="256" customWidth="1"/>
    <col min="14429" max="14430" width="7.59765625" style="256" customWidth="1"/>
    <col min="14431" max="14431" width="6.73046875" style="256" customWidth="1"/>
    <col min="14432" max="14432" width="4" style="256" customWidth="1"/>
    <col min="14433" max="14433" width="7.265625" style="256" customWidth="1"/>
    <col min="14434" max="14434" width="4" style="256" customWidth="1"/>
    <col min="14435" max="14435" width="13" style="256" customWidth="1"/>
    <col min="14436" max="14436" width="7.73046875" style="256" customWidth="1"/>
    <col min="14437" max="14437" width="5.59765625" style="256" customWidth="1"/>
    <col min="14438" max="14438" width="5.73046875" style="256" customWidth="1"/>
    <col min="14439" max="14439" width="8.1328125" style="256" customWidth="1"/>
    <col min="14440" max="14441" width="7.59765625" style="256" customWidth="1"/>
    <col min="14442" max="14442" width="6.73046875" style="256" customWidth="1"/>
    <col min="14443" max="14443" width="4" style="256" customWidth="1"/>
    <col min="14444" max="14444" width="7.265625" style="256" customWidth="1"/>
    <col min="14445" max="14445" width="4" style="256" customWidth="1"/>
    <col min="14446" max="14446" width="13" style="256" customWidth="1"/>
    <col min="14447" max="14447" width="7.73046875" style="256" customWidth="1"/>
    <col min="14448" max="14448" width="5.59765625" style="256" customWidth="1"/>
    <col min="14449" max="14449" width="5.73046875" style="256" customWidth="1"/>
    <col min="14450" max="14450" width="8.1328125" style="256" customWidth="1"/>
    <col min="14451" max="14452" width="7.59765625" style="256" customWidth="1"/>
    <col min="14453" max="14453" width="6.73046875" style="256" customWidth="1"/>
    <col min="14454" max="14454" width="4" style="256" customWidth="1"/>
    <col min="14455" max="14455" width="7.265625" style="256" customWidth="1"/>
    <col min="14456" max="14456" width="4" style="256" customWidth="1"/>
    <col min="14457" max="14457" width="13" style="256" customWidth="1"/>
    <col min="14458" max="14458" width="7.73046875" style="256" customWidth="1"/>
    <col min="14459" max="14459" width="5.59765625" style="256" customWidth="1"/>
    <col min="14460" max="14460" width="5.73046875" style="256" customWidth="1"/>
    <col min="14461" max="14461" width="8.1328125" style="256" customWidth="1"/>
    <col min="14462" max="14463" width="7.59765625" style="256" customWidth="1"/>
    <col min="14464" max="14464" width="6.73046875" style="256" customWidth="1"/>
    <col min="14465" max="14465" width="4" style="256" customWidth="1"/>
    <col min="14466" max="14466" width="7.265625" style="256" customWidth="1"/>
    <col min="14467" max="14467" width="4" style="256" customWidth="1"/>
    <col min="14468" max="14468" width="13" style="256" customWidth="1"/>
    <col min="14469" max="14469" width="7.73046875" style="256" customWidth="1"/>
    <col min="14470" max="14470" width="5.59765625" style="256" customWidth="1"/>
    <col min="14471" max="14471" width="5.73046875" style="256" customWidth="1"/>
    <col min="14472" max="14472" width="8.1328125" style="256" customWidth="1"/>
    <col min="14473" max="14474" width="7.59765625" style="256" customWidth="1"/>
    <col min="14475" max="14475" width="6.73046875" style="256" customWidth="1"/>
    <col min="14476" max="14476" width="4" style="256" customWidth="1"/>
    <col min="14477" max="14477" width="7.265625" style="256" customWidth="1"/>
    <col min="14478" max="14478" width="4" style="256" customWidth="1"/>
    <col min="14479" max="14479" width="13" style="256" customWidth="1"/>
    <col min="14480" max="14480" width="7.73046875" style="256" customWidth="1"/>
    <col min="14481" max="14481" width="5.59765625" style="256" customWidth="1"/>
    <col min="14482" max="14483" width="9.1328125" style="256"/>
    <col min="14484" max="14484" width="6.59765625" style="256" customWidth="1"/>
    <col min="14485" max="14485" width="8.73046875" style="256" customWidth="1"/>
    <col min="14486" max="14486" width="7.3984375" style="256" customWidth="1"/>
    <col min="14487" max="14487" width="7.265625" style="256" customWidth="1"/>
    <col min="14488" max="14488" width="7.73046875" style="256" customWidth="1"/>
    <col min="14489" max="14489" width="4.3984375" style="256" customWidth="1"/>
    <col min="14490" max="14490" width="9.1328125" style="256"/>
    <col min="14491" max="14491" width="6" style="256" customWidth="1"/>
    <col min="14492" max="14492" width="12.265625" style="256" customWidth="1"/>
    <col min="14493" max="14493" width="8" style="256" customWidth="1"/>
    <col min="14494" max="14496" width="9.1328125" style="256"/>
    <col min="14497" max="14497" width="7.73046875" style="256" customWidth="1"/>
    <col min="14498" max="14498" width="8.265625" style="256" customWidth="1"/>
    <col min="14499" max="14499" width="7.1328125" style="256" customWidth="1"/>
    <col min="14500" max="14500" width="7.59765625" style="256" customWidth="1"/>
    <col min="14501" max="14501" width="7.3984375" style="256" customWidth="1"/>
    <col min="14502" max="14502" width="4.86328125" style="256" customWidth="1"/>
    <col min="14503" max="14503" width="9.1328125" style="256"/>
    <col min="14504" max="14504" width="5" style="256" customWidth="1"/>
    <col min="14505" max="14505" width="12.265625" style="256" customWidth="1"/>
    <col min="14506" max="14506" width="7.86328125" style="256" customWidth="1"/>
    <col min="14507" max="14509" width="9.1328125" style="256"/>
    <col min="14510" max="14510" width="7.265625" style="256" customWidth="1"/>
    <col min="14511" max="14511" width="8.1328125" style="256" customWidth="1"/>
    <col min="14512" max="14512" width="6.86328125" style="256" customWidth="1"/>
    <col min="14513" max="14513" width="8" style="256" customWidth="1"/>
    <col min="14514" max="14514" width="7.3984375" style="256" customWidth="1"/>
    <col min="14515" max="14515" width="4.59765625" style="256" customWidth="1"/>
    <col min="14516" max="14516" width="9.1328125" style="256"/>
    <col min="14517" max="14517" width="4.1328125" style="256" customWidth="1"/>
    <col min="14518" max="14518" width="12" style="256" customWidth="1"/>
    <col min="14519" max="14519" width="8.1328125" style="256" customWidth="1"/>
    <col min="14520" max="14522" width="9.1328125" style="256"/>
    <col min="14523" max="14523" width="5.3984375" style="256" customWidth="1"/>
    <col min="14524" max="14524" width="7.73046875" style="256" customWidth="1"/>
    <col min="14525" max="14525" width="5.1328125" style="256" customWidth="1"/>
    <col min="14526" max="14526" width="7.3984375" style="256" customWidth="1"/>
    <col min="14527" max="14527" width="7.1328125" style="256" customWidth="1"/>
    <col min="14528" max="14528" width="4.265625" style="256" customWidth="1"/>
    <col min="14529" max="14529" width="9.1328125" style="256"/>
    <col min="14530" max="14530" width="5.1328125" style="256" customWidth="1"/>
    <col min="14531" max="14531" width="12.265625" style="256" customWidth="1"/>
    <col min="14532" max="14532" width="7.73046875" style="256" customWidth="1"/>
    <col min="14533" max="14534" width="9.1328125" style="256"/>
    <col min="14535" max="14535" width="6.73046875" style="256" customWidth="1"/>
    <col min="14536" max="14536" width="7.59765625" style="256" customWidth="1"/>
    <col min="14537" max="14537" width="6.265625" style="256" customWidth="1"/>
    <col min="14538" max="14538" width="8.1328125" style="256" customWidth="1"/>
    <col min="14539" max="14539" width="7.1328125" style="256" customWidth="1"/>
    <col min="14540" max="14540" width="4.3984375" style="256" customWidth="1"/>
    <col min="14541" max="14541" width="9.1328125" style="256"/>
    <col min="14542" max="14542" width="3.86328125" style="256" customWidth="1"/>
    <col min="14543" max="14543" width="12.265625" style="256" customWidth="1"/>
    <col min="14544" max="14544" width="8.3984375" style="256" customWidth="1"/>
    <col min="14545" max="14546" width="9.1328125" style="256"/>
    <col min="14547" max="14547" width="8.1328125" style="256" customWidth="1"/>
    <col min="14548" max="14548" width="8.3984375" style="256" customWidth="1"/>
    <col min="14549" max="14549" width="7" style="256" customWidth="1"/>
    <col min="14550" max="14550" width="8.3984375" style="256" customWidth="1"/>
    <col min="14551" max="14551" width="9.1328125" style="256"/>
    <col min="14552" max="14552" width="6.1328125" style="256" customWidth="1"/>
    <col min="14553" max="14553" width="9.1328125" style="256"/>
    <col min="14554" max="14554" width="6.73046875" style="256" customWidth="1"/>
    <col min="14555" max="14571" width="9.1328125" style="256"/>
    <col min="14572" max="14572" width="5.59765625" style="256" customWidth="1"/>
    <col min="14573" max="14573" width="5.73046875" style="256" customWidth="1"/>
    <col min="14574" max="14574" width="8.1328125" style="256" customWidth="1"/>
    <col min="14575" max="14576" width="7.59765625" style="256" customWidth="1"/>
    <col min="14577" max="14577" width="6.73046875" style="256" customWidth="1"/>
    <col min="14578" max="14578" width="4" style="256" customWidth="1"/>
    <col min="14579" max="14579" width="7.265625" style="256" customWidth="1"/>
    <col min="14580" max="14580" width="4" style="256" customWidth="1"/>
    <col min="14581" max="14581" width="13" style="256" customWidth="1"/>
    <col min="14582" max="14582" width="8" style="256" customWidth="1"/>
    <col min="14583" max="14583" width="5.59765625" style="256" customWidth="1"/>
    <col min="14584" max="14584" width="5.73046875" style="256" customWidth="1"/>
    <col min="14585" max="14585" width="8.1328125" style="256" customWidth="1"/>
    <col min="14586" max="14587" width="7.59765625" style="256" customWidth="1"/>
    <col min="14588" max="14588" width="6.73046875" style="256" customWidth="1"/>
    <col min="14589" max="14589" width="4" style="256" customWidth="1"/>
    <col min="14590" max="14590" width="7.265625" style="256" customWidth="1"/>
    <col min="14591" max="14591" width="4" style="256" customWidth="1"/>
    <col min="14592" max="14592" width="13" style="256" customWidth="1"/>
    <col min="14593" max="14593" width="7.73046875" style="256" customWidth="1"/>
    <col min="14594" max="14594" width="5.59765625" style="256" customWidth="1"/>
    <col min="14595" max="14595" width="5.73046875" style="256" customWidth="1"/>
    <col min="14596" max="14596" width="8.1328125" style="256" customWidth="1"/>
    <col min="14597" max="14598" width="7.59765625" style="256" customWidth="1"/>
    <col min="14599" max="14599" width="6.73046875" style="256" customWidth="1"/>
    <col min="14600" max="14600" width="4" style="256" customWidth="1"/>
    <col min="14601" max="14601" width="7.265625" style="256" customWidth="1"/>
    <col min="14602" max="14602" width="4" style="256" customWidth="1"/>
    <col min="14603" max="14603" width="13" style="256" customWidth="1"/>
    <col min="14604" max="14604" width="7.73046875" style="256" customWidth="1"/>
    <col min="14605" max="14605" width="5.59765625" style="256" customWidth="1"/>
    <col min="14606" max="14606" width="5.73046875" style="256" customWidth="1"/>
    <col min="14607" max="14607" width="8.1328125" style="256" customWidth="1"/>
    <col min="14608" max="14609" width="7.59765625" style="256" customWidth="1"/>
    <col min="14610" max="14610" width="6.73046875" style="256" customWidth="1"/>
    <col min="14611" max="14611" width="4" style="256" customWidth="1"/>
    <col min="14612" max="14612" width="7.265625" style="256" customWidth="1"/>
    <col min="14613" max="14613" width="4" style="256" customWidth="1"/>
    <col min="14614" max="14614" width="13" style="256" customWidth="1"/>
    <col min="14615" max="14615" width="7.73046875" style="256" customWidth="1"/>
    <col min="14616" max="14616" width="5.59765625" style="256" customWidth="1"/>
    <col min="14617" max="14617" width="5.73046875" style="256" customWidth="1"/>
    <col min="14618" max="14618" width="8.1328125" style="256" customWidth="1"/>
    <col min="14619" max="14620" width="7.59765625" style="256" customWidth="1"/>
    <col min="14621" max="14621" width="6.73046875" style="256" customWidth="1"/>
    <col min="14622" max="14622" width="4" style="256" customWidth="1"/>
    <col min="14623" max="14623" width="7.265625" style="256" customWidth="1"/>
    <col min="14624" max="14624" width="4" style="256" customWidth="1"/>
    <col min="14625" max="14625" width="13" style="256" customWidth="1"/>
    <col min="14626" max="14626" width="7.73046875" style="256" customWidth="1"/>
    <col min="14627" max="14627" width="5.59765625" style="256" customWidth="1"/>
    <col min="14628" max="14628" width="5.73046875" style="256" customWidth="1"/>
    <col min="14629" max="14629" width="8.1328125" style="256" customWidth="1"/>
    <col min="14630" max="14631" width="7.59765625" style="256" customWidth="1"/>
    <col min="14632" max="14632" width="6.73046875" style="256" customWidth="1"/>
    <col min="14633" max="14633" width="4" style="256" customWidth="1"/>
    <col min="14634" max="14634" width="7.265625" style="256" customWidth="1"/>
    <col min="14635" max="14635" width="4" style="256" customWidth="1"/>
    <col min="14636" max="14636" width="13" style="256" customWidth="1"/>
    <col min="14637" max="14637" width="7.73046875" style="256" customWidth="1"/>
    <col min="14638" max="14638" width="5.59765625" style="256" customWidth="1"/>
    <col min="14639" max="14639" width="5.73046875" style="256" customWidth="1"/>
    <col min="14640" max="14640" width="8.1328125" style="256" customWidth="1"/>
    <col min="14641" max="14642" width="7.59765625" style="256" customWidth="1"/>
    <col min="14643" max="14643" width="6.73046875" style="256" customWidth="1"/>
    <col min="14644" max="14644" width="4" style="256" customWidth="1"/>
    <col min="14645" max="14645" width="7.265625" style="256" customWidth="1"/>
    <col min="14646" max="14646" width="4" style="256" customWidth="1"/>
    <col min="14647" max="14647" width="13" style="256" customWidth="1"/>
    <col min="14648" max="14648" width="7.73046875" style="256" customWidth="1"/>
    <col min="14649" max="14649" width="5.59765625" style="256" customWidth="1"/>
    <col min="14650" max="14650" width="5.73046875" style="256" customWidth="1"/>
    <col min="14651" max="14651" width="8.1328125" style="256" customWidth="1"/>
    <col min="14652" max="14653" width="7.59765625" style="256" customWidth="1"/>
    <col min="14654" max="14654" width="6.73046875" style="256" customWidth="1"/>
    <col min="14655" max="14655" width="4" style="256" customWidth="1"/>
    <col min="14656" max="14656" width="7.265625" style="256" customWidth="1"/>
    <col min="14657" max="14657" width="4.3984375" style="256" customWidth="1"/>
    <col min="14658" max="14658" width="13" style="256" customWidth="1"/>
    <col min="14659" max="14659" width="7.73046875" style="256" customWidth="1"/>
    <col min="14660" max="14660" width="5.59765625" style="256" customWidth="1"/>
    <col min="14661" max="14661" width="5.73046875" style="256" customWidth="1"/>
    <col min="14662" max="14662" width="8.1328125" style="256" customWidth="1"/>
    <col min="14663" max="14664" width="7.59765625" style="256" customWidth="1"/>
    <col min="14665" max="14665" width="6.73046875" style="256" customWidth="1"/>
    <col min="14666" max="14666" width="4" style="256" customWidth="1"/>
    <col min="14667" max="14667" width="7.265625" style="256" customWidth="1"/>
    <col min="14668" max="14668" width="4" style="256" customWidth="1"/>
    <col min="14669" max="14669" width="13" style="256" customWidth="1"/>
    <col min="14670" max="14670" width="7.73046875" style="256" customWidth="1"/>
    <col min="14671" max="14671" width="5.59765625" style="256" customWidth="1"/>
    <col min="14672" max="14672" width="5.73046875" style="256" customWidth="1"/>
    <col min="14673" max="14673" width="8.1328125" style="256" customWidth="1"/>
    <col min="14674" max="14675" width="7.59765625" style="256" customWidth="1"/>
    <col min="14676" max="14676" width="6.73046875" style="256" customWidth="1"/>
    <col min="14677" max="14677" width="4" style="256" customWidth="1"/>
    <col min="14678" max="14678" width="7.265625" style="256" customWidth="1"/>
    <col min="14679" max="14679" width="4" style="256" customWidth="1"/>
    <col min="14680" max="14680" width="13" style="256" customWidth="1"/>
    <col min="14681" max="14681" width="7.73046875" style="256" customWidth="1"/>
    <col min="14682" max="14682" width="5.59765625" style="256" customWidth="1"/>
    <col min="14683" max="14683" width="5.73046875" style="256" customWidth="1"/>
    <col min="14684" max="14684" width="8.1328125" style="256" customWidth="1"/>
    <col min="14685" max="14686" width="7.59765625" style="256" customWidth="1"/>
    <col min="14687" max="14687" width="6.73046875" style="256" customWidth="1"/>
    <col min="14688" max="14688" width="4" style="256" customWidth="1"/>
    <col min="14689" max="14689" width="7.265625" style="256" customWidth="1"/>
    <col min="14690" max="14690" width="4" style="256" customWidth="1"/>
    <col min="14691" max="14691" width="13" style="256" customWidth="1"/>
    <col min="14692" max="14692" width="7.73046875" style="256" customWidth="1"/>
    <col min="14693" max="14693" width="5.59765625" style="256" customWidth="1"/>
    <col min="14694" max="14694" width="5.73046875" style="256" customWidth="1"/>
    <col min="14695" max="14695" width="8.1328125" style="256" customWidth="1"/>
    <col min="14696" max="14697" width="7.59765625" style="256" customWidth="1"/>
    <col min="14698" max="14698" width="6.73046875" style="256" customWidth="1"/>
    <col min="14699" max="14699" width="4" style="256" customWidth="1"/>
    <col min="14700" max="14700" width="7.265625" style="256" customWidth="1"/>
    <col min="14701" max="14701" width="4" style="256" customWidth="1"/>
    <col min="14702" max="14702" width="13" style="256" customWidth="1"/>
    <col min="14703" max="14703" width="7.73046875" style="256" customWidth="1"/>
    <col min="14704" max="14704" width="5.59765625" style="256" customWidth="1"/>
    <col min="14705" max="14705" width="5.73046875" style="256" customWidth="1"/>
    <col min="14706" max="14706" width="8.1328125" style="256" customWidth="1"/>
    <col min="14707" max="14708" width="7.59765625" style="256" customWidth="1"/>
    <col min="14709" max="14709" width="6.73046875" style="256" customWidth="1"/>
    <col min="14710" max="14710" width="4" style="256" customWidth="1"/>
    <col min="14711" max="14711" width="7.265625" style="256" customWidth="1"/>
    <col min="14712" max="14712" width="4" style="256" customWidth="1"/>
    <col min="14713" max="14713" width="13" style="256" customWidth="1"/>
    <col min="14714" max="14714" width="7.73046875" style="256" customWidth="1"/>
    <col min="14715" max="14715" width="5.59765625" style="256" customWidth="1"/>
    <col min="14716" max="14716" width="5.73046875" style="256" customWidth="1"/>
    <col min="14717" max="14717" width="8.1328125" style="256" customWidth="1"/>
    <col min="14718" max="14719" width="7.59765625" style="256" customWidth="1"/>
    <col min="14720" max="14720" width="6.73046875" style="256" customWidth="1"/>
    <col min="14721" max="14721" width="4" style="256" customWidth="1"/>
    <col min="14722" max="14722" width="7.265625" style="256" customWidth="1"/>
    <col min="14723" max="14723" width="4" style="256" customWidth="1"/>
    <col min="14724" max="14724" width="13" style="256" customWidth="1"/>
    <col min="14725" max="14725" width="7.73046875" style="256" customWidth="1"/>
    <col min="14726" max="14726" width="5.59765625" style="256" customWidth="1"/>
    <col min="14727" max="14727" width="5.73046875" style="256" customWidth="1"/>
    <col min="14728" max="14728" width="8.1328125" style="256" customWidth="1"/>
    <col min="14729" max="14730" width="7.59765625" style="256" customWidth="1"/>
    <col min="14731" max="14731" width="6.73046875" style="256" customWidth="1"/>
    <col min="14732" max="14732" width="4" style="256" customWidth="1"/>
    <col min="14733" max="14733" width="7.265625" style="256" customWidth="1"/>
    <col min="14734" max="14734" width="4" style="256" customWidth="1"/>
    <col min="14735" max="14735" width="13" style="256" customWidth="1"/>
    <col min="14736" max="14736" width="7.73046875" style="256" customWidth="1"/>
    <col min="14737" max="14737" width="5.59765625" style="256" customWidth="1"/>
    <col min="14738" max="14739" width="9.1328125" style="256"/>
    <col min="14740" max="14740" width="6.59765625" style="256" customWidth="1"/>
    <col min="14741" max="14741" width="8.73046875" style="256" customWidth="1"/>
    <col min="14742" max="14742" width="7.3984375" style="256" customWidth="1"/>
    <col min="14743" max="14743" width="7.265625" style="256" customWidth="1"/>
    <col min="14744" max="14744" width="7.73046875" style="256" customWidth="1"/>
    <col min="14745" max="14745" width="4.3984375" style="256" customWidth="1"/>
    <col min="14746" max="14746" width="9.1328125" style="256"/>
    <col min="14747" max="14747" width="6" style="256" customWidth="1"/>
    <col min="14748" max="14748" width="12.265625" style="256" customWidth="1"/>
    <col min="14749" max="14749" width="8" style="256" customWidth="1"/>
    <col min="14750" max="14752" width="9.1328125" style="256"/>
    <col min="14753" max="14753" width="7.73046875" style="256" customWidth="1"/>
    <col min="14754" max="14754" width="8.265625" style="256" customWidth="1"/>
    <col min="14755" max="14755" width="7.1328125" style="256" customWidth="1"/>
    <col min="14756" max="14756" width="7.59765625" style="256" customWidth="1"/>
    <col min="14757" max="14757" width="7.3984375" style="256" customWidth="1"/>
    <col min="14758" max="14758" width="4.86328125" style="256" customWidth="1"/>
    <col min="14759" max="14759" width="9.1328125" style="256"/>
    <col min="14760" max="14760" width="5" style="256" customWidth="1"/>
    <col min="14761" max="14761" width="12.265625" style="256" customWidth="1"/>
    <col min="14762" max="14762" width="7.86328125" style="256" customWidth="1"/>
    <col min="14763" max="14765" width="9.1328125" style="256"/>
    <col min="14766" max="14766" width="7.265625" style="256" customWidth="1"/>
    <col min="14767" max="14767" width="8.1328125" style="256" customWidth="1"/>
    <col min="14768" max="14768" width="6.86328125" style="256" customWidth="1"/>
    <col min="14769" max="14769" width="8" style="256" customWidth="1"/>
    <col min="14770" max="14770" width="7.3984375" style="256" customWidth="1"/>
    <col min="14771" max="14771" width="4.59765625" style="256" customWidth="1"/>
    <col min="14772" max="14772" width="9.1328125" style="256"/>
    <col min="14773" max="14773" width="4.1328125" style="256" customWidth="1"/>
    <col min="14774" max="14774" width="12" style="256" customWidth="1"/>
    <col min="14775" max="14775" width="8.1328125" style="256" customWidth="1"/>
    <col min="14776" max="14778" width="9.1328125" style="256"/>
    <col min="14779" max="14779" width="5.3984375" style="256" customWidth="1"/>
    <col min="14780" max="14780" width="7.73046875" style="256" customWidth="1"/>
    <col min="14781" max="14781" width="5.1328125" style="256" customWidth="1"/>
    <col min="14782" max="14782" width="7.3984375" style="256" customWidth="1"/>
    <col min="14783" max="14783" width="7.1328125" style="256" customWidth="1"/>
    <col min="14784" max="14784" width="4.265625" style="256" customWidth="1"/>
    <col min="14785" max="14785" width="9.1328125" style="256"/>
    <col min="14786" max="14786" width="5.1328125" style="256" customWidth="1"/>
    <col min="14787" max="14787" width="12.265625" style="256" customWidth="1"/>
    <col min="14788" max="14788" width="7.73046875" style="256" customWidth="1"/>
    <col min="14789" max="14790" width="9.1328125" style="256"/>
    <col min="14791" max="14791" width="6.73046875" style="256" customWidth="1"/>
    <col min="14792" max="14792" width="7.59765625" style="256" customWidth="1"/>
    <col min="14793" max="14793" width="6.265625" style="256" customWidth="1"/>
    <col min="14794" max="14794" width="8.1328125" style="256" customWidth="1"/>
    <col min="14795" max="14795" width="7.1328125" style="256" customWidth="1"/>
    <col min="14796" max="14796" width="4.3984375" style="256" customWidth="1"/>
    <col min="14797" max="14797" width="9.1328125" style="256"/>
    <col min="14798" max="14798" width="3.86328125" style="256" customWidth="1"/>
    <col min="14799" max="14799" width="12.265625" style="256" customWidth="1"/>
    <col min="14800" max="14800" width="8.3984375" style="256" customWidth="1"/>
    <col min="14801" max="14802" width="9.1328125" style="256"/>
    <col min="14803" max="14803" width="8.1328125" style="256" customWidth="1"/>
    <col min="14804" max="14804" width="8.3984375" style="256" customWidth="1"/>
    <col min="14805" max="14805" width="7" style="256" customWidth="1"/>
    <col min="14806" max="14806" width="8.3984375" style="256" customWidth="1"/>
    <col min="14807" max="14807" width="9.1328125" style="256"/>
    <col min="14808" max="14808" width="6.1328125" style="256" customWidth="1"/>
    <col min="14809" max="14809" width="9.1328125" style="256"/>
    <col min="14810" max="14810" width="6.73046875" style="256" customWidth="1"/>
    <col min="14811" max="14827" width="9.1328125" style="256"/>
    <col min="14828" max="14828" width="5.59765625" style="256" customWidth="1"/>
    <col min="14829" max="14829" width="5.73046875" style="256" customWidth="1"/>
    <col min="14830" max="14830" width="8.1328125" style="256" customWidth="1"/>
    <col min="14831" max="14832" width="7.59765625" style="256" customWidth="1"/>
    <col min="14833" max="14833" width="6.73046875" style="256" customWidth="1"/>
    <col min="14834" max="14834" width="4" style="256" customWidth="1"/>
    <col min="14835" max="14835" width="7.265625" style="256" customWidth="1"/>
    <col min="14836" max="14836" width="4" style="256" customWidth="1"/>
    <col min="14837" max="14837" width="13" style="256" customWidth="1"/>
    <col min="14838" max="14838" width="8" style="256" customWidth="1"/>
    <col min="14839" max="14839" width="5.59765625" style="256" customWidth="1"/>
    <col min="14840" max="14840" width="5.73046875" style="256" customWidth="1"/>
    <col min="14841" max="14841" width="8.1328125" style="256" customWidth="1"/>
    <col min="14842" max="14843" width="7.59765625" style="256" customWidth="1"/>
    <col min="14844" max="14844" width="6.73046875" style="256" customWidth="1"/>
    <col min="14845" max="14845" width="4" style="256" customWidth="1"/>
    <col min="14846" max="14846" width="7.265625" style="256" customWidth="1"/>
    <col min="14847" max="14847" width="4" style="256" customWidth="1"/>
    <col min="14848" max="14848" width="13" style="256" customWidth="1"/>
    <col min="14849" max="14849" width="7.73046875" style="256" customWidth="1"/>
    <col min="14850" max="14850" width="5.59765625" style="256" customWidth="1"/>
    <col min="14851" max="14851" width="5.73046875" style="256" customWidth="1"/>
    <col min="14852" max="14852" width="8.1328125" style="256" customWidth="1"/>
    <col min="14853" max="14854" width="7.59765625" style="256" customWidth="1"/>
    <col min="14855" max="14855" width="6.73046875" style="256" customWidth="1"/>
    <col min="14856" max="14856" width="4" style="256" customWidth="1"/>
    <col min="14857" max="14857" width="7.265625" style="256" customWidth="1"/>
    <col min="14858" max="14858" width="4" style="256" customWidth="1"/>
    <col min="14859" max="14859" width="13" style="256" customWidth="1"/>
    <col min="14860" max="14860" width="7.73046875" style="256" customWidth="1"/>
    <col min="14861" max="14861" width="5.59765625" style="256" customWidth="1"/>
    <col min="14862" max="14862" width="5.73046875" style="256" customWidth="1"/>
    <col min="14863" max="14863" width="8.1328125" style="256" customWidth="1"/>
    <col min="14864" max="14865" width="7.59765625" style="256" customWidth="1"/>
    <col min="14866" max="14866" width="6.73046875" style="256" customWidth="1"/>
    <col min="14867" max="14867" width="4" style="256" customWidth="1"/>
    <col min="14868" max="14868" width="7.265625" style="256" customWidth="1"/>
    <col min="14869" max="14869" width="4" style="256" customWidth="1"/>
    <col min="14870" max="14870" width="13" style="256" customWidth="1"/>
    <col min="14871" max="14871" width="7.73046875" style="256" customWidth="1"/>
    <col min="14872" max="14872" width="5.59765625" style="256" customWidth="1"/>
    <col min="14873" max="14873" width="5.73046875" style="256" customWidth="1"/>
    <col min="14874" max="14874" width="8.1328125" style="256" customWidth="1"/>
    <col min="14875" max="14876" width="7.59765625" style="256" customWidth="1"/>
    <col min="14877" max="14877" width="6.73046875" style="256" customWidth="1"/>
    <col min="14878" max="14878" width="4" style="256" customWidth="1"/>
    <col min="14879" max="14879" width="7.265625" style="256" customWidth="1"/>
    <col min="14880" max="14880" width="4" style="256" customWidth="1"/>
    <col min="14881" max="14881" width="13" style="256" customWidth="1"/>
    <col min="14882" max="14882" width="7.73046875" style="256" customWidth="1"/>
    <col min="14883" max="14883" width="5.59765625" style="256" customWidth="1"/>
    <col min="14884" max="14884" width="5.73046875" style="256" customWidth="1"/>
    <col min="14885" max="14885" width="8.1328125" style="256" customWidth="1"/>
    <col min="14886" max="14887" width="7.59765625" style="256" customWidth="1"/>
    <col min="14888" max="14888" width="6.73046875" style="256" customWidth="1"/>
    <col min="14889" max="14889" width="4" style="256" customWidth="1"/>
    <col min="14890" max="14890" width="7.265625" style="256" customWidth="1"/>
    <col min="14891" max="14891" width="4" style="256" customWidth="1"/>
    <col min="14892" max="14892" width="13" style="256" customWidth="1"/>
    <col min="14893" max="14893" width="7.73046875" style="256" customWidth="1"/>
    <col min="14894" max="14894" width="5.59765625" style="256" customWidth="1"/>
    <col min="14895" max="14895" width="5.73046875" style="256" customWidth="1"/>
    <col min="14896" max="14896" width="8.1328125" style="256" customWidth="1"/>
    <col min="14897" max="14898" width="7.59765625" style="256" customWidth="1"/>
    <col min="14899" max="14899" width="6.73046875" style="256" customWidth="1"/>
    <col min="14900" max="14900" width="4" style="256" customWidth="1"/>
    <col min="14901" max="14901" width="7.265625" style="256" customWidth="1"/>
    <col min="14902" max="14902" width="4" style="256" customWidth="1"/>
    <col min="14903" max="14903" width="13" style="256" customWidth="1"/>
    <col min="14904" max="14904" width="7.73046875" style="256" customWidth="1"/>
    <col min="14905" max="14905" width="5.59765625" style="256" customWidth="1"/>
    <col min="14906" max="14906" width="5.73046875" style="256" customWidth="1"/>
    <col min="14907" max="14907" width="8.1328125" style="256" customWidth="1"/>
    <col min="14908" max="14909" width="7.59765625" style="256" customWidth="1"/>
    <col min="14910" max="14910" width="6.73046875" style="256" customWidth="1"/>
    <col min="14911" max="14911" width="4" style="256" customWidth="1"/>
    <col min="14912" max="14912" width="7.265625" style="256" customWidth="1"/>
    <col min="14913" max="14913" width="4.3984375" style="256" customWidth="1"/>
    <col min="14914" max="14914" width="13" style="256" customWidth="1"/>
    <col min="14915" max="14915" width="7.73046875" style="256" customWidth="1"/>
    <col min="14916" max="14916" width="5.59765625" style="256" customWidth="1"/>
    <col min="14917" max="14917" width="5.73046875" style="256" customWidth="1"/>
    <col min="14918" max="14918" width="8.1328125" style="256" customWidth="1"/>
    <col min="14919" max="14920" width="7.59765625" style="256" customWidth="1"/>
    <col min="14921" max="14921" width="6.73046875" style="256" customWidth="1"/>
    <col min="14922" max="14922" width="4" style="256" customWidth="1"/>
    <col min="14923" max="14923" width="7.265625" style="256" customWidth="1"/>
    <col min="14924" max="14924" width="4" style="256" customWidth="1"/>
    <col min="14925" max="14925" width="13" style="256" customWidth="1"/>
    <col min="14926" max="14926" width="7.73046875" style="256" customWidth="1"/>
    <col min="14927" max="14927" width="5.59765625" style="256" customWidth="1"/>
    <col min="14928" max="14928" width="5.73046875" style="256" customWidth="1"/>
    <col min="14929" max="14929" width="8.1328125" style="256" customWidth="1"/>
    <col min="14930" max="14931" width="7.59765625" style="256" customWidth="1"/>
    <col min="14932" max="14932" width="6.73046875" style="256" customWidth="1"/>
    <col min="14933" max="14933" width="4" style="256" customWidth="1"/>
    <col min="14934" max="14934" width="7.265625" style="256" customWidth="1"/>
    <col min="14935" max="14935" width="4" style="256" customWidth="1"/>
    <col min="14936" max="14936" width="13" style="256" customWidth="1"/>
    <col min="14937" max="14937" width="7.73046875" style="256" customWidth="1"/>
    <col min="14938" max="14938" width="5.59765625" style="256" customWidth="1"/>
    <col min="14939" max="14939" width="5.73046875" style="256" customWidth="1"/>
    <col min="14940" max="14940" width="8.1328125" style="256" customWidth="1"/>
    <col min="14941" max="14942" width="7.59765625" style="256" customWidth="1"/>
    <col min="14943" max="14943" width="6.73046875" style="256" customWidth="1"/>
    <col min="14944" max="14944" width="4" style="256" customWidth="1"/>
    <col min="14945" max="14945" width="7.265625" style="256" customWidth="1"/>
    <col min="14946" max="14946" width="4" style="256" customWidth="1"/>
    <col min="14947" max="14947" width="13" style="256" customWidth="1"/>
    <col min="14948" max="14948" width="7.73046875" style="256" customWidth="1"/>
    <col min="14949" max="14949" width="5.59765625" style="256" customWidth="1"/>
    <col min="14950" max="14950" width="5.73046875" style="256" customWidth="1"/>
    <col min="14951" max="14951" width="8.1328125" style="256" customWidth="1"/>
    <col min="14952" max="14953" width="7.59765625" style="256" customWidth="1"/>
    <col min="14954" max="14954" width="6.73046875" style="256" customWidth="1"/>
    <col min="14955" max="14955" width="4" style="256" customWidth="1"/>
    <col min="14956" max="14956" width="7.265625" style="256" customWidth="1"/>
    <col min="14957" max="14957" width="4" style="256" customWidth="1"/>
    <col min="14958" max="14958" width="13" style="256" customWidth="1"/>
    <col min="14959" max="14959" width="7.73046875" style="256" customWidth="1"/>
    <col min="14960" max="14960" width="5.59765625" style="256" customWidth="1"/>
    <col min="14961" max="14961" width="5.73046875" style="256" customWidth="1"/>
    <col min="14962" max="14962" width="8.1328125" style="256" customWidth="1"/>
    <col min="14963" max="14964" width="7.59765625" style="256" customWidth="1"/>
    <col min="14965" max="14965" width="6.73046875" style="256" customWidth="1"/>
    <col min="14966" max="14966" width="4" style="256" customWidth="1"/>
    <col min="14967" max="14967" width="7.265625" style="256" customWidth="1"/>
    <col min="14968" max="14968" width="4" style="256" customWidth="1"/>
    <col min="14969" max="14969" width="13" style="256" customWidth="1"/>
    <col min="14970" max="14970" width="7.73046875" style="256" customWidth="1"/>
    <col min="14971" max="14971" width="5.59765625" style="256" customWidth="1"/>
    <col min="14972" max="14972" width="5.73046875" style="256" customWidth="1"/>
    <col min="14973" max="14973" width="8.1328125" style="256" customWidth="1"/>
    <col min="14974" max="14975" width="7.59765625" style="256" customWidth="1"/>
    <col min="14976" max="14976" width="6.73046875" style="256" customWidth="1"/>
    <col min="14977" max="14977" width="4" style="256" customWidth="1"/>
    <col min="14978" max="14978" width="7.265625" style="256" customWidth="1"/>
    <col min="14979" max="14979" width="4" style="256" customWidth="1"/>
    <col min="14980" max="14980" width="13" style="256" customWidth="1"/>
    <col min="14981" max="14981" width="7.73046875" style="256" customWidth="1"/>
    <col min="14982" max="14982" width="5.59765625" style="256" customWidth="1"/>
    <col min="14983" max="14983" width="5.73046875" style="256" customWidth="1"/>
    <col min="14984" max="14984" width="8.1328125" style="256" customWidth="1"/>
    <col min="14985" max="14986" width="7.59765625" style="256" customWidth="1"/>
    <col min="14987" max="14987" width="6.73046875" style="256" customWidth="1"/>
    <col min="14988" max="14988" width="4" style="256" customWidth="1"/>
    <col min="14989" max="14989" width="7.265625" style="256" customWidth="1"/>
    <col min="14990" max="14990" width="4" style="256" customWidth="1"/>
    <col min="14991" max="14991" width="13" style="256" customWidth="1"/>
    <col min="14992" max="14992" width="7.73046875" style="256" customWidth="1"/>
    <col min="14993" max="14993" width="5.59765625" style="256" customWidth="1"/>
    <col min="14994" max="14995" width="9.1328125" style="256"/>
    <col min="14996" max="14996" width="6.59765625" style="256" customWidth="1"/>
    <col min="14997" max="14997" width="8.73046875" style="256" customWidth="1"/>
    <col min="14998" max="14998" width="7.3984375" style="256" customWidth="1"/>
    <col min="14999" max="14999" width="7.265625" style="256" customWidth="1"/>
    <col min="15000" max="15000" width="7.73046875" style="256" customWidth="1"/>
    <col min="15001" max="15001" width="4.3984375" style="256" customWidth="1"/>
    <col min="15002" max="15002" width="9.1328125" style="256"/>
    <col min="15003" max="15003" width="6" style="256" customWidth="1"/>
    <col min="15004" max="15004" width="12.265625" style="256" customWidth="1"/>
    <col min="15005" max="15005" width="8" style="256" customWidth="1"/>
    <col min="15006" max="15008" width="9.1328125" style="256"/>
    <col min="15009" max="15009" width="7.73046875" style="256" customWidth="1"/>
    <col min="15010" max="15010" width="8.265625" style="256" customWidth="1"/>
    <col min="15011" max="15011" width="7.1328125" style="256" customWidth="1"/>
    <col min="15012" max="15012" width="7.59765625" style="256" customWidth="1"/>
    <col min="15013" max="15013" width="7.3984375" style="256" customWidth="1"/>
    <col min="15014" max="15014" width="4.86328125" style="256" customWidth="1"/>
    <col min="15015" max="15015" width="9.1328125" style="256"/>
    <col min="15016" max="15016" width="5" style="256" customWidth="1"/>
    <col min="15017" max="15017" width="12.265625" style="256" customWidth="1"/>
    <col min="15018" max="15018" width="7.86328125" style="256" customWidth="1"/>
    <col min="15019" max="15021" width="9.1328125" style="256"/>
    <col min="15022" max="15022" width="7.265625" style="256" customWidth="1"/>
    <col min="15023" max="15023" width="8.1328125" style="256" customWidth="1"/>
    <col min="15024" max="15024" width="6.86328125" style="256" customWidth="1"/>
    <col min="15025" max="15025" width="8" style="256" customWidth="1"/>
    <col min="15026" max="15026" width="7.3984375" style="256" customWidth="1"/>
    <col min="15027" max="15027" width="4.59765625" style="256" customWidth="1"/>
    <col min="15028" max="15028" width="9.1328125" style="256"/>
    <col min="15029" max="15029" width="4.1328125" style="256" customWidth="1"/>
    <col min="15030" max="15030" width="12" style="256" customWidth="1"/>
    <col min="15031" max="15031" width="8.1328125" style="256" customWidth="1"/>
    <col min="15032" max="15034" width="9.1328125" style="256"/>
    <col min="15035" max="15035" width="5.3984375" style="256" customWidth="1"/>
    <col min="15036" max="15036" width="7.73046875" style="256" customWidth="1"/>
    <col min="15037" max="15037" width="5.1328125" style="256" customWidth="1"/>
    <col min="15038" max="15038" width="7.3984375" style="256" customWidth="1"/>
    <col min="15039" max="15039" width="7.1328125" style="256" customWidth="1"/>
    <col min="15040" max="15040" width="4.265625" style="256" customWidth="1"/>
    <col min="15041" max="15041" width="9.1328125" style="256"/>
    <col min="15042" max="15042" width="5.1328125" style="256" customWidth="1"/>
    <col min="15043" max="15043" width="12.265625" style="256" customWidth="1"/>
    <col min="15044" max="15044" width="7.73046875" style="256" customWidth="1"/>
    <col min="15045" max="15046" width="9.1328125" style="256"/>
    <col min="15047" max="15047" width="6.73046875" style="256" customWidth="1"/>
    <col min="15048" max="15048" width="7.59765625" style="256" customWidth="1"/>
    <col min="15049" max="15049" width="6.265625" style="256" customWidth="1"/>
    <col min="15050" max="15050" width="8.1328125" style="256" customWidth="1"/>
    <col min="15051" max="15051" width="7.1328125" style="256" customWidth="1"/>
    <col min="15052" max="15052" width="4.3984375" style="256" customWidth="1"/>
    <col min="15053" max="15053" width="9.1328125" style="256"/>
    <col min="15054" max="15054" width="3.86328125" style="256" customWidth="1"/>
    <col min="15055" max="15055" width="12.265625" style="256" customWidth="1"/>
    <col min="15056" max="15056" width="8.3984375" style="256" customWidth="1"/>
    <col min="15057" max="15058" width="9.1328125" style="256"/>
    <col min="15059" max="15059" width="8.1328125" style="256" customWidth="1"/>
    <col min="15060" max="15060" width="8.3984375" style="256" customWidth="1"/>
    <col min="15061" max="15061" width="7" style="256" customWidth="1"/>
    <col min="15062" max="15062" width="8.3984375" style="256" customWidth="1"/>
    <col min="15063" max="15063" width="9.1328125" style="256"/>
    <col min="15064" max="15064" width="6.1328125" style="256" customWidth="1"/>
    <col min="15065" max="15065" width="9.1328125" style="256"/>
    <col min="15066" max="15066" width="6.73046875" style="256" customWidth="1"/>
    <col min="15067" max="15083" width="9.1328125" style="256"/>
    <col min="15084" max="15084" width="5.59765625" style="256" customWidth="1"/>
    <col min="15085" max="15085" width="5.73046875" style="256" customWidth="1"/>
    <col min="15086" max="15086" width="8.1328125" style="256" customWidth="1"/>
    <col min="15087" max="15088" width="7.59765625" style="256" customWidth="1"/>
    <col min="15089" max="15089" width="6.73046875" style="256" customWidth="1"/>
    <col min="15090" max="15090" width="4" style="256" customWidth="1"/>
    <col min="15091" max="15091" width="7.265625" style="256" customWidth="1"/>
    <col min="15092" max="15092" width="4" style="256" customWidth="1"/>
    <col min="15093" max="15093" width="13" style="256" customWidth="1"/>
    <col min="15094" max="15094" width="8" style="256" customWidth="1"/>
    <col min="15095" max="15095" width="5.59765625" style="256" customWidth="1"/>
    <col min="15096" max="15096" width="5.73046875" style="256" customWidth="1"/>
    <col min="15097" max="15097" width="8.1328125" style="256" customWidth="1"/>
    <col min="15098" max="15099" width="7.59765625" style="256" customWidth="1"/>
    <col min="15100" max="15100" width="6.73046875" style="256" customWidth="1"/>
    <col min="15101" max="15101" width="4" style="256" customWidth="1"/>
    <col min="15102" max="15102" width="7.265625" style="256" customWidth="1"/>
    <col min="15103" max="15103" width="4" style="256" customWidth="1"/>
    <col min="15104" max="15104" width="13" style="256" customWidth="1"/>
    <col min="15105" max="15105" width="7.73046875" style="256" customWidth="1"/>
    <col min="15106" max="15106" width="5.59765625" style="256" customWidth="1"/>
    <col min="15107" max="15107" width="5.73046875" style="256" customWidth="1"/>
    <col min="15108" max="15108" width="8.1328125" style="256" customWidth="1"/>
    <col min="15109" max="15110" width="7.59765625" style="256" customWidth="1"/>
    <col min="15111" max="15111" width="6.73046875" style="256" customWidth="1"/>
    <col min="15112" max="15112" width="4" style="256" customWidth="1"/>
    <col min="15113" max="15113" width="7.265625" style="256" customWidth="1"/>
    <col min="15114" max="15114" width="4" style="256" customWidth="1"/>
    <col min="15115" max="15115" width="13" style="256" customWidth="1"/>
    <col min="15116" max="15116" width="7.73046875" style="256" customWidth="1"/>
    <col min="15117" max="15117" width="5.59765625" style="256" customWidth="1"/>
    <col min="15118" max="15118" width="5.73046875" style="256" customWidth="1"/>
    <col min="15119" max="15119" width="8.1328125" style="256" customWidth="1"/>
    <col min="15120" max="15121" width="7.59765625" style="256" customWidth="1"/>
    <col min="15122" max="15122" width="6.73046875" style="256" customWidth="1"/>
    <col min="15123" max="15123" width="4" style="256" customWidth="1"/>
    <col min="15124" max="15124" width="7.265625" style="256" customWidth="1"/>
    <col min="15125" max="15125" width="4" style="256" customWidth="1"/>
    <col min="15126" max="15126" width="13" style="256" customWidth="1"/>
    <col min="15127" max="15127" width="7.73046875" style="256" customWidth="1"/>
    <col min="15128" max="15128" width="5.59765625" style="256" customWidth="1"/>
    <col min="15129" max="15129" width="5.73046875" style="256" customWidth="1"/>
    <col min="15130" max="15130" width="8.1328125" style="256" customWidth="1"/>
    <col min="15131" max="15132" width="7.59765625" style="256" customWidth="1"/>
    <col min="15133" max="15133" width="6.73046875" style="256" customWidth="1"/>
    <col min="15134" max="15134" width="4" style="256" customWidth="1"/>
    <col min="15135" max="15135" width="7.265625" style="256" customWidth="1"/>
    <col min="15136" max="15136" width="4" style="256" customWidth="1"/>
    <col min="15137" max="15137" width="13" style="256" customWidth="1"/>
    <col min="15138" max="15138" width="7.73046875" style="256" customWidth="1"/>
    <col min="15139" max="15139" width="5.59765625" style="256" customWidth="1"/>
    <col min="15140" max="15140" width="5.73046875" style="256" customWidth="1"/>
    <col min="15141" max="15141" width="8.1328125" style="256" customWidth="1"/>
    <col min="15142" max="15143" width="7.59765625" style="256" customWidth="1"/>
    <col min="15144" max="15144" width="6.73046875" style="256" customWidth="1"/>
    <col min="15145" max="15145" width="4" style="256" customWidth="1"/>
    <col min="15146" max="15146" width="7.265625" style="256" customWidth="1"/>
    <col min="15147" max="15147" width="4" style="256" customWidth="1"/>
    <col min="15148" max="15148" width="13" style="256" customWidth="1"/>
    <col min="15149" max="15149" width="7.73046875" style="256" customWidth="1"/>
    <col min="15150" max="15150" width="5.59765625" style="256" customWidth="1"/>
    <col min="15151" max="15151" width="5.73046875" style="256" customWidth="1"/>
    <col min="15152" max="15152" width="8.1328125" style="256" customWidth="1"/>
    <col min="15153" max="15154" width="7.59765625" style="256" customWidth="1"/>
    <col min="15155" max="15155" width="6.73046875" style="256" customWidth="1"/>
    <col min="15156" max="15156" width="4" style="256" customWidth="1"/>
    <col min="15157" max="15157" width="7.265625" style="256" customWidth="1"/>
    <col min="15158" max="15158" width="4" style="256" customWidth="1"/>
    <col min="15159" max="15159" width="13" style="256" customWidth="1"/>
    <col min="15160" max="15160" width="7.73046875" style="256" customWidth="1"/>
    <col min="15161" max="15161" width="5.59765625" style="256" customWidth="1"/>
    <col min="15162" max="15162" width="5.73046875" style="256" customWidth="1"/>
    <col min="15163" max="15163" width="8.1328125" style="256" customWidth="1"/>
    <col min="15164" max="15165" width="7.59765625" style="256" customWidth="1"/>
    <col min="15166" max="15166" width="6.73046875" style="256" customWidth="1"/>
    <col min="15167" max="15167" width="4" style="256" customWidth="1"/>
    <col min="15168" max="15168" width="7.265625" style="256" customWidth="1"/>
    <col min="15169" max="15169" width="4.3984375" style="256" customWidth="1"/>
    <col min="15170" max="15170" width="13" style="256" customWidth="1"/>
    <col min="15171" max="15171" width="7.73046875" style="256" customWidth="1"/>
    <col min="15172" max="15172" width="5.59765625" style="256" customWidth="1"/>
    <col min="15173" max="15173" width="5.73046875" style="256" customWidth="1"/>
    <col min="15174" max="15174" width="8.1328125" style="256" customWidth="1"/>
    <col min="15175" max="15176" width="7.59765625" style="256" customWidth="1"/>
    <col min="15177" max="15177" width="6.73046875" style="256" customWidth="1"/>
    <col min="15178" max="15178" width="4" style="256" customWidth="1"/>
    <col min="15179" max="15179" width="7.265625" style="256" customWidth="1"/>
    <col min="15180" max="15180" width="4" style="256" customWidth="1"/>
    <col min="15181" max="15181" width="13" style="256" customWidth="1"/>
    <col min="15182" max="15182" width="7.73046875" style="256" customWidth="1"/>
    <col min="15183" max="15183" width="5.59765625" style="256" customWidth="1"/>
    <col min="15184" max="15184" width="5.73046875" style="256" customWidth="1"/>
    <col min="15185" max="15185" width="8.1328125" style="256" customWidth="1"/>
    <col min="15186" max="15187" width="7.59765625" style="256" customWidth="1"/>
    <col min="15188" max="15188" width="6.73046875" style="256" customWidth="1"/>
    <col min="15189" max="15189" width="4" style="256" customWidth="1"/>
    <col min="15190" max="15190" width="7.265625" style="256" customWidth="1"/>
    <col min="15191" max="15191" width="4" style="256" customWidth="1"/>
    <col min="15192" max="15192" width="13" style="256" customWidth="1"/>
    <col min="15193" max="15193" width="7.73046875" style="256" customWidth="1"/>
    <col min="15194" max="15194" width="5.59765625" style="256" customWidth="1"/>
    <col min="15195" max="15195" width="5.73046875" style="256" customWidth="1"/>
    <col min="15196" max="15196" width="8.1328125" style="256" customWidth="1"/>
    <col min="15197" max="15198" width="7.59765625" style="256" customWidth="1"/>
    <col min="15199" max="15199" width="6.73046875" style="256" customWidth="1"/>
    <col min="15200" max="15200" width="4" style="256" customWidth="1"/>
    <col min="15201" max="15201" width="7.265625" style="256" customWidth="1"/>
    <col min="15202" max="15202" width="4" style="256" customWidth="1"/>
    <col min="15203" max="15203" width="13" style="256" customWidth="1"/>
    <col min="15204" max="15204" width="7.73046875" style="256" customWidth="1"/>
    <col min="15205" max="15205" width="5.59765625" style="256" customWidth="1"/>
    <col min="15206" max="15206" width="5.73046875" style="256" customWidth="1"/>
    <col min="15207" max="15207" width="8.1328125" style="256" customWidth="1"/>
    <col min="15208" max="15209" width="7.59765625" style="256" customWidth="1"/>
    <col min="15210" max="15210" width="6.73046875" style="256" customWidth="1"/>
    <col min="15211" max="15211" width="4" style="256" customWidth="1"/>
    <col min="15212" max="15212" width="7.265625" style="256" customWidth="1"/>
    <col min="15213" max="15213" width="4" style="256" customWidth="1"/>
    <col min="15214" max="15214" width="13" style="256" customWidth="1"/>
    <col min="15215" max="15215" width="7.73046875" style="256" customWidth="1"/>
    <col min="15216" max="15216" width="5.59765625" style="256" customWidth="1"/>
    <col min="15217" max="15217" width="5.73046875" style="256" customWidth="1"/>
    <col min="15218" max="15218" width="8.1328125" style="256" customWidth="1"/>
    <col min="15219" max="15220" width="7.59765625" style="256" customWidth="1"/>
    <col min="15221" max="15221" width="6.73046875" style="256" customWidth="1"/>
    <col min="15222" max="15222" width="4" style="256" customWidth="1"/>
    <col min="15223" max="15223" width="7.265625" style="256" customWidth="1"/>
    <col min="15224" max="15224" width="4" style="256" customWidth="1"/>
    <col min="15225" max="15225" width="13" style="256" customWidth="1"/>
    <col min="15226" max="15226" width="7.73046875" style="256" customWidth="1"/>
    <col min="15227" max="15227" width="5.59765625" style="256" customWidth="1"/>
    <col min="15228" max="15228" width="5.73046875" style="256" customWidth="1"/>
    <col min="15229" max="15229" width="8.1328125" style="256" customWidth="1"/>
    <col min="15230" max="15231" width="7.59765625" style="256" customWidth="1"/>
    <col min="15232" max="15232" width="6.73046875" style="256" customWidth="1"/>
    <col min="15233" max="15233" width="4" style="256" customWidth="1"/>
    <col min="15234" max="15234" width="7.265625" style="256" customWidth="1"/>
    <col min="15235" max="15235" width="4" style="256" customWidth="1"/>
    <col min="15236" max="15236" width="13" style="256" customWidth="1"/>
    <col min="15237" max="15237" width="7.73046875" style="256" customWidth="1"/>
    <col min="15238" max="15238" width="5.59765625" style="256" customWidth="1"/>
    <col min="15239" max="15239" width="5.73046875" style="256" customWidth="1"/>
    <col min="15240" max="15240" width="8.1328125" style="256" customWidth="1"/>
    <col min="15241" max="15242" width="7.59765625" style="256" customWidth="1"/>
    <col min="15243" max="15243" width="6.73046875" style="256" customWidth="1"/>
    <col min="15244" max="15244" width="4" style="256" customWidth="1"/>
    <col min="15245" max="15245" width="7.265625" style="256" customWidth="1"/>
    <col min="15246" max="15246" width="4" style="256" customWidth="1"/>
    <col min="15247" max="15247" width="13" style="256" customWidth="1"/>
    <col min="15248" max="15248" width="7.73046875" style="256" customWidth="1"/>
    <col min="15249" max="15249" width="5.59765625" style="256" customWidth="1"/>
    <col min="15250" max="15251" width="9.1328125" style="256"/>
    <col min="15252" max="15252" width="6.59765625" style="256" customWidth="1"/>
    <col min="15253" max="15253" width="8.73046875" style="256" customWidth="1"/>
    <col min="15254" max="15254" width="7.3984375" style="256" customWidth="1"/>
    <col min="15255" max="15255" width="7.265625" style="256" customWidth="1"/>
    <col min="15256" max="15256" width="7.73046875" style="256" customWidth="1"/>
    <col min="15257" max="15257" width="4.3984375" style="256" customWidth="1"/>
    <col min="15258" max="15258" width="9.1328125" style="256"/>
    <col min="15259" max="15259" width="6" style="256" customWidth="1"/>
    <col min="15260" max="15260" width="12.265625" style="256" customWidth="1"/>
    <col min="15261" max="15261" width="8" style="256" customWidth="1"/>
    <col min="15262" max="15264" width="9.1328125" style="256"/>
    <col min="15265" max="15265" width="7.73046875" style="256" customWidth="1"/>
    <col min="15266" max="15266" width="8.265625" style="256" customWidth="1"/>
    <col min="15267" max="15267" width="7.1328125" style="256" customWidth="1"/>
    <col min="15268" max="15268" width="7.59765625" style="256" customWidth="1"/>
    <col min="15269" max="15269" width="7.3984375" style="256" customWidth="1"/>
    <col min="15270" max="15270" width="4.86328125" style="256" customWidth="1"/>
    <col min="15271" max="15271" width="9.1328125" style="256"/>
    <col min="15272" max="15272" width="5" style="256" customWidth="1"/>
    <col min="15273" max="15273" width="12.265625" style="256" customWidth="1"/>
    <col min="15274" max="15274" width="7.86328125" style="256" customWidth="1"/>
    <col min="15275" max="15277" width="9.1328125" style="256"/>
    <col min="15278" max="15278" width="7.265625" style="256" customWidth="1"/>
    <col min="15279" max="15279" width="8.1328125" style="256" customWidth="1"/>
    <col min="15280" max="15280" width="6.86328125" style="256" customWidth="1"/>
    <col min="15281" max="15281" width="8" style="256" customWidth="1"/>
    <col min="15282" max="15282" width="7.3984375" style="256" customWidth="1"/>
    <col min="15283" max="15283" width="4.59765625" style="256" customWidth="1"/>
    <col min="15284" max="15284" width="9.1328125" style="256"/>
    <col min="15285" max="15285" width="4.1328125" style="256" customWidth="1"/>
    <col min="15286" max="15286" width="12" style="256" customWidth="1"/>
    <col min="15287" max="15287" width="8.1328125" style="256" customWidth="1"/>
    <col min="15288" max="15290" width="9.1328125" style="256"/>
    <col min="15291" max="15291" width="5.3984375" style="256" customWidth="1"/>
    <col min="15292" max="15292" width="7.73046875" style="256" customWidth="1"/>
    <col min="15293" max="15293" width="5.1328125" style="256" customWidth="1"/>
    <col min="15294" max="15294" width="7.3984375" style="256" customWidth="1"/>
    <col min="15295" max="15295" width="7.1328125" style="256" customWidth="1"/>
    <col min="15296" max="15296" width="4.265625" style="256" customWidth="1"/>
    <col min="15297" max="15297" width="9.1328125" style="256"/>
    <col min="15298" max="15298" width="5.1328125" style="256" customWidth="1"/>
    <col min="15299" max="15299" width="12.265625" style="256" customWidth="1"/>
    <col min="15300" max="15300" width="7.73046875" style="256" customWidth="1"/>
    <col min="15301" max="15302" width="9.1328125" style="256"/>
    <col min="15303" max="15303" width="6.73046875" style="256" customWidth="1"/>
    <col min="15304" max="15304" width="7.59765625" style="256" customWidth="1"/>
    <col min="15305" max="15305" width="6.265625" style="256" customWidth="1"/>
    <col min="15306" max="15306" width="8.1328125" style="256" customWidth="1"/>
    <col min="15307" max="15307" width="7.1328125" style="256" customWidth="1"/>
    <col min="15308" max="15308" width="4.3984375" style="256" customWidth="1"/>
    <col min="15309" max="15309" width="9.1328125" style="256"/>
    <col min="15310" max="15310" width="3.86328125" style="256" customWidth="1"/>
    <col min="15311" max="15311" width="12.265625" style="256" customWidth="1"/>
    <col min="15312" max="15312" width="8.3984375" style="256" customWidth="1"/>
    <col min="15313" max="15314" width="9.1328125" style="256"/>
    <col min="15315" max="15315" width="8.1328125" style="256" customWidth="1"/>
    <col min="15316" max="15316" width="8.3984375" style="256" customWidth="1"/>
    <col min="15317" max="15317" width="7" style="256" customWidth="1"/>
    <col min="15318" max="15318" width="8.3984375" style="256" customWidth="1"/>
    <col min="15319" max="15319" width="9.1328125" style="256"/>
    <col min="15320" max="15320" width="6.1328125" style="256" customWidth="1"/>
    <col min="15321" max="15321" width="9.1328125" style="256"/>
    <col min="15322" max="15322" width="6.73046875" style="256" customWidth="1"/>
    <col min="15323" max="15339" width="9.1328125" style="256"/>
    <col min="15340" max="15340" width="5.59765625" style="256" customWidth="1"/>
    <col min="15341" max="15341" width="5.73046875" style="256" customWidth="1"/>
    <col min="15342" max="15342" width="8.1328125" style="256" customWidth="1"/>
    <col min="15343" max="15344" width="7.59765625" style="256" customWidth="1"/>
    <col min="15345" max="15345" width="6.73046875" style="256" customWidth="1"/>
    <col min="15346" max="15346" width="4" style="256" customWidth="1"/>
    <col min="15347" max="15347" width="7.265625" style="256" customWidth="1"/>
    <col min="15348" max="15348" width="4" style="256" customWidth="1"/>
    <col min="15349" max="15349" width="13" style="256" customWidth="1"/>
    <col min="15350" max="15350" width="8" style="256" customWidth="1"/>
    <col min="15351" max="15351" width="5.59765625" style="256" customWidth="1"/>
    <col min="15352" max="15352" width="5.73046875" style="256" customWidth="1"/>
    <col min="15353" max="15353" width="8.1328125" style="256" customWidth="1"/>
    <col min="15354" max="15355" width="7.59765625" style="256" customWidth="1"/>
    <col min="15356" max="15356" width="6.73046875" style="256" customWidth="1"/>
    <col min="15357" max="15357" width="4" style="256" customWidth="1"/>
    <col min="15358" max="15358" width="7.265625" style="256" customWidth="1"/>
    <col min="15359" max="15359" width="4" style="256" customWidth="1"/>
    <col min="15360" max="15360" width="13" style="256" customWidth="1"/>
    <col min="15361" max="15361" width="7.73046875" style="256" customWidth="1"/>
    <col min="15362" max="15362" width="5.59765625" style="256" customWidth="1"/>
    <col min="15363" max="15363" width="5.73046875" style="256" customWidth="1"/>
    <col min="15364" max="15364" width="8.1328125" style="256" customWidth="1"/>
    <col min="15365" max="15366" width="7.59765625" style="256" customWidth="1"/>
    <col min="15367" max="15367" width="6.73046875" style="256" customWidth="1"/>
    <col min="15368" max="15368" width="4" style="256" customWidth="1"/>
    <col min="15369" max="15369" width="7.265625" style="256" customWidth="1"/>
    <col min="15370" max="15370" width="4" style="256" customWidth="1"/>
    <col min="15371" max="15371" width="13" style="256" customWidth="1"/>
    <col min="15372" max="15372" width="7.73046875" style="256" customWidth="1"/>
    <col min="15373" max="15373" width="5.59765625" style="256" customWidth="1"/>
    <col min="15374" max="15374" width="5.73046875" style="256" customWidth="1"/>
    <col min="15375" max="15375" width="8.1328125" style="256" customWidth="1"/>
    <col min="15376" max="15377" width="7.59765625" style="256" customWidth="1"/>
    <col min="15378" max="15378" width="6.73046875" style="256" customWidth="1"/>
    <col min="15379" max="15379" width="4" style="256" customWidth="1"/>
    <col min="15380" max="15380" width="7.265625" style="256" customWidth="1"/>
    <col min="15381" max="15381" width="4" style="256" customWidth="1"/>
    <col min="15382" max="15382" width="13" style="256" customWidth="1"/>
    <col min="15383" max="15383" width="7.73046875" style="256" customWidth="1"/>
    <col min="15384" max="15384" width="5.59765625" style="256" customWidth="1"/>
    <col min="15385" max="15385" width="5.73046875" style="256" customWidth="1"/>
    <col min="15386" max="15386" width="8.1328125" style="256" customWidth="1"/>
    <col min="15387" max="15388" width="7.59765625" style="256" customWidth="1"/>
    <col min="15389" max="15389" width="6.73046875" style="256" customWidth="1"/>
    <col min="15390" max="15390" width="4" style="256" customWidth="1"/>
    <col min="15391" max="15391" width="7.265625" style="256" customWidth="1"/>
    <col min="15392" max="15392" width="4" style="256" customWidth="1"/>
    <col min="15393" max="15393" width="13" style="256" customWidth="1"/>
    <col min="15394" max="15394" width="7.73046875" style="256" customWidth="1"/>
    <col min="15395" max="15395" width="5.59765625" style="256" customWidth="1"/>
    <col min="15396" max="15396" width="5.73046875" style="256" customWidth="1"/>
    <col min="15397" max="15397" width="8.1328125" style="256" customWidth="1"/>
    <col min="15398" max="15399" width="7.59765625" style="256" customWidth="1"/>
    <col min="15400" max="15400" width="6.73046875" style="256" customWidth="1"/>
    <col min="15401" max="15401" width="4" style="256" customWidth="1"/>
    <col min="15402" max="15402" width="7.265625" style="256" customWidth="1"/>
    <col min="15403" max="15403" width="4" style="256" customWidth="1"/>
    <col min="15404" max="15404" width="13" style="256" customWidth="1"/>
    <col min="15405" max="15405" width="7.73046875" style="256" customWidth="1"/>
    <col min="15406" max="15406" width="5.59765625" style="256" customWidth="1"/>
    <col min="15407" max="15407" width="5.73046875" style="256" customWidth="1"/>
    <col min="15408" max="15408" width="8.1328125" style="256" customWidth="1"/>
    <col min="15409" max="15410" width="7.59765625" style="256" customWidth="1"/>
    <col min="15411" max="15411" width="6.73046875" style="256" customWidth="1"/>
    <col min="15412" max="15412" width="4" style="256" customWidth="1"/>
    <col min="15413" max="15413" width="7.265625" style="256" customWidth="1"/>
    <col min="15414" max="15414" width="4" style="256" customWidth="1"/>
    <col min="15415" max="15415" width="13" style="256" customWidth="1"/>
    <col min="15416" max="15416" width="7.73046875" style="256" customWidth="1"/>
    <col min="15417" max="15417" width="5.59765625" style="256" customWidth="1"/>
    <col min="15418" max="15418" width="5.73046875" style="256" customWidth="1"/>
    <col min="15419" max="15419" width="8.1328125" style="256" customWidth="1"/>
    <col min="15420" max="15421" width="7.59765625" style="256" customWidth="1"/>
    <col min="15422" max="15422" width="6.73046875" style="256" customWidth="1"/>
    <col min="15423" max="15423" width="4" style="256" customWidth="1"/>
    <col min="15424" max="15424" width="7.265625" style="256" customWidth="1"/>
    <col min="15425" max="15425" width="4.3984375" style="256" customWidth="1"/>
    <col min="15426" max="15426" width="13" style="256" customWidth="1"/>
    <col min="15427" max="15427" width="7.73046875" style="256" customWidth="1"/>
    <col min="15428" max="15428" width="5.59765625" style="256" customWidth="1"/>
    <col min="15429" max="15429" width="5.73046875" style="256" customWidth="1"/>
    <col min="15430" max="15430" width="8.1328125" style="256" customWidth="1"/>
    <col min="15431" max="15432" width="7.59765625" style="256" customWidth="1"/>
    <col min="15433" max="15433" width="6.73046875" style="256" customWidth="1"/>
    <col min="15434" max="15434" width="4" style="256" customWidth="1"/>
    <col min="15435" max="15435" width="7.265625" style="256" customWidth="1"/>
    <col min="15436" max="15436" width="4" style="256" customWidth="1"/>
    <col min="15437" max="15437" width="13" style="256" customWidth="1"/>
    <col min="15438" max="15438" width="7.73046875" style="256" customWidth="1"/>
    <col min="15439" max="15439" width="5.59765625" style="256" customWidth="1"/>
    <col min="15440" max="15440" width="5.73046875" style="256" customWidth="1"/>
    <col min="15441" max="15441" width="8.1328125" style="256" customWidth="1"/>
    <col min="15442" max="15443" width="7.59765625" style="256" customWidth="1"/>
    <col min="15444" max="15444" width="6.73046875" style="256" customWidth="1"/>
    <col min="15445" max="15445" width="4" style="256" customWidth="1"/>
    <col min="15446" max="15446" width="7.265625" style="256" customWidth="1"/>
    <col min="15447" max="15447" width="4" style="256" customWidth="1"/>
    <col min="15448" max="15448" width="13" style="256" customWidth="1"/>
    <col min="15449" max="15449" width="7.73046875" style="256" customWidth="1"/>
    <col min="15450" max="15450" width="5.59765625" style="256" customWidth="1"/>
    <col min="15451" max="15451" width="5.73046875" style="256" customWidth="1"/>
    <col min="15452" max="15452" width="8.1328125" style="256" customWidth="1"/>
    <col min="15453" max="15454" width="7.59765625" style="256" customWidth="1"/>
    <col min="15455" max="15455" width="6.73046875" style="256" customWidth="1"/>
    <col min="15456" max="15456" width="4" style="256" customWidth="1"/>
    <col min="15457" max="15457" width="7.265625" style="256" customWidth="1"/>
    <col min="15458" max="15458" width="4" style="256" customWidth="1"/>
    <col min="15459" max="15459" width="13" style="256" customWidth="1"/>
    <col min="15460" max="15460" width="7.73046875" style="256" customWidth="1"/>
    <col min="15461" max="15461" width="5.59765625" style="256" customWidth="1"/>
    <col min="15462" max="15462" width="5.73046875" style="256" customWidth="1"/>
    <col min="15463" max="15463" width="8.1328125" style="256" customWidth="1"/>
    <col min="15464" max="15465" width="7.59765625" style="256" customWidth="1"/>
    <col min="15466" max="15466" width="6.73046875" style="256" customWidth="1"/>
    <col min="15467" max="15467" width="4" style="256" customWidth="1"/>
    <col min="15468" max="15468" width="7.265625" style="256" customWidth="1"/>
    <col min="15469" max="15469" width="4" style="256" customWidth="1"/>
    <col min="15470" max="15470" width="13" style="256" customWidth="1"/>
    <col min="15471" max="15471" width="7.73046875" style="256" customWidth="1"/>
    <col min="15472" max="15472" width="5.59765625" style="256" customWidth="1"/>
    <col min="15473" max="15473" width="5.73046875" style="256" customWidth="1"/>
    <col min="15474" max="15474" width="8.1328125" style="256" customWidth="1"/>
    <col min="15475" max="15476" width="7.59765625" style="256" customWidth="1"/>
    <col min="15477" max="15477" width="6.73046875" style="256" customWidth="1"/>
    <col min="15478" max="15478" width="4" style="256" customWidth="1"/>
    <col min="15479" max="15479" width="7.265625" style="256" customWidth="1"/>
    <col min="15480" max="15480" width="4" style="256" customWidth="1"/>
    <col min="15481" max="15481" width="13" style="256" customWidth="1"/>
    <col min="15482" max="15482" width="7.73046875" style="256" customWidth="1"/>
    <col min="15483" max="15483" width="5.59765625" style="256" customWidth="1"/>
    <col min="15484" max="15484" width="5.73046875" style="256" customWidth="1"/>
    <col min="15485" max="15485" width="8.1328125" style="256" customWidth="1"/>
    <col min="15486" max="15487" width="7.59765625" style="256" customWidth="1"/>
    <col min="15488" max="15488" width="6.73046875" style="256" customWidth="1"/>
    <col min="15489" max="15489" width="4" style="256" customWidth="1"/>
    <col min="15490" max="15490" width="7.265625" style="256" customWidth="1"/>
    <col min="15491" max="15491" width="4" style="256" customWidth="1"/>
    <col min="15492" max="15492" width="13" style="256" customWidth="1"/>
    <col min="15493" max="15493" width="7.73046875" style="256" customWidth="1"/>
    <col min="15494" max="15494" width="5.59765625" style="256" customWidth="1"/>
    <col min="15495" max="15495" width="5.73046875" style="256" customWidth="1"/>
    <col min="15496" max="15496" width="8.1328125" style="256" customWidth="1"/>
    <col min="15497" max="15498" width="7.59765625" style="256" customWidth="1"/>
    <col min="15499" max="15499" width="6.73046875" style="256" customWidth="1"/>
    <col min="15500" max="15500" width="4" style="256" customWidth="1"/>
    <col min="15501" max="15501" width="7.265625" style="256" customWidth="1"/>
    <col min="15502" max="15502" width="4" style="256" customWidth="1"/>
    <col min="15503" max="15503" width="13" style="256" customWidth="1"/>
    <col min="15504" max="15504" width="7.73046875" style="256" customWidth="1"/>
    <col min="15505" max="15505" width="5.59765625" style="256" customWidth="1"/>
    <col min="15506" max="15507" width="9.1328125" style="256"/>
    <col min="15508" max="15508" width="6.59765625" style="256" customWidth="1"/>
    <col min="15509" max="15509" width="8.73046875" style="256" customWidth="1"/>
    <col min="15510" max="15510" width="7.3984375" style="256" customWidth="1"/>
    <col min="15511" max="15511" width="7.265625" style="256" customWidth="1"/>
    <col min="15512" max="15512" width="7.73046875" style="256" customWidth="1"/>
    <col min="15513" max="15513" width="4.3984375" style="256" customWidth="1"/>
    <col min="15514" max="15514" width="9.1328125" style="256"/>
    <col min="15515" max="15515" width="6" style="256" customWidth="1"/>
    <col min="15516" max="15516" width="12.265625" style="256" customWidth="1"/>
    <col min="15517" max="15517" width="8" style="256" customWidth="1"/>
    <col min="15518" max="15520" width="9.1328125" style="256"/>
    <col min="15521" max="15521" width="7.73046875" style="256" customWidth="1"/>
    <col min="15522" max="15522" width="8.265625" style="256" customWidth="1"/>
    <col min="15523" max="15523" width="7.1328125" style="256" customWidth="1"/>
    <col min="15524" max="15524" width="7.59765625" style="256" customWidth="1"/>
    <col min="15525" max="15525" width="7.3984375" style="256" customWidth="1"/>
    <col min="15526" max="15526" width="4.86328125" style="256" customWidth="1"/>
    <col min="15527" max="15527" width="9.1328125" style="256"/>
    <col min="15528" max="15528" width="5" style="256" customWidth="1"/>
    <col min="15529" max="15529" width="12.265625" style="256" customWidth="1"/>
    <col min="15530" max="15530" width="7.86328125" style="256" customWidth="1"/>
    <col min="15531" max="15533" width="9.1328125" style="256"/>
    <col min="15534" max="15534" width="7.265625" style="256" customWidth="1"/>
    <col min="15535" max="15535" width="8.1328125" style="256" customWidth="1"/>
    <col min="15536" max="15536" width="6.86328125" style="256" customWidth="1"/>
    <col min="15537" max="15537" width="8" style="256" customWidth="1"/>
    <col min="15538" max="15538" width="7.3984375" style="256" customWidth="1"/>
    <col min="15539" max="15539" width="4.59765625" style="256" customWidth="1"/>
    <col min="15540" max="15540" width="9.1328125" style="256"/>
    <col min="15541" max="15541" width="4.1328125" style="256" customWidth="1"/>
    <col min="15542" max="15542" width="12" style="256" customWidth="1"/>
    <col min="15543" max="15543" width="8.1328125" style="256" customWidth="1"/>
    <col min="15544" max="15546" width="9.1328125" style="256"/>
    <col min="15547" max="15547" width="5.3984375" style="256" customWidth="1"/>
    <col min="15548" max="15548" width="7.73046875" style="256" customWidth="1"/>
    <col min="15549" max="15549" width="5.1328125" style="256" customWidth="1"/>
    <col min="15550" max="15550" width="7.3984375" style="256" customWidth="1"/>
    <col min="15551" max="15551" width="7.1328125" style="256" customWidth="1"/>
    <col min="15552" max="15552" width="4.265625" style="256" customWidth="1"/>
    <col min="15553" max="15553" width="9.1328125" style="256"/>
    <col min="15554" max="15554" width="5.1328125" style="256" customWidth="1"/>
    <col min="15555" max="15555" width="12.265625" style="256" customWidth="1"/>
    <col min="15556" max="15556" width="7.73046875" style="256" customWidth="1"/>
    <col min="15557" max="15558" width="9.1328125" style="256"/>
    <col min="15559" max="15559" width="6.73046875" style="256" customWidth="1"/>
    <col min="15560" max="15560" width="7.59765625" style="256" customWidth="1"/>
    <col min="15561" max="15561" width="6.265625" style="256" customWidth="1"/>
    <col min="15562" max="15562" width="8.1328125" style="256" customWidth="1"/>
    <col min="15563" max="15563" width="7.1328125" style="256" customWidth="1"/>
    <col min="15564" max="15564" width="4.3984375" style="256" customWidth="1"/>
    <col min="15565" max="15565" width="9.1328125" style="256"/>
    <col min="15566" max="15566" width="3.86328125" style="256" customWidth="1"/>
    <col min="15567" max="15567" width="12.265625" style="256" customWidth="1"/>
    <col min="15568" max="15568" width="8.3984375" style="256" customWidth="1"/>
    <col min="15569" max="15570" width="9.1328125" style="256"/>
    <col min="15571" max="15571" width="8.1328125" style="256" customWidth="1"/>
    <col min="15572" max="15572" width="8.3984375" style="256" customWidth="1"/>
    <col min="15573" max="15573" width="7" style="256" customWidth="1"/>
    <col min="15574" max="15574" width="8.3984375" style="256" customWidth="1"/>
    <col min="15575" max="15575" width="9.1328125" style="256"/>
    <col min="15576" max="15576" width="6.1328125" style="256" customWidth="1"/>
    <col min="15577" max="15577" width="9.1328125" style="256"/>
    <col min="15578" max="15578" width="6.73046875" style="256" customWidth="1"/>
    <col min="15579" max="15595" width="9.1328125" style="256"/>
    <col min="15596" max="15596" width="5.59765625" style="256" customWidth="1"/>
    <col min="15597" max="15597" width="5.73046875" style="256" customWidth="1"/>
    <col min="15598" max="15598" width="8.1328125" style="256" customWidth="1"/>
    <col min="15599" max="15600" width="7.59765625" style="256" customWidth="1"/>
    <col min="15601" max="15601" width="6.73046875" style="256" customWidth="1"/>
    <col min="15602" max="15602" width="4" style="256" customWidth="1"/>
    <col min="15603" max="15603" width="7.265625" style="256" customWidth="1"/>
    <col min="15604" max="15604" width="4" style="256" customWidth="1"/>
    <col min="15605" max="15605" width="13" style="256" customWidth="1"/>
    <col min="15606" max="15606" width="8" style="256" customWidth="1"/>
    <col min="15607" max="15607" width="5.59765625" style="256" customWidth="1"/>
    <col min="15608" max="15608" width="5.73046875" style="256" customWidth="1"/>
    <col min="15609" max="15609" width="8.1328125" style="256" customWidth="1"/>
    <col min="15610" max="15611" width="7.59765625" style="256" customWidth="1"/>
    <col min="15612" max="15612" width="6.73046875" style="256" customWidth="1"/>
    <col min="15613" max="15613" width="4" style="256" customWidth="1"/>
    <col min="15614" max="15614" width="7.265625" style="256" customWidth="1"/>
    <col min="15615" max="15615" width="4" style="256" customWidth="1"/>
    <col min="15616" max="15616" width="13" style="256" customWidth="1"/>
    <col min="15617" max="15617" width="7.73046875" style="256" customWidth="1"/>
    <col min="15618" max="15618" width="5.59765625" style="256" customWidth="1"/>
    <col min="15619" max="15619" width="5.73046875" style="256" customWidth="1"/>
    <col min="15620" max="15620" width="8.1328125" style="256" customWidth="1"/>
    <col min="15621" max="15622" width="7.59765625" style="256" customWidth="1"/>
    <col min="15623" max="15623" width="6.73046875" style="256" customWidth="1"/>
    <col min="15624" max="15624" width="4" style="256" customWidth="1"/>
    <col min="15625" max="15625" width="7.265625" style="256" customWidth="1"/>
    <col min="15626" max="15626" width="4" style="256" customWidth="1"/>
    <col min="15627" max="15627" width="13" style="256" customWidth="1"/>
    <col min="15628" max="15628" width="7.73046875" style="256" customWidth="1"/>
    <col min="15629" max="15629" width="5.59765625" style="256" customWidth="1"/>
    <col min="15630" max="15630" width="5.73046875" style="256" customWidth="1"/>
    <col min="15631" max="15631" width="8.1328125" style="256" customWidth="1"/>
    <col min="15632" max="15633" width="7.59765625" style="256" customWidth="1"/>
    <col min="15634" max="15634" width="6.73046875" style="256" customWidth="1"/>
    <col min="15635" max="15635" width="4" style="256" customWidth="1"/>
    <col min="15636" max="15636" width="7.265625" style="256" customWidth="1"/>
    <col min="15637" max="15637" width="4" style="256" customWidth="1"/>
    <col min="15638" max="15638" width="13" style="256" customWidth="1"/>
    <col min="15639" max="15639" width="7.73046875" style="256" customWidth="1"/>
    <col min="15640" max="15640" width="5.59765625" style="256" customWidth="1"/>
    <col min="15641" max="15641" width="5.73046875" style="256" customWidth="1"/>
    <col min="15642" max="15642" width="8.1328125" style="256" customWidth="1"/>
    <col min="15643" max="15644" width="7.59765625" style="256" customWidth="1"/>
    <col min="15645" max="15645" width="6.73046875" style="256" customWidth="1"/>
    <col min="15646" max="15646" width="4" style="256" customWidth="1"/>
    <col min="15647" max="15647" width="7.265625" style="256" customWidth="1"/>
    <col min="15648" max="15648" width="4" style="256" customWidth="1"/>
    <col min="15649" max="15649" width="13" style="256" customWidth="1"/>
    <col min="15650" max="15650" width="7.73046875" style="256" customWidth="1"/>
    <col min="15651" max="15651" width="5.59765625" style="256" customWidth="1"/>
    <col min="15652" max="15652" width="5.73046875" style="256" customWidth="1"/>
    <col min="15653" max="15653" width="8.1328125" style="256" customWidth="1"/>
    <col min="15654" max="15655" width="7.59765625" style="256" customWidth="1"/>
    <col min="15656" max="15656" width="6.73046875" style="256" customWidth="1"/>
    <col min="15657" max="15657" width="4" style="256" customWidth="1"/>
    <col min="15658" max="15658" width="7.265625" style="256" customWidth="1"/>
    <col min="15659" max="15659" width="4" style="256" customWidth="1"/>
    <col min="15660" max="15660" width="13" style="256" customWidth="1"/>
    <col min="15661" max="15661" width="7.73046875" style="256" customWidth="1"/>
    <col min="15662" max="15662" width="5.59765625" style="256" customWidth="1"/>
    <col min="15663" max="15663" width="5.73046875" style="256" customWidth="1"/>
    <col min="15664" max="15664" width="8.1328125" style="256" customWidth="1"/>
    <col min="15665" max="15666" width="7.59765625" style="256" customWidth="1"/>
    <col min="15667" max="15667" width="6.73046875" style="256" customWidth="1"/>
    <col min="15668" max="15668" width="4" style="256" customWidth="1"/>
    <col min="15669" max="15669" width="7.265625" style="256" customWidth="1"/>
    <col min="15670" max="15670" width="4" style="256" customWidth="1"/>
    <col min="15671" max="15671" width="13" style="256" customWidth="1"/>
    <col min="15672" max="15672" width="7.73046875" style="256" customWidth="1"/>
    <col min="15673" max="15673" width="5.59765625" style="256" customWidth="1"/>
    <col min="15674" max="15674" width="5.73046875" style="256" customWidth="1"/>
    <col min="15675" max="15675" width="8.1328125" style="256" customWidth="1"/>
    <col min="15676" max="15677" width="7.59765625" style="256" customWidth="1"/>
    <col min="15678" max="15678" width="6.73046875" style="256" customWidth="1"/>
    <col min="15679" max="15679" width="4" style="256" customWidth="1"/>
    <col min="15680" max="15680" width="7.265625" style="256" customWidth="1"/>
    <col min="15681" max="15681" width="4.3984375" style="256" customWidth="1"/>
    <col min="15682" max="15682" width="13" style="256" customWidth="1"/>
    <col min="15683" max="15683" width="7.73046875" style="256" customWidth="1"/>
    <col min="15684" max="15684" width="5.59765625" style="256" customWidth="1"/>
    <col min="15685" max="15685" width="5.73046875" style="256" customWidth="1"/>
    <col min="15686" max="15686" width="8.1328125" style="256" customWidth="1"/>
    <col min="15687" max="15688" width="7.59765625" style="256" customWidth="1"/>
    <col min="15689" max="15689" width="6.73046875" style="256" customWidth="1"/>
    <col min="15690" max="15690" width="4" style="256" customWidth="1"/>
    <col min="15691" max="15691" width="7.265625" style="256" customWidth="1"/>
    <col min="15692" max="15692" width="4" style="256" customWidth="1"/>
    <col min="15693" max="15693" width="13" style="256" customWidth="1"/>
    <col min="15694" max="15694" width="7.73046875" style="256" customWidth="1"/>
    <col min="15695" max="15695" width="5.59765625" style="256" customWidth="1"/>
    <col min="15696" max="15696" width="5.73046875" style="256" customWidth="1"/>
    <col min="15697" max="15697" width="8.1328125" style="256" customWidth="1"/>
    <col min="15698" max="15699" width="7.59765625" style="256" customWidth="1"/>
    <col min="15700" max="15700" width="6.73046875" style="256" customWidth="1"/>
    <col min="15701" max="15701" width="4" style="256" customWidth="1"/>
    <col min="15702" max="15702" width="7.265625" style="256" customWidth="1"/>
    <col min="15703" max="15703" width="4" style="256" customWidth="1"/>
    <col min="15704" max="15704" width="13" style="256" customWidth="1"/>
    <col min="15705" max="15705" width="7.73046875" style="256" customWidth="1"/>
    <col min="15706" max="15706" width="5.59765625" style="256" customWidth="1"/>
    <col min="15707" max="15707" width="5.73046875" style="256" customWidth="1"/>
    <col min="15708" max="15708" width="8.1328125" style="256" customWidth="1"/>
    <col min="15709" max="15710" width="7.59765625" style="256" customWidth="1"/>
    <col min="15711" max="15711" width="6.73046875" style="256" customWidth="1"/>
    <col min="15712" max="15712" width="4" style="256" customWidth="1"/>
    <col min="15713" max="15713" width="7.265625" style="256" customWidth="1"/>
    <col min="15714" max="15714" width="4" style="256" customWidth="1"/>
    <col min="15715" max="15715" width="13" style="256" customWidth="1"/>
    <col min="15716" max="15716" width="7.73046875" style="256" customWidth="1"/>
    <col min="15717" max="15717" width="5.59765625" style="256" customWidth="1"/>
    <col min="15718" max="15718" width="5.73046875" style="256" customWidth="1"/>
    <col min="15719" max="15719" width="8.1328125" style="256" customWidth="1"/>
    <col min="15720" max="15721" width="7.59765625" style="256" customWidth="1"/>
    <col min="15722" max="15722" width="6.73046875" style="256" customWidth="1"/>
    <col min="15723" max="15723" width="4" style="256" customWidth="1"/>
    <col min="15724" max="15724" width="7.265625" style="256" customWidth="1"/>
    <col min="15725" max="15725" width="4" style="256" customWidth="1"/>
    <col min="15726" max="15726" width="13" style="256" customWidth="1"/>
    <col min="15727" max="15727" width="7.73046875" style="256" customWidth="1"/>
    <col min="15728" max="15728" width="5.59765625" style="256" customWidth="1"/>
    <col min="15729" max="15729" width="5.73046875" style="256" customWidth="1"/>
    <col min="15730" max="15730" width="8.1328125" style="256" customWidth="1"/>
    <col min="15731" max="15732" width="7.59765625" style="256" customWidth="1"/>
    <col min="15733" max="15733" width="6.73046875" style="256" customWidth="1"/>
    <col min="15734" max="15734" width="4" style="256" customWidth="1"/>
    <col min="15735" max="15735" width="7.265625" style="256" customWidth="1"/>
    <col min="15736" max="15736" width="4" style="256" customWidth="1"/>
    <col min="15737" max="15737" width="13" style="256" customWidth="1"/>
    <col min="15738" max="15738" width="7.73046875" style="256" customWidth="1"/>
    <col min="15739" max="15739" width="5.59765625" style="256" customWidth="1"/>
    <col min="15740" max="15740" width="5.73046875" style="256" customWidth="1"/>
    <col min="15741" max="15741" width="8.1328125" style="256" customWidth="1"/>
    <col min="15742" max="15743" width="7.59765625" style="256" customWidth="1"/>
    <col min="15744" max="15744" width="6.73046875" style="256" customWidth="1"/>
    <col min="15745" max="15745" width="4" style="256" customWidth="1"/>
    <col min="15746" max="15746" width="7.265625" style="256" customWidth="1"/>
    <col min="15747" max="15747" width="4" style="256" customWidth="1"/>
    <col min="15748" max="15748" width="13" style="256" customWidth="1"/>
    <col min="15749" max="15749" width="7.73046875" style="256" customWidth="1"/>
    <col min="15750" max="15750" width="5.59765625" style="256" customWidth="1"/>
    <col min="15751" max="15751" width="5.73046875" style="256" customWidth="1"/>
    <col min="15752" max="15752" width="8.1328125" style="256" customWidth="1"/>
    <col min="15753" max="15754" width="7.59765625" style="256" customWidth="1"/>
    <col min="15755" max="15755" width="6.73046875" style="256" customWidth="1"/>
    <col min="15756" max="15756" width="4" style="256" customWidth="1"/>
    <col min="15757" max="15757" width="7.265625" style="256" customWidth="1"/>
    <col min="15758" max="15758" width="4" style="256" customWidth="1"/>
    <col min="15759" max="15759" width="13" style="256" customWidth="1"/>
    <col min="15760" max="15760" width="7.73046875" style="256" customWidth="1"/>
    <col min="15761" max="15761" width="5.59765625" style="256" customWidth="1"/>
    <col min="15762" max="15763" width="9.1328125" style="256"/>
    <col min="15764" max="15764" width="6.59765625" style="256" customWidth="1"/>
    <col min="15765" max="15765" width="8.73046875" style="256" customWidth="1"/>
    <col min="15766" max="15766" width="7.3984375" style="256" customWidth="1"/>
    <col min="15767" max="15767" width="7.265625" style="256" customWidth="1"/>
    <col min="15768" max="15768" width="7.73046875" style="256" customWidth="1"/>
    <col min="15769" max="15769" width="4.3984375" style="256" customWidth="1"/>
    <col min="15770" max="15770" width="9.1328125" style="256"/>
    <col min="15771" max="15771" width="6" style="256" customWidth="1"/>
    <col min="15772" max="15772" width="12.265625" style="256" customWidth="1"/>
    <col min="15773" max="15773" width="8" style="256" customWidth="1"/>
    <col min="15774" max="15776" width="9.1328125" style="256"/>
    <col min="15777" max="15777" width="7.73046875" style="256" customWidth="1"/>
    <col min="15778" max="15778" width="8.265625" style="256" customWidth="1"/>
    <col min="15779" max="15779" width="7.1328125" style="256" customWidth="1"/>
    <col min="15780" max="15780" width="7.59765625" style="256" customWidth="1"/>
    <col min="15781" max="15781" width="7.3984375" style="256" customWidth="1"/>
    <col min="15782" max="15782" width="4.86328125" style="256" customWidth="1"/>
    <col min="15783" max="15783" width="9.1328125" style="256"/>
    <col min="15784" max="15784" width="5" style="256" customWidth="1"/>
    <col min="15785" max="15785" width="12.265625" style="256" customWidth="1"/>
    <col min="15786" max="15786" width="7.86328125" style="256" customWidth="1"/>
    <col min="15787" max="15789" width="9.1328125" style="256"/>
    <col min="15790" max="15790" width="7.265625" style="256" customWidth="1"/>
    <col min="15791" max="15791" width="8.1328125" style="256" customWidth="1"/>
    <col min="15792" max="15792" width="6.86328125" style="256" customWidth="1"/>
    <col min="15793" max="15793" width="8" style="256" customWidth="1"/>
    <col min="15794" max="15794" width="7.3984375" style="256" customWidth="1"/>
    <col min="15795" max="15795" width="4.59765625" style="256" customWidth="1"/>
    <col min="15796" max="15796" width="9.1328125" style="256"/>
    <col min="15797" max="15797" width="4.1328125" style="256" customWidth="1"/>
    <col min="15798" max="15798" width="12" style="256" customWidth="1"/>
    <col min="15799" max="15799" width="8.1328125" style="256" customWidth="1"/>
    <col min="15800" max="15802" width="9.1328125" style="256"/>
    <col min="15803" max="15803" width="5.3984375" style="256" customWidth="1"/>
    <col min="15804" max="15804" width="7.73046875" style="256" customWidth="1"/>
    <col min="15805" max="15805" width="5.1328125" style="256" customWidth="1"/>
    <col min="15806" max="15806" width="7.3984375" style="256" customWidth="1"/>
    <col min="15807" max="15807" width="7.1328125" style="256" customWidth="1"/>
    <col min="15808" max="15808" width="4.265625" style="256" customWidth="1"/>
    <col min="15809" max="15809" width="9.1328125" style="256"/>
    <col min="15810" max="15810" width="5.1328125" style="256" customWidth="1"/>
    <col min="15811" max="15811" width="12.265625" style="256" customWidth="1"/>
    <col min="15812" max="15812" width="7.73046875" style="256" customWidth="1"/>
    <col min="15813" max="15814" width="9.1328125" style="256"/>
    <col min="15815" max="15815" width="6.73046875" style="256" customWidth="1"/>
    <col min="15816" max="15816" width="7.59765625" style="256" customWidth="1"/>
    <col min="15817" max="15817" width="6.265625" style="256" customWidth="1"/>
    <col min="15818" max="15818" width="8.1328125" style="256" customWidth="1"/>
    <col min="15819" max="15819" width="7.1328125" style="256" customWidth="1"/>
    <col min="15820" max="15820" width="4.3984375" style="256" customWidth="1"/>
    <col min="15821" max="15821" width="9.1328125" style="256"/>
    <col min="15822" max="15822" width="3.86328125" style="256" customWidth="1"/>
    <col min="15823" max="15823" width="12.265625" style="256" customWidth="1"/>
    <col min="15824" max="15824" width="8.3984375" style="256" customWidth="1"/>
    <col min="15825" max="15826" width="9.1328125" style="256"/>
    <col min="15827" max="15827" width="8.1328125" style="256" customWidth="1"/>
    <col min="15828" max="15828" width="8.3984375" style="256" customWidth="1"/>
    <col min="15829" max="15829" width="7" style="256" customWidth="1"/>
    <col min="15830" max="15830" width="8.3984375" style="256" customWidth="1"/>
    <col min="15831" max="15831" width="9.1328125" style="256"/>
    <col min="15832" max="15832" width="6.1328125" style="256" customWidth="1"/>
    <col min="15833" max="15833" width="9.1328125" style="256"/>
    <col min="15834" max="15834" width="6.73046875" style="256" customWidth="1"/>
    <col min="15835" max="15851" width="9.1328125" style="256"/>
    <col min="15852" max="15852" width="5.59765625" style="256" customWidth="1"/>
    <col min="15853" max="15853" width="5.73046875" style="256" customWidth="1"/>
    <col min="15854" max="15854" width="8.1328125" style="256" customWidth="1"/>
    <col min="15855" max="15856" width="7.59765625" style="256" customWidth="1"/>
    <col min="15857" max="15857" width="6.73046875" style="256" customWidth="1"/>
    <col min="15858" max="15858" width="4" style="256" customWidth="1"/>
    <col min="15859" max="15859" width="7.265625" style="256" customWidth="1"/>
    <col min="15860" max="15860" width="4" style="256" customWidth="1"/>
    <col min="15861" max="15861" width="13" style="256" customWidth="1"/>
    <col min="15862" max="15862" width="8" style="256" customWidth="1"/>
    <col min="15863" max="15863" width="5.59765625" style="256" customWidth="1"/>
    <col min="15864" max="15864" width="5.73046875" style="256" customWidth="1"/>
    <col min="15865" max="15865" width="8.1328125" style="256" customWidth="1"/>
    <col min="15866" max="15867" width="7.59765625" style="256" customWidth="1"/>
    <col min="15868" max="15868" width="6.73046875" style="256" customWidth="1"/>
    <col min="15869" max="15869" width="4" style="256" customWidth="1"/>
    <col min="15870" max="15870" width="7.265625" style="256" customWidth="1"/>
    <col min="15871" max="15871" width="4" style="256" customWidth="1"/>
    <col min="15872" max="15872" width="13" style="256" customWidth="1"/>
    <col min="15873" max="15873" width="7.73046875" style="256" customWidth="1"/>
    <col min="15874" max="15874" width="5.59765625" style="256" customWidth="1"/>
    <col min="15875" max="15875" width="5.73046875" style="256" customWidth="1"/>
    <col min="15876" max="15876" width="8.1328125" style="256" customWidth="1"/>
    <col min="15877" max="15878" width="7.59765625" style="256" customWidth="1"/>
    <col min="15879" max="15879" width="6.73046875" style="256" customWidth="1"/>
    <col min="15880" max="15880" width="4" style="256" customWidth="1"/>
    <col min="15881" max="15881" width="7.265625" style="256" customWidth="1"/>
    <col min="15882" max="15882" width="4" style="256" customWidth="1"/>
    <col min="15883" max="15883" width="13" style="256" customWidth="1"/>
    <col min="15884" max="15884" width="7.73046875" style="256" customWidth="1"/>
    <col min="15885" max="15885" width="5.59765625" style="256" customWidth="1"/>
    <col min="15886" max="15886" width="5.73046875" style="256" customWidth="1"/>
    <col min="15887" max="15887" width="8.1328125" style="256" customWidth="1"/>
    <col min="15888" max="15889" width="7.59765625" style="256" customWidth="1"/>
    <col min="15890" max="15890" width="6.73046875" style="256" customWidth="1"/>
    <col min="15891" max="15891" width="4" style="256" customWidth="1"/>
    <col min="15892" max="15892" width="7.265625" style="256" customWidth="1"/>
    <col min="15893" max="15893" width="4" style="256" customWidth="1"/>
    <col min="15894" max="15894" width="13" style="256" customWidth="1"/>
    <col min="15895" max="15895" width="7.73046875" style="256" customWidth="1"/>
    <col min="15896" max="15896" width="5.59765625" style="256" customWidth="1"/>
    <col min="15897" max="15897" width="5.73046875" style="256" customWidth="1"/>
    <col min="15898" max="15898" width="8.1328125" style="256" customWidth="1"/>
    <col min="15899" max="15900" width="7.59765625" style="256" customWidth="1"/>
    <col min="15901" max="15901" width="6.73046875" style="256" customWidth="1"/>
    <col min="15902" max="15902" width="4" style="256" customWidth="1"/>
    <col min="15903" max="15903" width="7.265625" style="256" customWidth="1"/>
    <col min="15904" max="15904" width="4" style="256" customWidth="1"/>
    <col min="15905" max="15905" width="13" style="256" customWidth="1"/>
    <col min="15906" max="15906" width="7.73046875" style="256" customWidth="1"/>
    <col min="15907" max="15907" width="5.59765625" style="256" customWidth="1"/>
    <col min="15908" max="15908" width="5.73046875" style="256" customWidth="1"/>
    <col min="15909" max="15909" width="8.1328125" style="256" customWidth="1"/>
    <col min="15910" max="15911" width="7.59765625" style="256" customWidth="1"/>
    <col min="15912" max="15912" width="6.73046875" style="256" customWidth="1"/>
    <col min="15913" max="15913" width="4" style="256" customWidth="1"/>
    <col min="15914" max="15914" width="7.265625" style="256" customWidth="1"/>
    <col min="15915" max="15915" width="4" style="256" customWidth="1"/>
    <col min="15916" max="15916" width="13" style="256" customWidth="1"/>
    <col min="15917" max="15917" width="7.73046875" style="256" customWidth="1"/>
    <col min="15918" max="15918" width="5.59765625" style="256" customWidth="1"/>
    <col min="15919" max="15919" width="5.73046875" style="256" customWidth="1"/>
    <col min="15920" max="15920" width="8.1328125" style="256" customWidth="1"/>
    <col min="15921" max="15922" width="7.59765625" style="256" customWidth="1"/>
    <col min="15923" max="15923" width="6.73046875" style="256" customWidth="1"/>
    <col min="15924" max="15924" width="4" style="256" customWidth="1"/>
    <col min="15925" max="15925" width="7.265625" style="256" customWidth="1"/>
    <col min="15926" max="15926" width="4" style="256" customWidth="1"/>
    <col min="15927" max="15927" width="13" style="256" customWidth="1"/>
    <col min="15928" max="15928" width="7.73046875" style="256" customWidth="1"/>
    <col min="15929" max="15929" width="5.59765625" style="256" customWidth="1"/>
    <col min="15930" max="15930" width="5.73046875" style="256" customWidth="1"/>
    <col min="15931" max="15931" width="8.1328125" style="256" customWidth="1"/>
    <col min="15932" max="15933" width="7.59765625" style="256" customWidth="1"/>
    <col min="15934" max="15934" width="6.73046875" style="256" customWidth="1"/>
    <col min="15935" max="15935" width="4" style="256" customWidth="1"/>
    <col min="15936" max="15936" width="7.265625" style="256" customWidth="1"/>
    <col min="15937" max="15937" width="4.3984375" style="256" customWidth="1"/>
    <col min="15938" max="15938" width="13" style="256" customWidth="1"/>
    <col min="15939" max="15939" width="7.73046875" style="256" customWidth="1"/>
    <col min="15940" max="15940" width="5.59765625" style="256" customWidth="1"/>
    <col min="15941" max="15941" width="5.73046875" style="256" customWidth="1"/>
    <col min="15942" max="15942" width="8.1328125" style="256" customWidth="1"/>
    <col min="15943" max="15944" width="7.59765625" style="256" customWidth="1"/>
    <col min="15945" max="15945" width="6.73046875" style="256" customWidth="1"/>
    <col min="15946" max="15946" width="4" style="256" customWidth="1"/>
    <col min="15947" max="15947" width="7.265625" style="256" customWidth="1"/>
    <col min="15948" max="15948" width="4" style="256" customWidth="1"/>
    <col min="15949" max="15949" width="13" style="256" customWidth="1"/>
    <col min="15950" max="15950" width="7.73046875" style="256" customWidth="1"/>
    <col min="15951" max="15951" width="5.59765625" style="256" customWidth="1"/>
    <col min="15952" max="15952" width="5.73046875" style="256" customWidth="1"/>
    <col min="15953" max="15953" width="8.1328125" style="256" customWidth="1"/>
    <col min="15954" max="15955" width="7.59765625" style="256" customWidth="1"/>
    <col min="15956" max="15956" width="6.73046875" style="256" customWidth="1"/>
    <col min="15957" max="15957" width="4" style="256" customWidth="1"/>
    <col min="15958" max="15958" width="7.265625" style="256" customWidth="1"/>
    <col min="15959" max="15959" width="4" style="256" customWidth="1"/>
    <col min="15960" max="15960" width="13" style="256" customWidth="1"/>
    <col min="15961" max="15961" width="7.73046875" style="256" customWidth="1"/>
    <col min="15962" max="15962" width="5.59765625" style="256" customWidth="1"/>
    <col min="15963" max="15963" width="5.73046875" style="256" customWidth="1"/>
    <col min="15964" max="15964" width="8.1328125" style="256" customWidth="1"/>
    <col min="15965" max="15966" width="7.59765625" style="256" customWidth="1"/>
    <col min="15967" max="15967" width="6.73046875" style="256" customWidth="1"/>
    <col min="15968" max="15968" width="4" style="256" customWidth="1"/>
    <col min="15969" max="15969" width="7.265625" style="256" customWidth="1"/>
    <col min="15970" max="15970" width="4" style="256" customWidth="1"/>
    <col min="15971" max="15971" width="13" style="256" customWidth="1"/>
    <col min="15972" max="15972" width="7.73046875" style="256" customWidth="1"/>
    <col min="15973" max="15973" width="5.59765625" style="256" customWidth="1"/>
    <col min="15974" max="15974" width="5.73046875" style="256" customWidth="1"/>
    <col min="15975" max="15975" width="8.1328125" style="256" customWidth="1"/>
    <col min="15976" max="15977" width="7.59765625" style="256" customWidth="1"/>
    <col min="15978" max="15978" width="6.73046875" style="256" customWidth="1"/>
    <col min="15979" max="15979" width="4" style="256" customWidth="1"/>
    <col min="15980" max="15980" width="7.265625" style="256" customWidth="1"/>
    <col min="15981" max="15981" width="4" style="256" customWidth="1"/>
    <col min="15982" max="15982" width="13" style="256" customWidth="1"/>
    <col min="15983" max="15983" width="7.73046875" style="256" customWidth="1"/>
    <col min="15984" max="15984" width="5.59765625" style="256" customWidth="1"/>
    <col min="15985" max="15985" width="5.73046875" style="256" customWidth="1"/>
    <col min="15986" max="15986" width="8.1328125" style="256" customWidth="1"/>
    <col min="15987" max="15988" width="7.59765625" style="256" customWidth="1"/>
    <col min="15989" max="15989" width="6.73046875" style="256" customWidth="1"/>
    <col min="15990" max="15990" width="4" style="256" customWidth="1"/>
    <col min="15991" max="15991" width="7.265625" style="256" customWidth="1"/>
    <col min="15992" max="15992" width="4" style="256" customWidth="1"/>
    <col min="15993" max="15993" width="13" style="256" customWidth="1"/>
    <col min="15994" max="15994" width="7.73046875" style="256" customWidth="1"/>
    <col min="15995" max="15995" width="5.59765625" style="256" customWidth="1"/>
    <col min="15996" max="15996" width="5.73046875" style="256" customWidth="1"/>
    <col min="15997" max="15997" width="8.1328125" style="256" customWidth="1"/>
    <col min="15998" max="15999" width="7.59765625" style="256" customWidth="1"/>
    <col min="16000" max="16000" width="6.73046875" style="256" customWidth="1"/>
    <col min="16001" max="16001" width="4" style="256" customWidth="1"/>
    <col min="16002" max="16002" width="7.265625" style="256" customWidth="1"/>
    <col min="16003" max="16003" width="4" style="256" customWidth="1"/>
    <col min="16004" max="16004" width="13" style="256" customWidth="1"/>
    <col min="16005" max="16005" width="7.73046875" style="256" customWidth="1"/>
    <col min="16006" max="16006" width="5.59765625" style="256" customWidth="1"/>
    <col min="16007" max="16007" width="5.73046875" style="256" customWidth="1"/>
    <col min="16008" max="16008" width="8.1328125" style="256" customWidth="1"/>
    <col min="16009" max="16010" width="7.59765625" style="256" customWidth="1"/>
    <col min="16011" max="16011" width="6.73046875" style="256" customWidth="1"/>
    <col min="16012" max="16012" width="4" style="256" customWidth="1"/>
    <col min="16013" max="16013" width="7.265625" style="256" customWidth="1"/>
    <col min="16014" max="16014" width="4" style="256" customWidth="1"/>
    <col min="16015" max="16015" width="13" style="256" customWidth="1"/>
    <col min="16016" max="16016" width="7.73046875" style="256" customWidth="1"/>
    <col min="16017" max="16017" width="5.59765625" style="256" customWidth="1"/>
    <col min="16018" max="16019" width="9.1328125" style="256"/>
    <col min="16020" max="16020" width="6.59765625" style="256" customWidth="1"/>
    <col min="16021" max="16021" width="8.73046875" style="256" customWidth="1"/>
    <col min="16022" max="16022" width="7.3984375" style="256" customWidth="1"/>
    <col min="16023" max="16023" width="7.265625" style="256" customWidth="1"/>
    <col min="16024" max="16024" width="7.73046875" style="256" customWidth="1"/>
    <col min="16025" max="16025" width="4.3984375" style="256" customWidth="1"/>
    <col min="16026" max="16026" width="9.1328125" style="256"/>
    <col min="16027" max="16027" width="6" style="256" customWidth="1"/>
    <col min="16028" max="16028" width="12.265625" style="256" customWidth="1"/>
    <col min="16029" max="16029" width="8" style="256" customWidth="1"/>
    <col min="16030" max="16032" width="9.1328125" style="256"/>
    <col min="16033" max="16033" width="7.73046875" style="256" customWidth="1"/>
    <col min="16034" max="16034" width="8.265625" style="256" customWidth="1"/>
    <col min="16035" max="16035" width="7.1328125" style="256" customWidth="1"/>
    <col min="16036" max="16036" width="7.59765625" style="256" customWidth="1"/>
    <col min="16037" max="16037" width="7.3984375" style="256" customWidth="1"/>
    <col min="16038" max="16038" width="4.86328125" style="256" customWidth="1"/>
    <col min="16039" max="16039" width="9.1328125" style="256"/>
    <col min="16040" max="16040" width="5" style="256" customWidth="1"/>
    <col min="16041" max="16041" width="12.265625" style="256" customWidth="1"/>
    <col min="16042" max="16042" width="7.86328125" style="256" customWidth="1"/>
    <col min="16043" max="16045" width="9.1328125" style="256"/>
    <col min="16046" max="16046" width="7.265625" style="256" customWidth="1"/>
    <col min="16047" max="16047" width="8.1328125" style="256" customWidth="1"/>
    <col min="16048" max="16048" width="6.86328125" style="256" customWidth="1"/>
    <col min="16049" max="16049" width="8" style="256" customWidth="1"/>
    <col min="16050" max="16050" width="7.3984375" style="256" customWidth="1"/>
    <col min="16051" max="16051" width="4.59765625" style="256" customWidth="1"/>
    <col min="16052" max="16052" width="9.1328125" style="256"/>
    <col min="16053" max="16053" width="4.1328125" style="256" customWidth="1"/>
    <col min="16054" max="16054" width="12" style="256" customWidth="1"/>
    <col min="16055" max="16055" width="8.1328125" style="256" customWidth="1"/>
    <col min="16056" max="16058" width="9.1328125" style="256"/>
    <col min="16059" max="16059" width="5.3984375" style="256" customWidth="1"/>
    <col min="16060" max="16060" width="7.73046875" style="256" customWidth="1"/>
    <col min="16061" max="16061" width="5.1328125" style="256" customWidth="1"/>
    <col min="16062" max="16062" width="7.3984375" style="256" customWidth="1"/>
    <col min="16063" max="16063" width="7.1328125" style="256" customWidth="1"/>
    <col min="16064" max="16064" width="4.265625" style="256" customWidth="1"/>
    <col min="16065" max="16065" width="9.1328125" style="256"/>
    <col min="16066" max="16066" width="5.1328125" style="256" customWidth="1"/>
    <col min="16067" max="16067" width="12.265625" style="256" customWidth="1"/>
    <col min="16068" max="16068" width="7.73046875" style="256" customWidth="1"/>
    <col min="16069" max="16070" width="9.1328125" style="256"/>
    <col min="16071" max="16071" width="6.73046875" style="256" customWidth="1"/>
    <col min="16072" max="16072" width="7.59765625" style="256" customWidth="1"/>
    <col min="16073" max="16073" width="6.265625" style="256" customWidth="1"/>
    <col min="16074" max="16074" width="8.1328125" style="256" customWidth="1"/>
    <col min="16075" max="16075" width="7.1328125" style="256" customWidth="1"/>
    <col min="16076" max="16076" width="4.3984375" style="256" customWidth="1"/>
    <col min="16077" max="16077" width="9.1328125" style="256"/>
    <col min="16078" max="16078" width="3.86328125" style="256" customWidth="1"/>
    <col min="16079" max="16079" width="12.265625" style="256" customWidth="1"/>
    <col min="16080" max="16080" width="8.3984375" style="256" customWidth="1"/>
    <col min="16081" max="16082" width="9.1328125" style="256"/>
    <col min="16083" max="16083" width="8.1328125" style="256" customWidth="1"/>
    <col min="16084" max="16084" width="8.3984375" style="256" customWidth="1"/>
    <col min="16085" max="16085" width="7" style="256" customWidth="1"/>
    <col min="16086" max="16086" width="8.3984375" style="256" customWidth="1"/>
    <col min="16087" max="16087" width="9.1328125" style="256"/>
    <col min="16088" max="16088" width="6.1328125" style="256" customWidth="1"/>
    <col min="16089" max="16089" width="9.1328125" style="256"/>
    <col min="16090" max="16090" width="6.73046875" style="256" customWidth="1"/>
    <col min="16091" max="16107" width="9.1328125" style="256"/>
    <col min="16108" max="16108" width="5.59765625" style="256" customWidth="1"/>
    <col min="16109" max="16109" width="5.73046875" style="256" customWidth="1"/>
    <col min="16110" max="16110" width="8.1328125" style="256" customWidth="1"/>
    <col min="16111" max="16112" width="7.59765625" style="256" customWidth="1"/>
    <col min="16113" max="16113" width="6.73046875" style="256" customWidth="1"/>
    <col min="16114" max="16114" width="4" style="256" customWidth="1"/>
    <col min="16115" max="16115" width="7.265625" style="256" customWidth="1"/>
    <col min="16116" max="16116" width="4" style="256" customWidth="1"/>
    <col min="16117" max="16117" width="13" style="256" customWidth="1"/>
    <col min="16118" max="16118" width="8" style="256" customWidth="1"/>
    <col min="16119" max="16119" width="5.59765625" style="256" customWidth="1"/>
    <col min="16120" max="16120" width="5.73046875" style="256" customWidth="1"/>
    <col min="16121" max="16121" width="8.1328125" style="256" customWidth="1"/>
    <col min="16122" max="16123" width="7.59765625" style="256" customWidth="1"/>
    <col min="16124" max="16124" width="6.73046875" style="256" customWidth="1"/>
    <col min="16125" max="16125" width="4" style="256" customWidth="1"/>
    <col min="16126" max="16126" width="7.265625" style="256" customWidth="1"/>
    <col min="16127" max="16127" width="4" style="256" customWidth="1"/>
    <col min="16128" max="16128" width="13" style="256" customWidth="1"/>
    <col min="16129" max="16129" width="7.73046875" style="256" customWidth="1"/>
    <col min="16130" max="16130" width="5.59765625" style="256" customWidth="1"/>
    <col min="16131" max="16131" width="5.73046875" style="256" customWidth="1"/>
    <col min="16132" max="16132" width="8.1328125" style="256" customWidth="1"/>
    <col min="16133" max="16134" width="7.59765625" style="256" customWidth="1"/>
    <col min="16135" max="16135" width="6.73046875" style="256" customWidth="1"/>
    <col min="16136" max="16136" width="4" style="256" customWidth="1"/>
    <col min="16137" max="16137" width="7.265625" style="256" customWidth="1"/>
    <col min="16138" max="16138" width="4" style="256" customWidth="1"/>
    <col min="16139" max="16139" width="13" style="256" customWidth="1"/>
    <col min="16140" max="16140" width="7.73046875" style="256" customWidth="1"/>
    <col min="16141" max="16141" width="5.59765625" style="256" customWidth="1"/>
    <col min="16142" max="16142" width="5.73046875" style="256" customWidth="1"/>
    <col min="16143" max="16143" width="8.1328125" style="256" customWidth="1"/>
    <col min="16144" max="16145" width="7.59765625" style="256" customWidth="1"/>
    <col min="16146" max="16146" width="6.73046875" style="256" customWidth="1"/>
    <col min="16147" max="16147" width="4" style="256" customWidth="1"/>
    <col min="16148" max="16148" width="7.265625" style="256" customWidth="1"/>
    <col min="16149" max="16149" width="4" style="256" customWidth="1"/>
    <col min="16150" max="16150" width="13" style="256" customWidth="1"/>
    <col min="16151" max="16151" width="7.73046875" style="256" customWidth="1"/>
    <col min="16152" max="16152" width="5.59765625" style="256" customWidth="1"/>
    <col min="16153" max="16153" width="5.73046875" style="256" customWidth="1"/>
    <col min="16154" max="16154" width="8.1328125" style="256" customWidth="1"/>
    <col min="16155" max="16156" width="7.59765625" style="256" customWidth="1"/>
    <col min="16157" max="16157" width="6.73046875" style="256" customWidth="1"/>
    <col min="16158" max="16158" width="4" style="256" customWidth="1"/>
    <col min="16159" max="16159" width="7.265625" style="256" customWidth="1"/>
    <col min="16160" max="16160" width="4" style="256" customWidth="1"/>
    <col min="16161" max="16161" width="13" style="256" customWidth="1"/>
    <col min="16162" max="16162" width="7.73046875" style="256" customWidth="1"/>
    <col min="16163" max="16163" width="5.59765625" style="256" customWidth="1"/>
    <col min="16164" max="16164" width="5.73046875" style="256" customWidth="1"/>
    <col min="16165" max="16165" width="8.1328125" style="256" customWidth="1"/>
    <col min="16166" max="16167" width="7.59765625" style="256" customWidth="1"/>
    <col min="16168" max="16168" width="6.73046875" style="256" customWidth="1"/>
    <col min="16169" max="16169" width="4" style="256" customWidth="1"/>
    <col min="16170" max="16170" width="7.265625" style="256" customWidth="1"/>
    <col min="16171" max="16171" width="4" style="256" customWidth="1"/>
    <col min="16172" max="16172" width="13" style="256" customWidth="1"/>
    <col min="16173" max="16173" width="7.73046875" style="256" customWidth="1"/>
    <col min="16174" max="16174" width="5.59765625" style="256" customWidth="1"/>
    <col min="16175" max="16175" width="5.73046875" style="256" customWidth="1"/>
    <col min="16176" max="16176" width="8.1328125" style="256" customWidth="1"/>
    <col min="16177" max="16178" width="7.59765625" style="256" customWidth="1"/>
    <col min="16179" max="16179" width="6.73046875" style="256" customWidth="1"/>
    <col min="16180" max="16180" width="4" style="256" customWidth="1"/>
    <col min="16181" max="16181" width="7.265625" style="256" customWidth="1"/>
    <col min="16182" max="16182" width="4" style="256" customWidth="1"/>
    <col min="16183" max="16183" width="13" style="256" customWidth="1"/>
    <col min="16184" max="16184" width="7.73046875" style="256" customWidth="1"/>
    <col min="16185" max="16185" width="5.59765625" style="256" customWidth="1"/>
    <col min="16186" max="16186" width="5.73046875" style="256" customWidth="1"/>
    <col min="16187" max="16187" width="8.1328125" style="256" customWidth="1"/>
    <col min="16188" max="16189" width="7.59765625" style="256" customWidth="1"/>
    <col min="16190" max="16190" width="6.73046875" style="256" customWidth="1"/>
    <col min="16191" max="16191" width="4" style="256" customWidth="1"/>
    <col min="16192" max="16192" width="7.265625" style="256" customWidth="1"/>
    <col min="16193" max="16193" width="4.3984375" style="256" customWidth="1"/>
    <col min="16194" max="16194" width="13" style="256" customWidth="1"/>
    <col min="16195" max="16195" width="7.73046875" style="256" customWidth="1"/>
    <col min="16196" max="16196" width="5.59765625" style="256" customWidth="1"/>
    <col min="16197" max="16197" width="5.73046875" style="256" customWidth="1"/>
    <col min="16198" max="16198" width="8.1328125" style="256" customWidth="1"/>
    <col min="16199" max="16200" width="7.59765625" style="256" customWidth="1"/>
    <col min="16201" max="16201" width="6.73046875" style="256" customWidth="1"/>
    <col min="16202" max="16202" width="4" style="256" customWidth="1"/>
    <col min="16203" max="16203" width="7.265625" style="256" customWidth="1"/>
    <col min="16204" max="16204" width="4" style="256" customWidth="1"/>
    <col min="16205" max="16205" width="13" style="256" customWidth="1"/>
    <col min="16206" max="16206" width="7.73046875" style="256" customWidth="1"/>
    <col min="16207" max="16207" width="5.59765625" style="256" customWidth="1"/>
    <col min="16208" max="16208" width="5.73046875" style="256" customWidth="1"/>
    <col min="16209" max="16209" width="8.1328125" style="256" customWidth="1"/>
    <col min="16210" max="16211" width="7.59765625" style="256" customWidth="1"/>
    <col min="16212" max="16212" width="6.73046875" style="256" customWidth="1"/>
    <col min="16213" max="16213" width="4" style="256" customWidth="1"/>
    <col min="16214" max="16214" width="7.265625" style="256" customWidth="1"/>
    <col min="16215" max="16215" width="4" style="256" customWidth="1"/>
    <col min="16216" max="16216" width="13" style="256" customWidth="1"/>
    <col min="16217" max="16217" width="7.73046875" style="256" customWidth="1"/>
    <col min="16218" max="16218" width="5.59765625" style="256" customWidth="1"/>
    <col min="16219" max="16219" width="5.73046875" style="256" customWidth="1"/>
    <col min="16220" max="16220" width="8.1328125" style="256" customWidth="1"/>
    <col min="16221" max="16222" width="7.59765625" style="256" customWidth="1"/>
    <col min="16223" max="16223" width="6.73046875" style="256" customWidth="1"/>
    <col min="16224" max="16224" width="4" style="256" customWidth="1"/>
    <col min="16225" max="16225" width="7.265625" style="256" customWidth="1"/>
    <col min="16226" max="16226" width="4" style="256" customWidth="1"/>
    <col min="16227" max="16227" width="13" style="256" customWidth="1"/>
    <col min="16228" max="16228" width="7.73046875" style="256" customWidth="1"/>
    <col min="16229" max="16229" width="5.59765625" style="256" customWidth="1"/>
    <col min="16230" max="16230" width="5.73046875" style="256" customWidth="1"/>
    <col min="16231" max="16231" width="8.1328125" style="256" customWidth="1"/>
    <col min="16232" max="16233" width="7.59765625" style="256" customWidth="1"/>
    <col min="16234" max="16234" width="6.73046875" style="256" customWidth="1"/>
    <col min="16235" max="16235" width="4" style="256" customWidth="1"/>
    <col min="16236" max="16236" width="7.265625" style="256" customWidth="1"/>
    <col min="16237" max="16237" width="4" style="256" customWidth="1"/>
    <col min="16238" max="16238" width="13" style="256" customWidth="1"/>
    <col min="16239" max="16239" width="7.73046875" style="256" customWidth="1"/>
    <col min="16240" max="16240" width="5.59765625" style="256" customWidth="1"/>
    <col min="16241" max="16241" width="5.73046875" style="256" customWidth="1"/>
    <col min="16242" max="16242" width="8.1328125" style="256" customWidth="1"/>
    <col min="16243" max="16244" width="7.59765625" style="256" customWidth="1"/>
    <col min="16245" max="16245" width="6.73046875" style="256" customWidth="1"/>
    <col min="16246" max="16246" width="4" style="256" customWidth="1"/>
    <col min="16247" max="16247" width="7.265625" style="256" customWidth="1"/>
    <col min="16248" max="16248" width="4" style="256" customWidth="1"/>
    <col min="16249" max="16249" width="13" style="256" customWidth="1"/>
    <col min="16250" max="16250" width="7.73046875" style="256" customWidth="1"/>
    <col min="16251" max="16251" width="5.59765625" style="256" customWidth="1"/>
    <col min="16252" max="16252" width="5.73046875" style="256" customWidth="1"/>
    <col min="16253" max="16253" width="8.1328125" style="256" customWidth="1"/>
    <col min="16254" max="16255" width="7.59765625" style="256" customWidth="1"/>
    <col min="16256" max="16256" width="6.73046875" style="256" customWidth="1"/>
    <col min="16257" max="16257" width="4" style="256" customWidth="1"/>
    <col min="16258" max="16258" width="7.265625" style="256" customWidth="1"/>
    <col min="16259" max="16259" width="4" style="256" customWidth="1"/>
    <col min="16260" max="16260" width="13" style="256" customWidth="1"/>
    <col min="16261" max="16261" width="7.73046875" style="256" customWidth="1"/>
    <col min="16262" max="16262" width="5.59765625" style="256" customWidth="1"/>
    <col min="16263" max="16263" width="5.73046875" style="256" customWidth="1"/>
    <col min="16264" max="16264" width="8.1328125" style="256" customWidth="1"/>
    <col min="16265" max="16266" width="7.59765625" style="256" customWidth="1"/>
    <col min="16267" max="16267" width="6.73046875" style="256" customWidth="1"/>
    <col min="16268" max="16268" width="4" style="256" customWidth="1"/>
    <col min="16269" max="16269" width="7.265625" style="256" customWidth="1"/>
    <col min="16270" max="16270" width="4" style="256" customWidth="1"/>
    <col min="16271" max="16271" width="13" style="256" customWidth="1"/>
    <col min="16272" max="16272" width="7.73046875" style="256" customWidth="1"/>
    <col min="16273" max="16273" width="5.59765625" style="256" customWidth="1"/>
    <col min="16274" max="16275" width="9.1328125" style="256"/>
    <col min="16276" max="16276" width="6.59765625" style="256" customWidth="1"/>
    <col min="16277" max="16277" width="8.73046875" style="256" customWidth="1"/>
    <col min="16278" max="16278" width="7.3984375" style="256" customWidth="1"/>
    <col min="16279" max="16279" width="7.265625" style="256" customWidth="1"/>
    <col min="16280" max="16280" width="7.73046875" style="256" customWidth="1"/>
    <col min="16281" max="16281" width="4.3984375" style="256" customWidth="1"/>
    <col min="16282" max="16282" width="9.1328125" style="256"/>
    <col min="16283" max="16283" width="6" style="256" customWidth="1"/>
    <col min="16284" max="16284" width="12.265625" style="256" customWidth="1"/>
    <col min="16285" max="16285" width="8" style="256" customWidth="1"/>
    <col min="16286" max="16288" width="9.1328125" style="256"/>
    <col min="16289" max="16289" width="7.73046875" style="256" customWidth="1"/>
    <col min="16290" max="16290" width="8.265625" style="256" customWidth="1"/>
    <col min="16291" max="16291" width="7.1328125" style="256" customWidth="1"/>
    <col min="16292" max="16292" width="7.59765625" style="256" customWidth="1"/>
    <col min="16293" max="16293" width="7.3984375" style="256" customWidth="1"/>
    <col min="16294" max="16294" width="4.86328125" style="256" customWidth="1"/>
    <col min="16295" max="16295" width="9.1328125" style="256"/>
    <col min="16296" max="16296" width="5" style="256" customWidth="1"/>
    <col min="16297" max="16297" width="12.265625" style="256" customWidth="1"/>
    <col min="16298" max="16298" width="7.86328125" style="256" customWidth="1"/>
    <col min="16299" max="16301" width="9.1328125" style="256"/>
    <col min="16302" max="16302" width="7.265625" style="256" customWidth="1"/>
    <col min="16303" max="16303" width="8.1328125" style="256" customWidth="1"/>
    <col min="16304" max="16304" width="6.86328125" style="256" customWidth="1"/>
    <col min="16305" max="16305" width="8" style="256" customWidth="1"/>
    <col min="16306" max="16306" width="7.3984375" style="256" customWidth="1"/>
    <col min="16307" max="16307" width="4.59765625" style="256" customWidth="1"/>
    <col min="16308" max="16308" width="9.1328125" style="256"/>
    <col min="16309" max="16309" width="4.1328125" style="256" customWidth="1"/>
    <col min="16310" max="16310" width="12" style="256" customWidth="1"/>
    <col min="16311" max="16311" width="8.1328125" style="256" customWidth="1"/>
    <col min="16312" max="16314" width="9.1328125" style="256"/>
    <col min="16315" max="16315" width="5.3984375" style="256" customWidth="1"/>
    <col min="16316" max="16316" width="7.73046875" style="256" customWidth="1"/>
    <col min="16317" max="16317" width="5.1328125" style="256" customWidth="1"/>
    <col min="16318" max="16318" width="7.3984375" style="256" customWidth="1"/>
    <col min="16319" max="16319" width="7.1328125" style="256" customWidth="1"/>
    <col min="16320" max="16320" width="4.265625" style="256" customWidth="1"/>
    <col min="16321" max="16321" width="9.1328125" style="256"/>
    <col min="16322" max="16322" width="5.1328125" style="256" customWidth="1"/>
    <col min="16323" max="16323" width="12.265625" style="256" customWidth="1"/>
    <col min="16324" max="16324" width="7.73046875" style="256" customWidth="1"/>
    <col min="16325" max="16326" width="9.1328125" style="256"/>
    <col min="16327" max="16327" width="6.73046875" style="256" customWidth="1"/>
    <col min="16328" max="16328" width="7.59765625" style="256" customWidth="1"/>
    <col min="16329" max="16329" width="6.265625" style="256" customWidth="1"/>
    <col min="16330" max="16330" width="8.1328125" style="256" customWidth="1"/>
    <col min="16331" max="16331" width="7.1328125" style="256" customWidth="1"/>
    <col min="16332" max="16332" width="4.3984375" style="256" customWidth="1"/>
    <col min="16333" max="16333" width="9.1328125" style="256"/>
    <col min="16334" max="16334" width="3.86328125" style="256" customWidth="1"/>
    <col min="16335" max="16335" width="12.265625" style="256" customWidth="1"/>
    <col min="16336" max="16336" width="8.3984375" style="256" customWidth="1"/>
    <col min="16337" max="16338" width="9.1328125" style="256"/>
    <col min="16339" max="16339" width="8.1328125" style="256" customWidth="1"/>
    <col min="16340" max="16340" width="8.3984375" style="256" customWidth="1"/>
    <col min="16341" max="16341" width="7" style="256" customWidth="1"/>
    <col min="16342" max="16342" width="8.3984375" style="256" customWidth="1"/>
    <col min="16343" max="16343" width="9.1328125" style="256"/>
    <col min="16344" max="16344" width="6.1328125" style="256" customWidth="1"/>
    <col min="16345" max="16345" width="9.1328125" style="256"/>
    <col min="16346" max="16346" width="6.73046875" style="256" customWidth="1"/>
    <col min="16347" max="16384" width="9.1328125" style="256"/>
  </cols>
  <sheetData>
    <row r="2" spans="1:232" ht="12" hidden="1" customHeight="1">
      <c r="A2" s="254" t="s">
        <v>413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</row>
    <row r="4" spans="1:232" ht="12" customHeight="1">
      <c r="B4" s="459" t="s">
        <v>518</v>
      </c>
      <c r="C4" s="460"/>
      <c r="D4" s="460"/>
      <c r="E4" s="460"/>
      <c r="F4" s="460"/>
      <c r="G4" s="460"/>
      <c r="H4" s="460"/>
      <c r="I4" s="460"/>
      <c r="J4" s="460"/>
      <c r="K4" s="461"/>
      <c r="M4" s="459" t="s">
        <v>414</v>
      </c>
      <c r="N4" s="460"/>
      <c r="O4" s="460"/>
      <c r="P4" s="460"/>
      <c r="Q4" s="460"/>
      <c r="R4" s="460"/>
      <c r="S4" s="460"/>
      <c r="T4" s="460"/>
      <c r="U4" s="460"/>
      <c r="V4" s="461"/>
      <c r="X4" s="459" t="s">
        <v>415</v>
      </c>
      <c r="Y4" s="460"/>
      <c r="Z4" s="460"/>
      <c r="AA4" s="460"/>
      <c r="AB4" s="460"/>
      <c r="AC4" s="460"/>
      <c r="AD4" s="460"/>
      <c r="AE4" s="460"/>
      <c r="AF4" s="460"/>
      <c r="AG4" s="461"/>
      <c r="AI4" s="459" t="s">
        <v>416</v>
      </c>
      <c r="AJ4" s="460"/>
      <c r="AK4" s="460"/>
      <c r="AL4" s="460"/>
      <c r="AM4" s="460"/>
      <c r="AN4" s="460"/>
      <c r="AO4" s="460"/>
      <c r="AP4" s="460"/>
      <c r="AQ4" s="460"/>
      <c r="AR4" s="461"/>
      <c r="AT4" s="459" t="s">
        <v>417</v>
      </c>
      <c r="AU4" s="460"/>
      <c r="AV4" s="460"/>
      <c r="AW4" s="460"/>
      <c r="AX4" s="460"/>
      <c r="AY4" s="460"/>
      <c r="AZ4" s="460"/>
      <c r="BA4" s="460"/>
      <c r="BB4" s="460"/>
      <c r="BC4" s="461"/>
      <c r="BD4" s="257"/>
      <c r="BE4" s="459" t="s">
        <v>418</v>
      </c>
      <c r="BF4" s="460"/>
      <c r="BG4" s="460"/>
      <c r="BH4" s="460"/>
      <c r="BI4" s="460"/>
      <c r="BJ4" s="460"/>
      <c r="BK4" s="460"/>
      <c r="BL4" s="460"/>
      <c r="BM4" s="460"/>
      <c r="BN4" s="461"/>
      <c r="BO4" s="257"/>
      <c r="BP4" s="459" t="s">
        <v>419</v>
      </c>
      <c r="BQ4" s="460"/>
      <c r="BR4" s="460"/>
      <c r="BS4" s="460"/>
      <c r="BT4" s="460"/>
      <c r="BU4" s="460"/>
      <c r="BV4" s="460"/>
      <c r="BW4" s="460"/>
      <c r="BX4" s="460"/>
      <c r="BY4" s="461"/>
      <c r="BZ4" s="257"/>
      <c r="CK4" s="257"/>
      <c r="CL4" s="459" t="s">
        <v>420</v>
      </c>
      <c r="CM4" s="460"/>
      <c r="CN4" s="460"/>
      <c r="CO4" s="460"/>
      <c r="CP4" s="460"/>
      <c r="CQ4" s="460"/>
      <c r="CR4" s="460"/>
      <c r="CS4" s="460"/>
      <c r="CT4" s="460"/>
      <c r="CU4" s="461"/>
      <c r="CV4" s="257"/>
      <c r="CW4" s="459" t="s">
        <v>421</v>
      </c>
      <c r="CX4" s="460"/>
      <c r="CY4" s="460"/>
      <c r="CZ4" s="460"/>
      <c r="DA4" s="460"/>
      <c r="DB4" s="460"/>
      <c r="DC4" s="460"/>
      <c r="DD4" s="460"/>
      <c r="DE4" s="460"/>
      <c r="DF4" s="461"/>
      <c r="DG4" s="257"/>
      <c r="DH4" s="459" t="s">
        <v>422</v>
      </c>
      <c r="DI4" s="460"/>
      <c r="DJ4" s="460"/>
      <c r="DK4" s="460"/>
      <c r="DL4" s="460"/>
      <c r="DM4" s="460"/>
      <c r="DN4" s="460"/>
      <c r="DO4" s="460"/>
      <c r="DP4" s="460"/>
      <c r="DQ4" s="461"/>
      <c r="DR4" s="257"/>
      <c r="DS4" s="459" t="s">
        <v>423</v>
      </c>
      <c r="DT4" s="460"/>
      <c r="DU4" s="460"/>
      <c r="DV4" s="460"/>
      <c r="DW4" s="460"/>
      <c r="DX4" s="460"/>
      <c r="DY4" s="460"/>
      <c r="DZ4" s="460"/>
      <c r="EA4" s="460"/>
      <c r="EB4" s="461"/>
      <c r="EC4" s="257"/>
      <c r="ED4" s="459" t="s">
        <v>519</v>
      </c>
      <c r="EE4" s="460"/>
      <c r="EF4" s="460"/>
      <c r="EG4" s="460"/>
      <c r="EH4" s="460"/>
      <c r="EI4" s="460"/>
      <c r="EJ4" s="460"/>
      <c r="EK4" s="460"/>
      <c r="EL4" s="460"/>
      <c r="EM4" s="461"/>
      <c r="EN4" s="257"/>
      <c r="FK4" s="466" t="s">
        <v>424</v>
      </c>
      <c r="FL4" s="467"/>
      <c r="FM4" s="467"/>
      <c r="FN4" s="467"/>
      <c r="FO4" s="467"/>
      <c r="FP4" s="467"/>
      <c r="FQ4" s="467"/>
      <c r="FR4" s="467"/>
      <c r="FS4" s="467"/>
      <c r="FT4" s="468"/>
    </row>
    <row r="5" spans="1:232" ht="12" customHeight="1" thickBot="1">
      <c r="B5" s="256" t="s">
        <v>425</v>
      </c>
      <c r="C5" s="258" t="s">
        <v>426</v>
      </c>
      <c r="M5" s="256" t="s">
        <v>425</v>
      </c>
      <c r="N5" s="256" t="s">
        <v>427</v>
      </c>
      <c r="X5" s="256" t="s">
        <v>425</v>
      </c>
      <c r="Y5" s="256" t="s">
        <v>428</v>
      </c>
      <c r="AI5" s="256" t="s">
        <v>425</v>
      </c>
      <c r="AJ5" s="256" t="s">
        <v>429</v>
      </c>
      <c r="AT5" s="256" t="s">
        <v>425</v>
      </c>
      <c r="AU5" s="256" t="s">
        <v>430</v>
      </c>
      <c r="BE5" s="256" t="s">
        <v>425</v>
      </c>
      <c r="BF5" s="256" t="s">
        <v>431</v>
      </c>
      <c r="BP5" s="256" t="s">
        <v>425</v>
      </c>
      <c r="BQ5" s="256" t="s">
        <v>432</v>
      </c>
      <c r="CA5" s="256" t="s">
        <v>425</v>
      </c>
      <c r="CB5" s="256" t="s">
        <v>433</v>
      </c>
      <c r="CL5" s="256" t="s">
        <v>425</v>
      </c>
      <c r="CM5" s="256" t="s">
        <v>434</v>
      </c>
      <c r="CW5" s="256" t="s">
        <v>425</v>
      </c>
      <c r="CX5" s="256" t="s">
        <v>435</v>
      </c>
      <c r="DH5" s="256" t="s">
        <v>425</v>
      </c>
      <c r="DI5" s="256" t="s">
        <v>436</v>
      </c>
      <c r="DS5" s="256" t="s">
        <v>425</v>
      </c>
      <c r="DT5" s="256" t="s">
        <v>437</v>
      </c>
      <c r="ED5" s="256" t="s">
        <v>425</v>
      </c>
      <c r="EE5" s="258" t="s">
        <v>427</v>
      </c>
      <c r="FJ5" s="259"/>
      <c r="GG5" s="260"/>
      <c r="GI5" s="261"/>
      <c r="GJ5" s="259"/>
      <c r="GK5" s="261"/>
      <c r="GM5" s="260"/>
      <c r="GN5" s="262"/>
      <c r="GQ5" s="260"/>
      <c r="GS5" s="260"/>
      <c r="GU5" s="261"/>
      <c r="GV5" s="259"/>
      <c r="GW5" s="261"/>
      <c r="GY5" s="260"/>
      <c r="GZ5" s="262"/>
      <c r="HC5" s="260"/>
      <c r="HE5" s="260"/>
      <c r="HG5" s="261"/>
      <c r="HH5" s="259"/>
      <c r="HI5" s="261"/>
      <c r="HK5" s="260"/>
      <c r="HL5" s="262"/>
      <c r="HO5" s="260"/>
      <c r="HQ5" s="260"/>
      <c r="HS5" s="261"/>
      <c r="HT5" s="259"/>
      <c r="HU5" s="261"/>
      <c r="HW5" s="260"/>
      <c r="HX5" s="262"/>
    </row>
    <row r="6" spans="1:232" ht="12" customHeight="1">
      <c r="B6" s="263" t="s">
        <v>438</v>
      </c>
      <c r="C6" s="264" t="e">
        <f>'10 Yr Pipe Capacity'!#REF!</f>
        <v>#REF!</v>
      </c>
      <c r="D6" s="265" t="s">
        <v>439</v>
      </c>
      <c r="E6" s="264" t="e">
        <f>'10 Yr Pipe Capacity'!#REF!</f>
        <v>#REF!</v>
      </c>
      <c r="F6" s="266" t="s">
        <v>48</v>
      </c>
      <c r="G6" s="267"/>
      <c r="H6" s="266" t="s">
        <v>440</v>
      </c>
      <c r="I6" s="268"/>
      <c r="J6" s="269" t="s">
        <v>441</v>
      </c>
      <c r="K6" s="270" t="e">
        <f>K7</f>
        <v>#REF!</v>
      </c>
      <c r="M6" s="263" t="s">
        <v>438</v>
      </c>
      <c r="N6" s="264" t="e">
        <f>'[3]Storm Sewer -10yr'!#REF!</f>
        <v>#REF!</v>
      </c>
      <c r="O6" s="265" t="s">
        <v>439</v>
      </c>
      <c r="P6" s="264" t="e">
        <f>'[3]Storm Sewer -10yr'!#REF!</f>
        <v>#REF!</v>
      </c>
      <c r="Q6" s="266" t="s">
        <v>48</v>
      </c>
      <c r="R6" s="267"/>
      <c r="S6" s="266" t="s">
        <v>440</v>
      </c>
      <c r="T6" s="268"/>
      <c r="U6" s="265" t="s">
        <v>442</v>
      </c>
      <c r="V6" s="270">
        <v>3.83</v>
      </c>
      <c r="X6" s="263" t="s">
        <v>438</v>
      </c>
      <c r="Y6" s="264" t="e">
        <f>'[3]Storm Sewer -10yr'!#REF!</f>
        <v>#REF!</v>
      </c>
      <c r="Z6" s="265" t="s">
        <v>439</v>
      </c>
      <c r="AA6" s="264" t="e">
        <f>'[3]Storm Sewer -10yr'!#REF!</f>
        <v>#REF!</v>
      </c>
      <c r="AB6" s="266" t="s">
        <v>48</v>
      </c>
      <c r="AC6" s="267"/>
      <c r="AD6" s="266" t="s">
        <v>440</v>
      </c>
      <c r="AE6" s="268"/>
      <c r="AF6" s="265" t="s">
        <v>442</v>
      </c>
      <c r="AG6" s="270">
        <v>4.0999999999999996</v>
      </c>
      <c r="AI6" s="263" t="s">
        <v>438</v>
      </c>
      <c r="AJ6" s="264" t="e">
        <f>'[3]Storm Sewer -10yr'!#REF!</f>
        <v>#REF!</v>
      </c>
      <c r="AK6" s="265" t="s">
        <v>439</v>
      </c>
      <c r="AL6" s="264" t="e">
        <f>'[3]Storm Sewer -10yr'!#REF!</f>
        <v>#REF!</v>
      </c>
      <c r="AM6" s="266" t="s">
        <v>48</v>
      </c>
      <c r="AN6" s="267"/>
      <c r="AO6" s="266" t="s">
        <v>440</v>
      </c>
      <c r="AP6" s="268"/>
      <c r="AQ6" s="265" t="s">
        <v>442</v>
      </c>
      <c r="AR6" s="270">
        <v>3.77</v>
      </c>
      <c r="AT6" s="263" t="s">
        <v>438</v>
      </c>
      <c r="AU6" s="264" t="e">
        <f>'[3]Storm Sewer -10yr'!#REF!</f>
        <v>#REF!</v>
      </c>
      <c r="AV6" s="265" t="s">
        <v>439</v>
      </c>
      <c r="AW6" s="264" t="e">
        <f>'[3]Storm Sewer -10yr'!#REF!</f>
        <v>#REF!</v>
      </c>
      <c r="AX6" s="266" t="s">
        <v>48</v>
      </c>
      <c r="AY6" s="267"/>
      <c r="AZ6" s="266" t="s">
        <v>440</v>
      </c>
      <c r="BA6" s="268"/>
      <c r="BB6" s="265" t="s">
        <v>442</v>
      </c>
      <c r="BC6" s="270">
        <v>3.85</v>
      </c>
      <c r="BD6" s="262"/>
      <c r="BE6" s="263" t="s">
        <v>438</v>
      </c>
      <c r="BF6" s="264" t="e">
        <f>'[3]Storm Sewer -10yr'!#REF!</f>
        <v>#REF!</v>
      </c>
      <c r="BG6" s="265" t="s">
        <v>439</v>
      </c>
      <c r="BH6" s="264" t="e">
        <f>'[3]Storm Sewer -10yr'!#REF!</f>
        <v>#REF!</v>
      </c>
      <c r="BI6" s="266" t="s">
        <v>48</v>
      </c>
      <c r="BJ6" s="267"/>
      <c r="BK6" s="266" t="s">
        <v>440</v>
      </c>
      <c r="BL6" s="268"/>
      <c r="BM6" s="265" t="s">
        <v>442</v>
      </c>
      <c r="BN6" s="270">
        <v>5.0999999999999996</v>
      </c>
      <c r="BO6" s="262"/>
      <c r="BP6" s="263" t="s">
        <v>438</v>
      </c>
      <c r="BQ6" s="264" t="e">
        <f>'[3]Storm Sewer -10yr'!#REF!</f>
        <v>#REF!</v>
      </c>
      <c r="BR6" s="265" t="s">
        <v>439</v>
      </c>
      <c r="BS6" s="264" t="e">
        <f>'[3]Storm Sewer -10yr'!#REF!</f>
        <v>#REF!</v>
      </c>
      <c r="BT6" s="266" t="s">
        <v>48</v>
      </c>
      <c r="BU6" s="267"/>
      <c r="BV6" s="266" t="s">
        <v>440</v>
      </c>
      <c r="BW6" s="268"/>
      <c r="BX6" s="265" t="s">
        <v>442</v>
      </c>
      <c r="BY6" s="270">
        <v>4.71</v>
      </c>
      <c r="BZ6" s="262"/>
      <c r="CA6" s="263" t="s">
        <v>438</v>
      </c>
      <c r="CB6" s="264" t="e">
        <f>'[3]Storm Sewer -10yr'!#REF!</f>
        <v>#REF!</v>
      </c>
      <c r="CC6" s="265" t="s">
        <v>439</v>
      </c>
      <c r="CD6" s="264" t="e">
        <f>'[3]Storm Sewer -10yr'!#REF!</f>
        <v>#REF!</v>
      </c>
      <c r="CE6" s="266" t="s">
        <v>48</v>
      </c>
      <c r="CF6" s="267"/>
      <c r="CG6" s="266" t="s">
        <v>440</v>
      </c>
      <c r="CH6" s="268"/>
      <c r="CI6" s="265" t="s">
        <v>442</v>
      </c>
      <c r="CJ6" s="270" t="e">
        <f>BY56</f>
        <v>#REF!</v>
      </c>
      <c r="CK6" s="262"/>
      <c r="CL6" s="263" t="s">
        <v>438</v>
      </c>
      <c r="CM6" s="264" t="str">
        <f>'[3]Storm Sewer -10yr'!C18</f>
        <v>EX-EW-01</v>
      </c>
      <c r="CN6" s="265" t="s">
        <v>439</v>
      </c>
      <c r="CO6" s="264" t="str">
        <f>'[3]Storm Sewer -10yr'!B18</f>
        <v>I-02</v>
      </c>
      <c r="CP6" s="266" t="s">
        <v>48</v>
      </c>
      <c r="CQ6" s="267"/>
      <c r="CR6" s="266" t="s">
        <v>440</v>
      </c>
      <c r="CS6" s="268"/>
      <c r="CT6" s="265" t="s">
        <v>442</v>
      </c>
      <c r="CU6" s="270">
        <v>6.76</v>
      </c>
      <c r="CV6" s="262"/>
      <c r="CW6" s="263" t="s">
        <v>438</v>
      </c>
      <c r="CX6" s="264" t="e">
        <f>'[3]Storm Sewer -10yr'!#REF!</f>
        <v>#REF!</v>
      </c>
      <c r="CY6" s="265" t="s">
        <v>439</v>
      </c>
      <c r="CZ6" s="264" t="e">
        <f>'[3]Storm Sewer -10yr'!#REF!</f>
        <v>#REF!</v>
      </c>
      <c r="DA6" s="266" t="s">
        <v>48</v>
      </c>
      <c r="DB6" s="267"/>
      <c r="DC6" s="266" t="s">
        <v>440</v>
      </c>
      <c r="DD6" s="268"/>
      <c r="DE6" s="265" t="s">
        <v>442</v>
      </c>
      <c r="DF6" s="270">
        <v>6.89</v>
      </c>
      <c r="DG6" s="262"/>
      <c r="DH6" s="263" t="s">
        <v>438</v>
      </c>
      <c r="DI6" s="264">
        <f>'[3]Storm Sewer -10yr'!C25</f>
        <v>0</v>
      </c>
      <c r="DJ6" s="265" t="s">
        <v>439</v>
      </c>
      <c r="DK6" s="264">
        <f>'[3]Storm Sewer -10yr'!B25</f>
        <v>0</v>
      </c>
      <c r="DL6" s="266" t="s">
        <v>48</v>
      </c>
      <c r="DM6" s="267"/>
      <c r="DN6" s="266" t="s">
        <v>440</v>
      </c>
      <c r="DO6" s="268"/>
      <c r="DP6" s="265" t="s">
        <v>442</v>
      </c>
      <c r="DQ6" s="270">
        <v>7.2</v>
      </c>
      <c r="DR6" s="262"/>
      <c r="DS6" s="263" t="s">
        <v>438</v>
      </c>
      <c r="DT6" s="264">
        <f>'[3]Storm Sewer -10yr'!C33</f>
        <v>0</v>
      </c>
      <c r="DU6" s="265" t="s">
        <v>439</v>
      </c>
      <c r="DV6" s="264">
        <f>'[3]Storm Sewer -10yr'!B33</f>
        <v>0</v>
      </c>
      <c r="DW6" s="266" t="s">
        <v>48</v>
      </c>
      <c r="DX6" s="267"/>
      <c r="DY6" s="266" t="s">
        <v>440</v>
      </c>
      <c r="DZ6" s="268"/>
      <c r="EA6" s="265" t="s">
        <v>442</v>
      </c>
      <c r="EB6" s="270">
        <v>9.91</v>
      </c>
      <c r="EC6" s="262"/>
      <c r="ED6" s="263" t="s">
        <v>438</v>
      </c>
      <c r="EE6" s="264" t="str">
        <f>'[3]Storm Sewer -10yr'!C18</f>
        <v>EX-EW-01</v>
      </c>
      <c r="EF6" s="265" t="s">
        <v>439</v>
      </c>
      <c r="EG6" s="264" t="str">
        <f>'[3]Storm Sewer -10yr'!B18</f>
        <v>I-02</v>
      </c>
      <c r="EH6" s="266" t="s">
        <v>48</v>
      </c>
      <c r="EI6" s="267"/>
      <c r="EJ6" s="266" t="s">
        <v>440</v>
      </c>
      <c r="EK6" s="268"/>
      <c r="EL6" s="265" t="s">
        <v>442</v>
      </c>
      <c r="EM6" s="270">
        <v>84</v>
      </c>
      <c r="EN6" s="262"/>
      <c r="EO6" s="260"/>
      <c r="EP6" s="271"/>
      <c r="EQ6" s="260"/>
      <c r="ER6" s="271"/>
      <c r="ES6" s="261"/>
      <c r="ET6" s="259"/>
      <c r="EU6" s="261"/>
      <c r="EW6" s="260"/>
      <c r="EX6" s="262"/>
      <c r="EZ6" s="260"/>
      <c r="FA6" s="271"/>
      <c r="FB6" s="260"/>
      <c r="FC6" s="271"/>
      <c r="FD6" s="261"/>
      <c r="FE6" s="259"/>
      <c r="FF6" s="261"/>
      <c r="FH6" s="260"/>
      <c r="FI6" s="262"/>
      <c r="FJ6" s="260"/>
      <c r="FK6" s="260"/>
      <c r="FL6" s="271"/>
      <c r="FM6" s="260"/>
      <c r="FN6" s="271"/>
      <c r="FO6" s="261"/>
      <c r="FP6" s="259"/>
      <c r="FQ6" s="261"/>
      <c r="FS6" s="260"/>
      <c r="FT6" s="262"/>
      <c r="FV6" s="260"/>
      <c r="FW6" s="271"/>
      <c r="FX6" s="260"/>
      <c r="FY6" s="271"/>
      <c r="FZ6" s="261"/>
      <c r="GA6" s="259"/>
      <c r="GB6" s="261"/>
      <c r="GD6" s="260"/>
      <c r="GE6" s="262"/>
      <c r="GF6" s="260"/>
      <c r="GI6" s="272"/>
      <c r="GJ6" s="260"/>
      <c r="GK6" s="273"/>
      <c r="GM6" s="260"/>
      <c r="GN6" s="262"/>
      <c r="GR6" s="260"/>
      <c r="GU6" s="272"/>
      <c r="GV6" s="260"/>
      <c r="GW6" s="273"/>
      <c r="GY6" s="260"/>
      <c r="GZ6" s="262"/>
      <c r="HD6" s="260"/>
      <c r="HG6" s="272"/>
      <c r="HH6" s="260"/>
      <c r="HI6" s="273"/>
      <c r="HK6" s="260"/>
      <c r="HL6" s="262"/>
      <c r="HP6" s="260"/>
      <c r="HS6" s="272"/>
      <c r="HT6" s="260"/>
      <c r="HU6" s="273"/>
      <c r="HW6" s="260"/>
      <c r="HX6" s="262"/>
    </row>
    <row r="7" spans="1:232" ht="12" customHeight="1">
      <c r="B7" s="274"/>
      <c r="C7" s="260" t="s">
        <v>443</v>
      </c>
      <c r="D7" s="275" t="e">
        <f>E6</f>
        <v>#REF!</v>
      </c>
      <c r="F7" s="272" t="e">
        <f>'10 Yr Pipe Capacity'!#REF!</f>
        <v>#REF!</v>
      </c>
      <c r="G7" s="260" t="s">
        <v>444</v>
      </c>
      <c r="H7" s="273" t="e">
        <f>' 10 Yr MoCo HGL'!M46</f>
        <v>#REF!</v>
      </c>
      <c r="J7" s="260" t="s">
        <v>445</v>
      </c>
      <c r="K7" s="276" t="e">
        <f>F10+(C10/12)</f>
        <v>#REF!</v>
      </c>
      <c r="M7" s="274"/>
      <c r="N7" s="260" t="s">
        <v>443</v>
      </c>
      <c r="O7" s="275" t="e">
        <f>P6</f>
        <v>#REF!</v>
      </c>
      <c r="Q7" s="272" t="e">
        <f>'[3]Storm Sewer -10yr'!#REF!</f>
        <v>#REF!</v>
      </c>
      <c r="R7" s="260" t="s">
        <v>444</v>
      </c>
      <c r="S7" s="273" t="e">
        <f>'[3]Storm Sewer -10yr'!#REF!</f>
        <v>#REF!</v>
      </c>
      <c r="U7" s="260" t="s">
        <v>445</v>
      </c>
      <c r="V7" s="276" t="e">
        <f>Q10+(N10/12)</f>
        <v>#REF!</v>
      </c>
      <c r="X7" s="274"/>
      <c r="Y7" s="260" t="s">
        <v>443</v>
      </c>
      <c r="Z7" s="275" t="e">
        <f>AA6</f>
        <v>#REF!</v>
      </c>
      <c r="AB7" s="272" t="e">
        <f>'[3]Storm Sewer -10yr'!#REF!</f>
        <v>#REF!</v>
      </c>
      <c r="AC7" s="260" t="s">
        <v>444</v>
      </c>
      <c r="AD7" s="273" t="e">
        <f>'[3]Storm Sewer -10yr'!#REF!</f>
        <v>#REF!</v>
      </c>
      <c r="AF7" s="260" t="s">
        <v>445</v>
      </c>
      <c r="AG7" s="277" t="e">
        <f>AB10+(Y10/12)</f>
        <v>#REF!</v>
      </c>
      <c r="AI7" s="274"/>
      <c r="AJ7" s="260" t="s">
        <v>443</v>
      </c>
      <c r="AK7" s="275" t="e">
        <f>AL6</f>
        <v>#REF!</v>
      </c>
      <c r="AM7" s="272" t="e">
        <f>'[3]Storm Sewer -10yr'!#REF!</f>
        <v>#REF!</v>
      </c>
      <c r="AN7" s="260" t="s">
        <v>444</v>
      </c>
      <c r="AO7" s="273" t="e">
        <f>'[3]Storm Sewer -10yr'!#REF!</f>
        <v>#REF!</v>
      </c>
      <c r="AQ7" s="260" t="s">
        <v>445</v>
      </c>
      <c r="AR7" s="277" t="e">
        <f>AM10+(AJ10/12)</f>
        <v>#REF!</v>
      </c>
      <c r="AT7" s="274"/>
      <c r="AU7" s="260" t="s">
        <v>443</v>
      </c>
      <c r="AV7" s="275" t="e">
        <f>AW6</f>
        <v>#REF!</v>
      </c>
      <c r="AX7" s="272" t="e">
        <f>'[3]Storm Sewer -10yr'!#REF!</f>
        <v>#REF!</v>
      </c>
      <c r="AY7" s="260" t="s">
        <v>444</v>
      </c>
      <c r="AZ7" s="273" t="e">
        <f>'[3]Storm Sewer -10yr'!#REF!</f>
        <v>#REF!</v>
      </c>
      <c r="BB7" s="260" t="s">
        <v>445</v>
      </c>
      <c r="BC7" s="277" t="e">
        <f>AX10+(AU10/12)</f>
        <v>#REF!</v>
      </c>
      <c r="BD7" s="262"/>
      <c r="BE7" s="274"/>
      <c r="BF7" s="260" t="s">
        <v>443</v>
      </c>
      <c r="BG7" s="275" t="e">
        <f>BH6</f>
        <v>#REF!</v>
      </c>
      <c r="BI7" s="272" t="e">
        <f>'[3]Storm Sewer -10yr'!#REF!</f>
        <v>#REF!</v>
      </c>
      <c r="BJ7" s="260" t="s">
        <v>444</v>
      </c>
      <c r="BK7" s="273" t="e">
        <f>'[3]Storm Sewer -10yr'!#REF!</f>
        <v>#REF!</v>
      </c>
      <c r="BM7" s="260" t="s">
        <v>445</v>
      </c>
      <c r="BN7" s="277" t="e">
        <f>BI10+(BF10/12)</f>
        <v>#REF!</v>
      </c>
      <c r="BO7" s="262"/>
      <c r="BP7" s="274"/>
      <c r="BQ7" s="260" t="s">
        <v>443</v>
      </c>
      <c r="BR7" s="275" t="e">
        <f>BS6</f>
        <v>#REF!</v>
      </c>
      <c r="BT7" s="272" t="e">
        <f>'[3]Storm Sewer -10yr'!#REF!</f>
        <v>#REF!</v>
      </c>
      <c r="BU7" s="260" t="s">
        <v>444</v>
      </c>
      <c r="BV7" s="273" t="e">
        <f>'[3]Storm Sewer -10yr'!#REF!</f>
        <v>#REF!</v>
      </c>
      <c r="BX7" s="260" t="s">
        <v>445</v>
      </c>
      <c r="BY7" s="277" t="e">
        <f>BT10+(BQ10/12)</f>
        <v>#REF!</v>
      </c>
      <c r="BZ7" s="262"/>
      <c r="CA7" s="274"/>
      <c r="CB7" s="260" t="s">
        <v>443</v>
      </c>
      <c r="CC7" s="275" t="e">
        <f>CD6</f>
        <v>#REF!</v>
      </c>
      <c r="CE7" s="272" t="e">
        <f>'[3]Storm Sewer -10yr'!#REF!</f>
        <v>#REF!</v>
      </c>
      <c r="CF7" s="260" t="s">
        <v>444</v>
      </c>
      <c r="CG7" s="273" t="e">
        <f>'[3]Storm Sewer -10yr'!#REF!</f>
        <v>#REF!</v>
      </c>
      <c r="CI7" s="260" t="s">
        <v>445</v>
      </c>
      <c r="CJ7" s="277" t="e">
        <f>CE10+(CB10/12)</f>
        <v>#REF!</v>
      </c>
      <c r="CK7" s="262"/>
      <c r="CL7" s="274"/>
      <c r="CM7" s="260" t="s">
        <v>443</v>
      </c>
      <c r="CN7" s="275" t="str">
        <f>CO6</f>
        <v>I-02</v>
      </c>
      <c r="CP7" s="272">
        <f>'[3]Storm Sewer -10yr'!R18</f>
        <v>28</v>
      </c>
      <c r="CQ7" s="260" t="s">
        <v>444</v>
      </c>
      <c r="CR7" s="273">
        <f>'[3]Storm Sewer -10yr'!AM18</f>
        <v>7.1761216634047532E-4</v>
      </c>
      <c r="CT7" s="260" t="s">
        <v>445</v>
      </c>
      <c r="CU7" s="277">
        <f>CP10+(CM10/12)</f>
        <v>5.29</v>
      </c>
      <c r="CV7" s="262"/>
      <c r="CW7" s="274"/>
      <c r="CX7" s="260" t="s">
        <v>443</v>
      </c>
      <c r="CY7" s="275" t="e">
        <f>CZ6</f>
        <v>#REF!</v>
      </c>
      <c r="DA7" s="272" t="e">
        <f>'[3]Storm Sewer -10yr'!#REF!</f>
        <v>#REF!</v>
      </c>
      <c r="DB7" s="260" t="s">
        <v>444</v>
      </c>
      <c r="DC7" s="273" t="e">
        <f>'[3]Storm Sewer -10yr'!#REF!</f>
        <v>#REF!</v>
      </c>
      <c r="DE7" s="260" t="s">
        <v>445</v>
      </c>
      <c r="DF7" s="277" t="e">
        <f>DA10+(CX10/12)</f>
        <v>#REF!</v>
      </c>
      <c r="DG7" s="262"/>
      <c r="DH7" s="274"/>
      <c r="DI7" s="260" t="s">
        <v>443</v>
      </c>
      <c r="DJ7" s="275">
        <f>DK6</f>
        <v>0</v>
      </c>
      <c r="DL7" s="272">
        <f>'[3]Storm Sewer -10yr'!R27</f>
        <v>0</v>
      </c>
      <c r="DM7" s="260" t="s">
        <v>444</v>
      </c>
      <c r="DN7" s="273" t="e">
        <f>'[3]Storm Sewer -10yr'!AM25</f>
        <v>#DIV/0!</v>
      </c>
      <c r="DP7" s="260" t="s">
        <v>445</v>
      </c>
      <c r="DQ7" s="277">
        <f>DL10+(DI10/12)</f>
        <v>4.34</v>
      </c>
      <c r="DR7" s="262"/>
      <c r="DS7" s="274"/>
      <c r="DT7" s="260" t="s">
        <v>443</v>
      </c>
      <c r="DU7" s="275">
        <f>DV6</f>
        <v>0</v>
      </c>
      <c r="DW7" s="272">
        <f>'[3]Storm Sewer -10yr'!R33</f>
        <v>0</v>
      </c>
      <c r="DX7" s="260" t="s">
        <v>444</v>
      </c>
      <c r="DY7" s="273" t="e">
        <f>'[3]Storm Sewer -10yr'!AM33</f>
        <v>#DIV/0!</v>
      </c>
      <c r="EA7" s="260" t="s">
        <v>445</v>
      </c>
      <c r="EB7" s="277">
        <f>DW10+(DT10/12)</f>
        <v>8.68</v>
      </c>
      <c r="EC7" s="262"/>
      <c r="ED7" s="274"/>
      <c r="EE7" s="260" t="s">
        <v>443</v>
      </c>
      <c r="EF7" s="275" t="str">
        <f>EG6</f>
        <v>I-02</v>
      </c>
      <c r="EH7" s="272">
        <f>'[3]Storm Sewer -10yr'!R18</f>
        <v>28</v>
      </c>
      <c r="EI7" s="260" t="s">
        <v>444</v>
      </c>
      <c r="EJ7" s="273">
        <f>'[3]Storm Sewer -10yr'!AM18</f>
        <v>7.1761216634047532E-4</v>
      </c>
      <c r="EL7" s="260" t="s">
        <v>445</v>
      </c>
      <c r="EM7" s="277">
        <f>EH10+(EE10/12)</f>
        <v>68.400000000000006</v>
      </c>
      <c r="EN7" s="262"/>
      <c r="EP7" s="260"/>
      <c r="ES7" s="272"/>
      <c r="ET7" s="260"/>
      <c r="EU7" s="273"/>
      <c r="EW7" s="260"/>
      <c r="EX7" s="262"/>
      <c r="FA7" s="260"/>
      <c r="FD7" s="272"/>
      <c r="FE7" s="260"/>
      <c r="FF7" s="273"/>
      <c r="FH7" s="260"/>
      <c r="FI7" s="262"/>
      <c r="FL7" s="260"/>
      <c r="FO7" s="272"/>
      <c r="FP7" s="260"/>
      <c r="FQ7" s="273"/>
      <c r="FS7" s="260"/>
      <c r="FT7" s="262"/>
      <c r="FW7" s="260"/>
      <c r="FZ7" s="272"/>
      <c r="GA7" s="260"/>
      <c r="GB7" s="273"/>
      <c r="GD7" s="260"/>
      <c r="GE7" s="262"/>
    </row>
    <row r="8" spans="1:232" ht="12" customHeight="1">
      <c r="B8" s="274"/>
      <c r="K8" s="278"/>
      <c r="M8" s="274"/>
      <c r="V8" s="278"/>
      <c r="X8" s="274"/>
      <c r="AG8" s="278"/>
      <c r="AI8" s="274"/>
      <c r="AR8" s="278"/>
      <c r="AT8" s="274"/>
      <c r="BC8" s="278"/>
      <c r="BE8" s="274"/>
      <c r="BN8" s="278"/>
      <c r="BP8" s="274"/>
      <c r="BY8" s="278"/>
      <c r="CA8" s="274"/>
      <c r="CJ8" s="278"/>
      <c r="CL8" s="274"/>
      <c r="CU8" s="278"/>
      <c r="CW8" s="274"/>
      <c r="DF8" s="278"/>
      <c r="DH8" s="274"/>
      <c r="DQ8" s="278"/>
      <c r="DS8" s="274"/>
      <c r="EB8" s="278"/>
      <c r="ED8" s="274"/>
      <c r="EM8" s="278"/>
      <c r="GF8" s="279"/>
      <c r="GI8" s="262"/>
      <c r="GM8" s="260"/>
      <c r="GN8" s="262"/>
      <c r="GQ8" s="260"/>
      <c r="GR8" s="279"/>
      <c r="GU8" s="262"/>
      <c r="GY8" s="260"/>
      <c r="GZ8" s="262"/>
      <c r="HC8" s="260"/>
      <c r="HD8" s="279"/>
      <c r="HG8" s="262"/>
      <c r="HK8" s="260"/>
      <c r="HL8" s="262"/>
      <c r="HO8" s="260"/>
      <c r="HP8" s="279"/>
      <c r="HS8" s="262"/>
      <c r="HW8" s="260"/>
      <c r="HX8" s="262"/>
    </row>
    <row r="9" spans="1:232" ht="12" customHeight="1">
      <c r="B9" s="280" t="s">
        <v>446</v>
      </c>
      <c r="C9" s="281" t="e">
        <f>'10 Yr Pipe Capacity'!#REF!</f>
        <v>#REF!</v>
      </c>
      <c r="D9" s="465" t="s">
        <v>447</v>
      </c>
      <c r="E9" s="465"/>
      <c r="F9" s="285" t="e">
        <f>'10 Yr Pipe Capacity'!#REF!</f>
        <v>#REF!</v>
      </c>
      <c r="H9" s="458" t="s">
        <v>448</v>
      </c>
      <c r="I9" s="458"/>
      <c r="J9" s="260" t="s">
        <v>449</v>
      </c>
      <c r="K9" s="277" t="e">
        <f>F7*H7</f>
        <v>#REF!</v>
      </c>
      <c r="M9" s="283" t="s">
        <v>450</v>
      </c>
      <c r="N9" s="284">
        <v>9.11</v>
      </c>
      <c r="O9" s="457" t="s">
        <v>447</v>
      </c>
      <c r="P9" s="457"/>
      <c r="Q9" s="282">
        <v>3.23</v>
      </c>
      <c r="S9" s="458" t="s">
        <v>448</v>
      </c>
      <c r="T9" s="458"/>
      <c r="U9" s="260" t="s">
        <v>449</v>
      </c>
      <c r="V9" s="277" t="e">
        <f>Q7*S7</f>
        <v>#REF!</v>
      </c>
      <c r="X9" s="283" t="s">
        <v>446</v>
      </c>
      <c r="Y9" s="281">
        <v>7.4</v>
      </c>
      <c r="Z9" s="457" t="s">
        <v>447</v>
      </c>
      <c r="AA9" s="457"/>
      <c r="AB9" s="285">
        <v>3.07</v>
      </c>
      <c r="AD9" s="458" t="s">
        <v>448</v>
      </c>
      <c r="AE9" s="458"/>
      <c r="AF9" s="260" t="s">
        <v>449</v>
      </c>
      <c r="AG9" s="277" t="e">
        <f>AB7*AD7</f>
        <v>#REF!</v>
      </c>
      <c r="AI9" s="283" t="s">
        <v>446</v>
      </c>
      <c r="AJ9" s="284">
        <v>8.32</v>
      </c>
      <c r="AK9" s="457" t="s">
        <v>447</v>
      </c>
      <c r="AL9" s="457"/>
      <c r="AM9" s="285">
        <v>0.5</v>
      </c>
      <c r="AO9" s="458" t="s">
        <v>448</v>
      </c>
      <c r="AP9" s="458"/>
      <c r="AQ9" s="260" t="s">
        <v>449</v>
      </c>
      <c r="AR9" s="277" t="e">
        <f>AM7*AO7</f>
        <v>#REF!</v>
      </c>
      <c r="AT9" s="283" t="s">
        <v>446</v>
      </c>
      <c r="AU9" s="281">
        <v>8.75</v>
      </c>
      <c r="AV9" s="457" t="s">
        <v>447</v>
      </c>
      <c r="AW9" s="457"/>
      <c r="AX9" s="285">
        <v>4.43</v>
      </c>
      <c r="AZ9" s="458" t="s">
        <v>448</v>
      </c>
      <c r="BA9" s="458"/>
      <c r="BB9" s="260" t="s">
        <v>449</v>
      </c>
      <c r="BC9" s="277" t="e">
        <f>AX7*AZ7</f>
        <v>#REF!</v>
      </c>
      <c r="BD9" s="262"/>
      <c r="BE9" s="283" t="s">
        <v>446</v>
      </c>
      <c r="BF9" s="281">
        <v>7.8</v>
      </c>
      <c r="BG9" s="457" t="s">
        <v>447</v>
      </c>
      <c r="BH9" s="457"/>
      <c r="BI9" s="285">
        <v>3.37</v>
      </c>
      <c r="BK9" s="458" t="s">
        <v>448</v>
      </c>
      <c r="BL9" s="458"/>
      <c r="BM9" s="260" t="s">
        <v>449</v>
      </c>
      <c r="BN9" s="277" t="e">
        <f>BI7*BK7</f>
        <v>#REF!</v>
      </c>
      <c r="BO9" s="262"/>
      <c r="BP9" s="283" t="s">
        <v>446</v>
      </c>
      <c r="BQ9" s="281">
        <v>7.25</v>
      </c>
      <c r="BR9" s="457" t="s">
        <v>447</v>
      </c>
      <c r="BS9" s="457"/>
      <c r="BT9" s="285">
        <v>1.49</v>
      </c>
      <c r="BV9" s="259" t="s">
        <v>448</v>
      </c>
      <c r="BW9" s="259"/>
      <c r="BX9" s="260" t="s">
        <v>449</v>
      </c>
      <c r="BY9" s="277" t="e">
        <f>BT7*BV7</f>
        <v>#REF!</v>
      </c>
      <c r="BZ9" s="262"/>
      <c r="CA9" s="283" t="s">
        <v>446</v>
      </c>
      <c r="CB9" s="281">
        <v>11.7</v>
      </c>
      <c r="CC9" s="260" t="s">
        <v>447</v>
      </c>
      <c r="CD9" s="260"/>
      <c r="CE9" s="285">
        <v>5.66</v>
      </c>
      <c r="CG9" s="286" t="s">
        <v>448</v>
      </c>
      <c r="CH9" s="286"/>
      <c r="CI9" s="260" t="s">
        <v>449</v>
      </c>
      <c r="CJ9" s="277" t="e">
        <f>CE7*CG7</f>
        <v>#REF!</v>
      </c>
      <c r="CK9" s="262"/>
      <c r="CL9" s="283" t="s">
        <v>450</v>
      </c>
      <c r="CM9" s="281">
        <v>11.02</v>
      </c>
      <c r="CN9" s="457" t="s">
        <v>447</v>
      </c>
      <c r="CO9" s="457"/>
      <c r="CP9" s="285">
        <v>4.55</v>
      </c>
      <c r="CR9" s="259" t="s">
        <v>448</v>
      </c>
      <c r="CS9" s="259"/>
      <c r="CT9" s="260" t="s">
        <v>449</v>
      </c>
      <c r="CU9" s="277">
        <f>CP7*CR7</f>
        <v>2.0093140657533308E-2</v>
      </c>
      <c r="CV9" s="262"/>
      <c r="CW9" s="283" t="s">
        <v>450</v>
      </c>
      <c r="CX9" s="281">
        <v>11.25</v>
      </c>
      <c r="CY9" s="457" t="s">
        <v>447</v>
      </c>
      <c r="CZ9" s="457"/>
      <c r="DA9" s="285">
        <v>4.68</v>
      </c>
      <c r="DC9" s="458" t="s">
        <v>448</v>
      </c>
      <c r="DD9" s="458"/>
      <c r="DE9" s="260" t="s">
        <v>449</v>
      </c>
      <c r="DF9" s="277" t="e">
        <f>DA7*DC7</f>
        <v>#REF!</v>
      </c>
      <c r="DG9" s="262"/>
      <c r="DH9" s="283" t="s">
        <v>446</v>
      </c>
      <c r="DI9" s="281">
        <v>11.17</v>
      </c>
      <c r="DK9" s="260" t="s">
        <v>447</v>
      </c>
      <c r="DL9" s="282">
        <v>4.84</v>
      </c>
      <c r="DN9" s="259" t="s">
        <v>448</v>
      </c>
      <c r="DO9" s="259"/>
      <c r="DP9" s="260" t="s">
        <v>449</v>
      </c>
      <c r="DQ9" s="277" t="e">
        <f>DL7*DN7</f>
        <v>#DIV/0!</v>
      </c>
      <c r="DR9" s="262"/>
      <c r="DS9" s="283" t="s">
        <v>446</v>
      </c>
      <c r="DT9" s="281">
        <v>13.95</v>
      </c>
      <c r="DV9" s="260" t="s">
        <v>447</v>
      </c>
      <c r="DW9" s="282">
        <v>9.2799999999999994</v>
      </c>
      <c r="DY9" s="259" t="s">
        <v>448</v>
      </c>
      <c r="DZ9" s="259"/>
      <c r="EA9" s="260" t="s">
        <v>449</v>
      </c>
      <c r="EB9" s="277" t="e">
        <f>DW7*DY7</f>
        <v>#DIV/0!</v>
      </c>
      <c r="EC9" s="262"/>
      <c r="ED9" s="283" t="s">
        <v>446</v>
      </c>
      <c r="EE9" s="281">
        <v>71.55</v>
      </c>
      <c r="EG9" s="260" t="s">
        <v>447</v>
      </c>
      <c r="EH9" s="285">
        <v>67.989999999999995</v>
      </c>
      <c r="EJ9" s="259" t="s">
        <v>448</v>
      </c>
      <c r="EK9" s="259"/>
      <c r="EL9" s="260" t="s">
        <v>449</v>
      </c>
      <c r="EM9" s="277">
        <f>EH7*EJ7</f>
        <v>2.0093140657533308E-2</v>
      </c>
      <c r="EN9" s="262"/>
      <c r="EO9" s="260"/>
      <c r="EP9" s="279"/>
      <c r="ER9" s="260"/>
      <c r="ES9" s="262"/>
      <c r="EU9" s="259"/>
      <c r="EV9" s="259"/>
      <c r="EW9" s="260"/>
      <c r="EX9" s="262"/>
      <c r="EZ9" s="260"/>
      <c r="FA9" s="279"/>
      <c r="FC9" s="260"/>
      <c r="FD9" s="259"/>
      <c r="FF9" s="259"/>
      <c r="FG9" s="259"/>
      <c r="FH9" s="260"/>
      <c r="FI9" s="262"/>
      <c r="FK9" s="260"/>
      <c r="FL9" s="279"/>
      <c r="FN9" s="260"/>
      <c r="FO9" s="262"/>
      <c r="FQ9" s="259"/>
      <c r="FR9" s="259"/>
      <c r="FS9" s="260"/>
      <c r="FT9" s="262"/>
      <c r="FV9" s="260"/>
      <c r="FW9" s="279"/>
      <c r="FY9" s="260"/>
      <c r="FZ9" s="259"/>
      <c r="GB9" s="259"/>
      <c r="GC9" s="259"/>
      <c r="GD9" s="260"/>
      <c r="GE9" s="262"/>
      <c r="GF9" s="259"/>
      <c r="GI9" s="262"/>
      <c r="GK9" s="260"/>
      <c r="GM9" s="260"/>
      <c r="GN9" s="262"/>
      <c r="GQ9" s="260"/>
      <c r="GR9" s="259"/>
      <c r="GU9" s="262"/>
      <c r="GW9" s="260"/>
      <c r="GY9" s="260"/>
      <c r="GZ9" s="262"/>
      <c r="HC9" s="260"/>
      <c r="HD9" s="259"/>
      <c r="HG9" s="262"/>
      <c r="HI9" s="260"/>
      <c r="HJ9" s="286"/>
      <c r="HK9" s="260"/>
      <c r="HL9" s="262"/>
      <c r="HO9" s="260"/>
      <c r="HP9" s="259"/>
      <c r="HS9" s="262"/>
      <c r="HU9" s="260"/>
      <c r="HV9" s="286"/>
      <c r="HW9" s="260"/>
      <c r="HX9" s="262"/>
    </row>
    <row r="10" spans="1:232" ht="12" customHeight="1">
      <c r="B10" s="280" t="s">
        <v>451</v>
      </c>
      <c r="C10" s="287" t="e">
        <f>'10 Yr Pipe Capacity'!#REF!</f>
        <v>#REF!</v>
      </c>
      <c r="D10" s="465" t="s">
        <v>452</v>
      </c>
      <c r="E10" s="465"/>
      <c r="F10" s="288" t="e">
        <f>'10 Yr Pipe Capacity'!#REF!</f>
        <v>#REF!</v>
      </c>
      <c r="H10" s="260" t="s">
        <v>453</v>
      </c>
      <c r="I10" s="256">
        <v>90</v>
      </c>
      <c r="J10" s="260" t="s">
        <v>454</v>
      </c>
      <c r="K10" s="289" t="e">
        <f>MAX(K6:K7)+K9</f>
        <v>#REF!</v>
      </c>
      <c r="M10" s="274" t="s">
        <v>451</v>
      </c>
      <c r="N10" s="287" t="e">
        <f>'[3]Storm Sewer -10yr'!#REF!</f>
        <v>#REF!</v>
      </c>
      <c r="O10" s="457" t="s">
        <v>452</v>
      </c>
      <c r="P10" s="457"/>
      <c r="Q10" s="288">
        <v>2.98</v>
      </c>
      <c r="S10" s="260" t="s">
        <v>453</v>
      </c>
      <c r="T10" s="256">
        <v>90</v>
      </c>
      <c r="U10" s="260" t="s">
        <v>454</v>
      </c>
      <c r="V10" s="289" t="e">
        <f>MAX(V6:V7)+V9</f>
        <v>#REF!</v>
      </c>
      <c r="X10" s="274" t="s">
        <v>451</v>
      </c>
      <c r="Y10" s="287" t="e">
        <f>'[3]Storm Sewer -10yr'!#REF!</f>
        <v>#REF!</v>
      </c>
      <c r="Z10" s="457" t="s">
        <v>452</v>
      </c>
      <c r="AA10" s="457"/>
      <c r="AB10" s="287">
        <v>2.93</v>
      </c>
      <c r="AD10" s="260" t="s">
        <v>453</v>
      </c>
      <c r="AE10" s="256">
        <v>0</v>
      </c>
      <c r="AF10" s="260" t="s">
        <v>454</v>
      </c>
      <c r="AG10" s="289" t="e">
        <f>MAX(AG6:AG7)+AG9</f>
        <v>#REF!</v>
      </c>
      <c r="AI10" s="274" t="s">
        <v>451</v>
      </c>
      <c r="AJ10" s="287" t="e">
        <f>'[3]Storm Sewer -10yr'!#REF!</f>
        <v>#REF!</v>
      </c>
      <c r="AK10" s="457" t="s">
        <v>452</v>
      </c>
      <c r="AL10" s="457"/>
      <c r="AM10" s="288">
        <v>0.04</v>
      </c>
      <c r="AO10" s="260" t="s">
        <v>453</v>
      </c>
      <c r="AP10" s="256">
        <v>0</v>
      </c>
      <c r="AQ10" s="260" t="s">
        <v>454</v>
      </c>
      <c r="AR10" s="289" t="e">
        <f>MAX(AR6:AR7)+AR9</f>
        <v>#REF!</v>
      </c>
      <c r="AT10" s="274" t="s">
        <v>451</v>
      </c>
      <c r="AU10" s="287" t="e">
        <f>'[3]Storm Sewer -10yr'!#REF!</f>
        <v>#REF!</v>
      </c>
      <c r="AV10" s="457" t="s">
        <v>452</v>
      </c>
      <c r="AW10" s="457"/>
      <c r="AX10" s="288">
        <v>3</v>
      </c>
      <c r="AZ10" s="260" t="s">
        <v>453</v>
      </c>
      <c r="BA10" s="256">
        <v>0</v>
      </c>
      <c r="BB10" s="260" t="s">
        <v>454</v>
      </c>
      <c r="BC10" s="289" t="e">
        <f>MAX(BC6:BC7)+BC9</f>
        <v>#REF!</v>
      </c>
      <c r="BD10" s="262"/>
      <c r="BE10" s="274" t="s">
        <v>451</v>
      </c>
      <c r="BF10" s="287" t="e">
        <f>'[3]Storm Sewer -10yr'!#REF!</f>
        <v>#REF!</v>
      </c>
      <c r="BG10" s="457" t="s">
        <v>452</v>
      </c>
      <c r="BH10" s="457"/>
      <c r="BI10" s="287">
        <v>3.23</v>
      </c>
      <c r="BK10" s="260" t="s">
        <v>453</v>
      </c>
      <c r="BL10" s="259">
        <v>0</v>
      </c>
      <c r="BM10" s="260" t="s">
        <v>454</v>
      </c>
      <c r="BN10" s="289" t="e">
        <f>MAX(BN6:BN7)+BN9</f>
        <v>#REF!</v>
      </c>
      <c r="BO10" s="262"/>
      <c r="BP10" s="274" t="s">
        <v>451</v>
      </c>
      <c r="BQ10" s="287" t="e">
        <f>'[3]Storm Sewer -10yr'!#REF!</f>
        <v>#REF!</v>
      </c>
      <c r="BR10" s="457" t="s">
        <v>452</v>
      </c>
      <c r="BS10" s="457"/>
      <c r="BT10" s="287">
        <v>0.97</v>
      </c>
      <c r="BV10" s="260" t="s">
        <v>453</v>
      </c>
      <c r="BW10" s="256">
        <v>0</v>
      </c>
      <c r="BX10" s="260" t="s">
        <v>454</v>
      </c>
      <c r="BY10" s="289" t="e">
        <f>MAX(BY6:BY7)+BY9</f>
        <v>#REF!</v>
      </c>
      <c r="BZ10" s="262"/>
      <c r="CA10" s="274" t="s">
        <v>451</v>
      </c>
      <c r="CB10" s="287" t="e">
        <f>'[3]Storm Sewer -10yr'!#REF!</f>
        <v>#REF!</v>
      </c>
      <c r="CC10" s="260" t="s">
        <v>452</v>
      </c>
      <c r="CD10" s="260"/>
      <c r="CE10" s="288">
        <v>5.26</v>
      </c>
      <c r="CG10" s="260" t="s">
        <v>453</v>
      </c>
      <c r="CH10" s="256">
        <v>0</v>
      </c>
      <c r="CI10" s="260" t="s">
        <v>454</v>
      </c>
      <c r="CJ10" s="289" t="e">
        <f>MAX(CJ6:CJ7)+CJ9</f>
        <v>#REF!</v>
      </c>
      <c r="CK10" s="262"/>
      <c r="CL10" s="274" t="s">
        <v>451</v>
      </c>
      <c r="CM10" s="287">
        <f>'[3]Storm Sewer -10yr'!N18</f>
        <v>18</v>
      </c>
      <c r="CN10" s="457" t="s">
        <v>452</v>
      </c>
      <c r="CO10" s="457"/>
      <c r="CP10" s="287">
        <v>3.79</v>
      </c>
      <c r="CR10" s="260" t="s">
        <v>453</v>
      </c>
      <c r="CS10" s="256">
        <v>45</v>
      </c>
      <c r="CT10" s="260" t="s">
        <v>454</v>
      </c>
      <c r="CU10" s="289">
        <f>MAX(CU6:CU7)+CU9</f>
        <v>6.7800931406575327</v>
      </c>
      <c r="CV10" s="262"/>
      <c r="CW10" s="274" t="s">
        <v>451</v>
      </c>
      <c r="CX10" s="287" t="e">
        <f>'[3]Storm Sewer -10yr'!#REF!</f>
        <v>#REF!</v>
      </c>
      <c r="CY10" s="457" t="s">
        <v>452</v>
      </c>
      <c r="CZ10" s="457"/>
      <c r="DA10" s="288">
        <v>3.4</v>
      </c>
      <c r="DC10" s="260" t="s">
        <v>453</v>
      </c>
      <c r="DD10" s="256">
        <v>45</v>
      </c>
      <c r="DE10" s="260" t="s">
        <v>454</v>
      </c>
      <c r="DF10" s="289" t="e">
        <f>MAX(DF6:DF7)+DF9</f>
        <v>#REF!</v>
      </c>
      <c r="DG10" s="262"/>
      <c r="DH10" s="274" t="s">
        <v>451</v>
      </c>
      <c r="DI10" s="287">
        <f>'[3]Storm Sewer -10yr'!N25</f>
        <v>0</v>
      </c>
      <c r="DK10" s="260" t="s">
        <v>452</v>
      </c>
      <c r="DL10" s="288">
        <v>4.34</v>
      </c>
      <c r="DN10" s="260" t="s">
        <v>453</v>
      </c>
      <c r="DO10" s="259">
        <v>0</v>
      </c>
      <c r="DP10" s="260" t="s">
        <v>454</v>
      </c>
      <c r="DQ10" s="289" t="e">
        <f>MAX(DQ6:DQ7)+DQ9</f>
        <v>#DIV/0!</v>
      </c>
      <c r="DR10" s="262"/>
      <c r="DS10" s="274" t="s">
        <v>451</v>
      </c>
      <c r="DT10" s="287">
        <f>'[3]Storm Sewer -10yr'!N33</f>
        <v>0</v>
      </c>
      <c r="DV10" s="260" t="s">
        <v>452</v>
      </c>
      <c r="DW10" s="288">
        <v>8.68</v>
      </c>
      <c r="DY10" s="260" t="s">
        <v>453</v>
      </c>
      <c r="DZ10" s="259">
        <v>45</v>
      </c>
      <c r="EA10" s="260" t="s">
        <v>454</v>
      </c>
      <c r="EB10" s="289" t="e">
        <f>MAX(EB6:EB7)+EB9</f>
        <v>#DIV/0!</v>
      </c>
      <c r="EC10" s="262"/>
      <c r="ED10" s="274" t="s">
        <v>451</v>
      </c>
      <c r="EE10" s="287">
        <f>'[3]Storm Sewer -10yr'!N18</f>
        <v>18</v>
      </c>
      <c r="EG10" s="260" t="s">
        <v>452</v>
      </c>
      <c r="EH10" s="288">
        <v>66.900000000000006</v>
      </c>
      <c r="EJ10" s="260" t="s">
        <v>453</v>
      </c>
      <c r="EK10" s="256">
        <v>54</v>
      </c>
      <c r="EL10" s="260" t="s">
        <v>454</v>
      </c>
      <c r="EM10" s="289">
        <f>MAX(EM6:EM7)+EM9</f>
        <v>84.020093140657536</v>
      </c>
      <c r="EN10" s="262"/>
      <c r="EP10" s="259"/>
      <c r="ER10" s="260"/>
      <c r="ES10" s="262"/>
      <c r="EU10" s="260"/>
      <c r="EW10" s="260"/>
      <c r="EX10" s="262"/>
      <c r="FA10" s="259"/>
      <c r="FC10" s="260"/>
      <c r="FD10" s="262"/>
      <c r="FF10" s="260"/>
      <c r="FH10" s="260"/>
      <c r="FI10" s="262"/>
      <c r="FJ10" s="260"/>
      <c r="FL10" s="259"/>
      <c r="FN10" s="260"/>
      <c r="FO10" s="262"/>
      <c r="FQ10" s="260"/>
      <c r="FR10" s="259"/>
      <c r="FS10" s="260"/>
      <c r="FT10" s="262"/>
      <c r="FV10" s="260"/>
      <c r="FW10" s="259"/>
      <c r="FY10" s="260"/>
      <c r="FZ10" s="262"/>
      <c r="GB10" s="260"/>
      <c r="GC10" s="259"/>
      <c r="GD10" s="260"/>
      <c r="GE10" s="262"/>
      <c r="GJ10" s="260"/>
      <c r="GK10" s="290"/>
      <c r="GM10" s="260"/>
      <c r="GN10" s="262"/>
      <c r="GV10" s="260"/>
      <c r="GW10" s="290"/>
      <c r="GY10" s="260"/>
      <c r="GZ10" s="262"/>
      <c r="HH10" s="260"/>
      <c r="HI10" s="290"/>
      <c r="HK10" s="260"/>
      <c r="HL10" s="262"/>
      <c r="HT10" s="260"/>
      <c r="HU10" s="290"/>
      <c r="HW10" s="260"/>
      <c r="HX10" s="262"/>
    </row>
    <row r="11" spans="1:232" ht="12" customHeight="1">
      <c r="B11" s="274"/>
      <c r="G11" s="260" t="s">
        <v>455</v>
      </c>
      <c r="H11" s="291">
        <f>0.33*(E12^2/(2*32.2))</f>
        <v>0.79086230739566332</v>
      </c>
      <c r="J11" s="260" t="s">
        <v>456</v>
      </c>
      <c r="K11" s="277" t="e">
        <f>F9+'10 Yr Pipe Capacity'!#REF!/12</f>
        <v>#REF!</v>
      </c>
      <c r="M11" s="274"/>
      <c r="R11" s="260" t="s">
        <v>455</v>
      </c>
      <c r="S11" s="291" t="e">
        <f>0.33*(P12^2/(2*32.2))</f>
        <v>#REF!</v>
      </c>
      <c r="U11" s="260" t="s">
        <v>456</v>
      </c>
      <c r="V11" s="277" t="e">
        <f>Q9+('[3]Storm Sewer -10yr'!#REF!/12)</f>
        <v>#REF!</v>
      </c>
      <c r="X11" s="274"/>
      <c r="AC11" s="260" t="s">
        <v>455</v>
      </c>
      <c r="AD11" s="291" t="e">
        <f>0.33*(AA12^2/(2*32.2))</f>
        <v>#REF!</v>
      </c>
      <c r="AF11" s="260" t="s">
        <v>456</v>
      </c>
      <c r="AG11" s="277" t="e">
        <f>AB9+('[3]Storm Sewer -10yr'!#REF!/12)</f>
        <v>#REF!</v>
      </c>
      <c r="AI11" s="274"/>
      <c r="AN11" s="260" t="s">
        <v>455</v>
      </c>
      <c r="AO11" s="291" t="e">
        <f>0.33*(AL12^2/(2*32.2))</f>
        <v>#REF!</v>
      </c>
      <c r="AQ11" s="260" t="s">
        <v>456</v>
      </c>
      <c r="AR11" s="277" t="e">
        <f>AM9+('[3]Storm Sewer -10yr'!#REF!/12)</f>
        <v>#REF!</v>
      </c>
      <c r="AT11" s="274"/>
      <c r="AY11" s="260" t="s">
        <v>455</v>
      </c>
      <c r="AZ11" s="291" t="e">
        <f>0.33*(AW12^2/(2*32.2))</f>
        <v>#REF!</v>
      </c>
      <c r="BB11" s="260" t="s">
        <v>456</v>
      </c>
      <c r="BC11" s="277" t="e">
        <f>AX9+('[3]Storm Sewer -10yr'!#REF!/12)</f>
        <v>#REF!</v>
      </c>
      <c r="BD11" s="262"/>
      <c r="BE11" s="274"/>
      <c r="BJ11" s="260" t="s">
        <v>455</v>
      </c>
      <c r="BK11" s="291" t="e">
        <f>0.33*(BH12^2/(2*32.2))</f>
        <v>#REF!</v>
      </c>
      <c r="BM11" s="260" t="s">
        <v>456</v>
      </c>
      <c r="BN11" s="277" t="e">
        <f>BI9+('[3]Storm Sewer -10yr'!#REF!/12)</f>
        <v>#REF!</v>
      </c>
      <c r="BO11" s="262"/>
      <c r="BP11" s="274"/>
      <c r="BU11" s="260" t="s">
        <v>455</v>
      </c>
      <c r="BV11" s="291" t="e">
        <f>0.33*(BS12^2/(2*32.2))</f>
        <v>#REF!</v>
      </c>
      <c r="BX11" s="260" t="s">
        <v>456</v>
      </c>
      <c r="BY11" s="277" t="e">
        <f>BT9+('[3]Storm Sewer -10yr'!#REF!/12)</f>
        <v>#REF!</v>
      </c>
      <c r="BZ11" s="262"/>
      <c r="CA11" s="274"/>
      <c r="CF11" s="260" t="s">
        <v>455</v>
      </c>
      <c r="CG11" s="291" t="e">
        <f>0.33*(CD12^2/(2*32.2))</f>
        <v>#REF!</v>
      </c>
      <c r="CI11" s="260" t="s">
        <v>456</v>
      </c>
      <c r="CJ11" s="277" t="e">
        <f>CE9+('[3]Storm Sewer -10yr'!#REF!/12)</f>
        <v>#REF!</v>
      </c>
      <c r="CK11" s="262"/>
      <c r="CL11" s="274"/>
      <c r="CQ11" s="260" t="s">
        <v>455</v>
      </c>
      <c r="CR11" s="291">
        <f>0.33*(CO12^2/(2*32.2))</f>
        <v>0.70613100995124956</v>
      </c>
      <c r="CT11" s="260" t="s">
        <v>456</v>
      </c>
      <c r="CU11" s="277">
        <f>CP9+('[3]Storm Sewer -10yr'!$W18/12)</f>
        <v>4.835</v>
      </c>
      <c r="CV11" s="262"/>
      <c r="CW11" s="274"/>
      <c r="DB11" s="260" t="s">
        <v>455</v>
      </c>
      <c r="DC11" s="291" t="e">
        <f>0.33*(CZ12^2/(2*32.2))</f>
        <v>#REF!</v>
      </c>
      <c r="DE11" s="260" t="s">
        <v>456</v>
      </c>
      <c r="DF11" s="277" t="e">
        <f>DA9+('[3]Storm Sewer -10yr'!#REF!/12)</f>
        <v>#REF!</v>
      </c>
      <c r="DG11" s="262"/>
      <c r="DH11" s="274"/>
      <c r="DM11" s="260" t="s">
        <v>455</v>
      </c>
      <c r="DN11" s="291">
        <f>0.33*(DK12^2/(2*32.2))</f>
        <v>0</v>
      </c>
      <c r="DP11" s="260" t="s">
        <v>456</v>
      </c>
      <c r="DQ11" s="277">
        <f>DL9+('[3]Storm Sewer -10yr'!$W25/12)</f>
        <v>4.84</v>
      </c>
      <c r="DR11" s="262"/>
      <c r="DS11" s="274"/>
      <c r="DX11" s="260" t="s">
        <v>455</v>
      </c>
      <c r="DY11" s="291">
        <f>0.33*(DV12^2/(2*32.2))</f>
        <v>0</v>
      </c>
      <c r="EA11" s="260" t="s">
        <v>456</v>
      </c>
      <c r="EB11" s="277">
        <f>DW9+('[3]Storm Sewer -10yr'!$W33/12)</f>
        <v>9.2799999999999994</v>
      </c>
      <c r="EC11" s="262"/>
      <c r="ED11" s="274"/>
      <c r="EI11" s="260" t="s">
        <v>455</v>
      </c>
      <c r="EJ11" s="291">
        <f>0.33*(EG12^2/(2*32.2))</f>
        <v>0.70613100995124956</v>
      </c>
      <c r="EL11" s="260" t="s">
        <v>456</v>
      </c>
      <c r="EM11" s="277">
        <f>EH9+('[3]Storm Sewer -10yr'!W18/12)</f>
        <v>68.274999999999991</v>
      </c>
      <c r="EN11" s="262"/>
      <c r="ET11" s="260"/>
      <c r="EU11" s="290"/>
      <c r="EW11" s="260"/>
      <c r="EX11" s="262"/>
      <c r="FE11" s="260"/>
      <c r="FF11" s="290"/>
      <c r="FH11" s="260"/>
      <c r="FI11" s="262"/>
      <c r="FJ11" s="260"/>
      <c r="FP11" s="260"/>
      <c r="FQ11" s="290"/>
      <c r="FS11" s="260"/>
      <c r="FT11" s="262"/>
      <c r="FU11" s="262"/>
      <c r="GA11" s="260"/>
      <c r="GB11" s="290"/>
      <c r="GD11" s="260"/>
      <c r="GE11" s="262"/>
      <c r="GF11" s="262"/>
      <c r="GG11" s="260"/>
      <c r="GH11" s="262"/>
      <c r="GJ11" s="260"/>
      <c r="GK11" s="290"/>
      <c r="GQ11" s="260"/>
      <c r="GR11" s="262"/>
      <c r="GS11" s="260"/>
      <c r="GT11" s="262"/>
      <c r="GV11" s="260"/>
      <c r="GW11" s="290"/>
      <c r="HC11" s="260"/>
      <c r="HD11" s="262"/>
      <c r="HE11" s="260"/>
      <c r="HF11" s="262"/>
      <c r="HH11" s="260"/>
      <c r="HI11" s="290"/>
      <c r="HO11" s="260"/>
      <c r="HP11" s="262"/>
      <c r="HQ11" s="260"/>
      <c r="HR11" s="262"/>
      <c r="HT11" s="260"/>
      <c r="HU11" s="290"/>
    </row>
    <row r="12" spans="1:232" ht="12" customHeight="1">
      <c r="B12" s="283" t="s">
        <v>457</v>
      </c>
      <c r="C12" s="285">
        <f>'[3]Storm Sewer -10yr'!J23*8</f>
        <v>6.1951999999999998</v>
      </c>
      <c r="D12" s="260" t="s">
        <v>458</v>
      </c>
      <c r="E12" s="285">
        <f>'[3]Storm Sewer -10yr'!T23</f>
        <v>12.42328368687148</v>
      </c>
      <c r="G12" s="260" t="s">
        <v>459</v>
      </c>
      <c r="H12" s="292">
        <f>(E12^2/(2*32.2))-(E13^2/(2*32.2))</f>
        <v>0</v>
      </c>
      <c r="K12" s="293"/>
      <c r="M12" s="283" t="s">
        <v>457</v>
      </c>
      <c r="N12" s="285" t="e">
        <f>'[3]Storm Sewer -10yr'!#REF!</f>
        <v>#REF!</v>
      </c>
      <c r="O12" s="260" t="s">
        <v>458</v>
      </c>
      <c r="P12" s="285" t="e">
        <f>'[3]Storm Sewer -10yr'!#REF!</f>
        <v>#REF!</v>
      </c>
      <c r="R12" s="260" t="s">
        <v>459</v>
      </c>
      <c r="S12" s="292" t="e">
        <f>(P12^2/(2*32.2))-(P13^2/(2*32.2))</f>
        <v>#REF!</v>
      </c>
      <c r="V12" s="293"/>
      <c r="X12" s="283" t="s">
        <v>457</v>
      </c>
      <c r="Y12" s="285" t="e">
        <f>'[3]Storm Sewer -10yr'!#REF!</f>
        <v>#REF!</v>
      </c>
      <c r="Z12" s="260" t="s">
        <v>458</v>
      </c>
      <c r="AA12" s="285" t="e">
        <f>'[3]Storm Sewer -10yr'!#REF!</f>
        <v>#REF!</v>
      </c>
      <c r="AC12" s="260" t="s">
        <v>459</v>
      </c>
      <c r="AD12" s="292" t="e">
        <f>(AA12^2/(2*32.2))-(AA13^2/(2*32.2))</f>
        <v>#REF!</v>
      </c>
      <c r="AG12" s="293"/>
      <c r="AI12" s="283" t="s">
        <v>457</v>
      </c>
      <c r="AJ12" s="285" t="e">
        <f>'[3]Storm Sewer -10yr'!#REF!</f>
        <v>#REF!</v>
      </c>
      <c r="AK12" s="260" t="s">
        <v>458</v>
      </c>
      <c r="AL12" s="285" t="e">
        <f>'[3]Storm Sewer -10yr'!#REF!</f>
        <v>#REF!</v>
      </c>
      <c r="AN12" s="260" t="s">
        <v>459</v>
      </c>
      <c r="AO12" s="292" t="e">
        <f>(AL12^2/(2*32.2))-(AL13^2/(2*32.2))</f>
        <v>#REF!</v>
      </c>
      <c r="AR12" s="293"/>
      <c r="AT12" s="283" t="s">
        <v>457</v>
      </c>
      <c r="AU12" s="285" t="e">
        <f>'[3]Storm Sewer -10yr'!#REF!</f>
        <v>#REF!</v>
      </c>
      <c r="AV12" s="260" t="s">
        <v>458</v>
      </c>
      <c r="AW12" s="285" t="e">
        <f>'[3]Storm Sewer -10yr'!#REF!</f>
        <v>#REF!</v>
      </c>
      <c r="AY12" s="260" t="s">
        <v>459</v>
      </c>
      <c r="AZ12" s="292" t="e">
        <f>(AW12^2/(2*32.2))-(AW13^2/(2*32.2))</f>
        <v>#REF!</v>
      </c>
      <c r="BC12" s="293"/>
      <c r="BE12" s="283" t="s">
        <v>457</v>
      </c>
      <c r="BF12" s="285" t="e">
        <f>'[3]Storm Sewer -10yr'!#REF!</f>
        <v>#REF!</v>
      </c>
      <c r="BG12" s="260" t="s">
        <v>458</v>
      </c>
      <c r="BH12" s="285" t="e">
        <f>'[3]Storm Sewer -10yr'!#REF!</f>
        <v>#REF!</v>
      </c>
      <c r="BJ12" s="260" t="s">
        <v>459</v>
      </c>
      <c r="BK12" s="292" t="e">
        <f>(BH12^2/(2*32.2))-(BH13^2/(2*32.2))</f>
        <v>#REF!</v>
      </c>
      <c r="BN12" s="293"/>
      <c r="BP12" s="283" t="s">
        <v>457</v>
      </c>
      <c r="BQ12" s="285" t="e">
        <f>'[3]Storm Sewer -10yr'!#REF!</f>
        <v>#REF!</v>
      </c>
      <c r="BR12" s="260" t="s">
        <v>458</v>
      </c>
      <c r="BS12" s="285" t="e">
        <f>'[3]Storm Sewer -10yr'!#REF!</f>
        <v>#REF!</v>
      </c>
      <c r="BU12" s="260" t="s">
        <v>459</v>
      </c>
      <c r="BV12" s="292" t="e">
        <f>(BS12^2/(2*32.2))-(BS13^2/(2*32.2))</f>
        <v>#REF!</v>
      </c>
      <c r="BY12" s="293"/>
      <c r="CA12" s="283" t="s">
        <v>457</v>
      </c>
      <c r="CB12" s="285" t="e">
        <f>'[3]Storm Sewer -10yr'!#REF!</f>
        <v>#REF!</v>
      </c>
      <c r="CC12" s="260" t="s">
        <v>458</v>
      </c>
      <c r="CD12" s="285" t="e">
        <f>'[3]Storm Sewer -10yr'!#REF!</f>
        <v>#REF!</v>
      </c>
      <c r="CF12" s="260" t="s">
        <v>459</v>
      </c>
      <c r="CG12" s="292" t="e">
        <f>(CD12^2/(2*32.2))-(CD13^2/(2*32.2))</f>
        <v>#REF!</v>
      </c>
      <c r="CJ12" s="293"/>
      <c r="CL12" s="283" t="s">
        <v>457</v>
      </c>
      <c r="CM12" s="285">
        <f>'[3]Storm Sewer -10yr'!M18</f>
        <v>2.8139319999999999</v>
      </c>
      <c r="CN12" s="260" t="s">
        <v>458</v>
      </c>
      <c r="CO12" s="285">
        <f>'[3]Storm Sewer -10yr'!T18</f>
        <v>11.73893251055887</v>
      </c>
      <c r="CQ12" s="260" t="s">
        <v>459</v>
      </c>
      <c r="CR12" s="292">
        <f>IF((CO12^2/(2*32.2))-(CO13^2/(2*32.2))&gt;0,(CO12^2/(2*32.2))-(CO13^2/(2*32.2)),0)</f>
        <v>0</v>
      </c>
      <c r="CU12" s="293"/>
      <c r="CW12" s="283" t="s">
        <v>457</v>
      </c>
      <c r="CX12" s="285" t="e">
        <f>'[3]Storm Sewer -10yr'!#REF!</f>
        <v>#REF!</v>
      </c>
      <c r="CY12" s="260" t="s">
        <v>458</v>
      </c>
      <c r="CZ12" s="285" t="e">
        <f>'[3]Storm Sewer -10yr'!#REF!</f>
        <v>#REF!</v>
      </c>
      <c r="DB12" s="260" t="s">
        <v>459</v>
      </c>
      <c r="DC12" s="292" t="e">
        <f>(CZ12^2/(2*32.2))-(CZ13^2/(2*32.2))</f>
        <v>#REF!</v>
      </c>
      <c r="DF12" s="293"/>
      <c r="DH12" s="283" t="s">
        <v>457</v>
      </c>
      <c r="DI12" s="285">
        <f>'[3]Storm Sewer -10yr'!M25</f>
        <v>0</v>
      </c>
      <c r="DJ12" s="260" t="s">
        <v>458</v>
      </c>
      <c r="DK12" s="285">
        <f>'[3]Storm Sewer -10yr'!T25</f>
        <v>0</v>
      </c>
      <c r="DM12" s="260" t="s">
        <v>459</v>
      </c>
      <c r="DN12" s="292">
        <f>(DK12^2/(2*32.2))-(DK13^2/(2*32.2))</f>
        <v>0</v>
      </c>
      <c r="DQ12" s="293"/>
      <c r="DS12" s="283" t="s">
        <v>457</v>
      </c>
      <c r="DT12" s="285">
        <f>'[3]Storm Sewer -10yr'!M33</f>
        <v>0</v>
      </c>
      <c r="DU12" s="260" t="s">
        <v>458</v>
      </c>
      <c r="DV12" s="285">
        <f>'[3]Storm Sewer -10yr'!T33</f>
        <v>0</v>
      </c>
      <c r="DX12" s="260" t="s">
        <v>459</v>
      </c>
      <c r="DY12" s="292">
        <f>(DV12^2/(2*32.2))-(DV13^2/(2*32.2))</f>
        <v>0</v>
      </c>
      <c r="EB12" s="293"/>
      <c r="ED12" s="283" t="s">
        <v>457</v>
      </c>
      <c r="EE12" s="285">
        <f>'[3]Storm Sewer -10yr'!J18*8</f>
        <v>3.3007999999999997</v>
      </c>
      <c r="EF12" s="260" t="s">
        <v>458</v>
      </c>
      <c r="EG12" s="285">
        <f>'[3]Storm Sewer -10yr'!T18</f>
        <v>11.73893251055887</v>
      </c>
      <c r="EI12" s="260" t="s">
        <v>459</v>
      </c>
      <c r="EJ12" s="292">
        <f>(EG12^2/(2*32.2))-(EG13^2/(2*32.2))</f>
        <v>0</v>
      </c>
      <c r="EM12" s="293"/>
      <c r="EO12" s="260"/>
      <c r="EP12" s="262"/>
      <c r="EQ12" s="260"/>
      <c r="ER12" s="262"/>
      <c r="ET12" s="260"/>
      <c r="EU12" s="290"/>
      <c r="EZ12" s="260"/>
      <c r="FA12" s="262"/>
      <c r="FB12" s="260"/>
      <c r="FC12" s="262"/>
      <c r="FE12" s="260"/>
      <c r="FF12" s="290"/>
      <c r="FJ12" s="260"/>
      <c r="FK12" s="260"/>
      <c r="FL12" s="262"/>
      <c r="FM12" s="260"/>
      <c r="FN12" s="262"/>
      <c r="FP12" s="260"/>
      <c r="FQ12" s="290"/>
      <c r="FU12" s="262"/>
      <c r="FV12" s="260"/>
      <c r="FW12" s="262"/>
      <c r="FX12" s="260"/>
      <c r="FY12" s="262"/>
      <c r="GA12" s="260"/>
      <c r="GB12" s="290"/>
      <c r="GF12" s="262"/>
      <c r="GG12" s="260"/>
      <c r="GH12" s="262"/>
      <c r="GJ12" s="260"/>
      <c r="GK12" s="290"/>
      <c r="GM12" s="294"/>
      <c r="GN12" s="262"/>
      <c r="GQ12" s="260"/>
      <c r="GR12" s="262"/>
      <c r="GS12" s="260"/>
      <c r="GT12" s="262"/>
      <c r="GV12" s="260"/>
      <c r="GW12" s="290"/>
      <c r="GY12" s="294"/>
      <c r="GZ12" s="262"/>
      <c r="HC12" s="260"/>
      <c r="HD12" s="262"/>
      <c r="HE12" s="260"/>
      <c r="HF12" s="262"/>
      <c r="HH12" s="260"/>
      <c r="HI12" s="290"/>
      <c r="HK12" s="294"/>
      <c r="HL12" s="262"/>
      <c r="HO12" s="260"/>
      <c r="HP12" s="262"/>
      <c r="HQ12" s="260"/>
      <c r="HR12" s="262"/>
      <c r="HT12" s="260"/>
      <c r="HU12" s="290"/>
      <c r="HW12" s="294"/>
      <c r="HX12" s="262"/>
    </row>
    <row r="13" spans="1:232" ht="12" customHeight="1">
      <c r="B13" s="283" t="s">
        <v>460</v>
      </c>
      <c r="C13" s="285">
        <f>'[3]Storm Sewer -10yr'!J23*8</f>
        <v>6.1951999999999998</v>
      </c>
      <c r="D13" s="260" t="s">
        <v>461</v>
      </c>
      <c r="E13" s="285">
        <f>'[3]Storm Sewer -10yr'!T23</f>
        <v>12.42328368687148</v>
      </c>
      <c r="G13" s="260" t="s">
        <v>462</v>
      </c>
      <c r="H13" s="291">
        <f>IF(I10=0, 0, IF(I10&gt;45,0.22*(E12^2/(2*32.2))*2,IF(I10=45,0.22*(E12^2/(2*32.2)),0.22*(E12^2/(2*32.2))*(2/3))))</f>
        <v>1.054483076527551</v>
      </c>
      <c r="J13" s="294" t="s">
        <v>463</v>
      </c>
      <c r="K13" s="277" t="e">
        <f>MAX(K10:K11)</f>
        <v>#REF!</v>
      </c>
      <c r="M13" s="283" t="s">
        <v>460</v>
      </c>
      <c r="N13" s="285" t="e">
        <f>'[3]Storm Sewer -10yr'!#REF!</f>
        <v>#REF!</v>
      </c>
      <c r="O13" s="260" t="s">
        <v>461</v>
      </c>
      <c r="P13" s="285" t="e">
        <f>'[3]Storm Sewer -10yr'!#REF!</f>
        <v>#REF!</v>
      </c>
      <c r="R13" s="260" t="s">
        <v>462</v>
      </c>
      <c r="S13" s="291" t="e">
        <f>IF(T10=0, 0, IF(T10&gt;45,0.22*(P12^2/(2*32.2))*2,IF(T10=45,0.22*(P12^2/(2*32.2)),0.22*(P12^2/(2*32.2))*(2/3))))</f>
        <v>#REF!</v>
      </c>
      <c r="U13" s="294" t="s">
        <v>463</v>
      </c>
      <c r="V13" s="277" t="e">
        <f>MAX(V10:V11)</f>
        <v>#REF!</v>
      </c>
      <c r="X13" s="283" t="s">
        <v>460</v>
      </c>
      <c r="Y13" s="285" t="e">
        <f>'[3]Storm Sewer -10yr'!#REF!</f>
        <v>#REF!</v>
      </c>
      <c r="Z13" s="260" t="s">
        <v>461</v>
      </c>
      <c r="AA13" s="285" t="e">
        <f>'[3]Storm Sewer -10yr'!#REF!</f>
        <v>#REF!</v>
      </c>
      <c r="AC13" s="260" t="s">
        <v>462</v>
      </c>
      <c r="AD13" s="291">
        <f>IF(AE10=0, 0, IF(AE10&gt;45,0.22*(AA12^2/(2*32.2))*2,IF(AE10=45,0.22*(AA12^2/(2*32.2)),0.22*(AA12^2/(2*32.2))*(2/3))))</f>
        <v>0</v>
      </c>
      <c r="AF13" s="294" t="s">
        <v>463</v>
      </c>
      <c r="AG13" s="277" t="e">
        <f>MAX(AG10:AG11)</f>
        <v>#REF!</v>
      </c>
      <c r="AI13" s="283" t="s">
        <v>460</v>
      </c>
      <c r="AJ13" s="288" t="e">
        <f>'[3]Storm Sewer -10yr'!#REF!</f>
        <v>#REF!</v>
      </c>
      <c r="AK13" s="260" t="s">
        <v>461</v>
      </c>
      <c r="AL13" s="285" t="e">
        <f>'[3]Storm Sewer -10yr'!#REF!</f>
        <v>#REF!</v>
      </c>
      <c r="AN13" s="260" t="s">
        <v>462</v>
      </c>
      <c r="AO13" s="291">
        <f>IF(AP10=0, 0, IF(AP10&gt;45,0.22*(AL12^2/(2*32.2))*2,IF(AP10=45,0.22*(AL12^2/(2*32.2)),0.22*(AL12^2/(2*32.2))*(2/3))))</f>
        <v>0</v>
      </c>
      <c r="AQ13" s="294" t="s">
        <v>463</v>
      </c>
      <c r="AR13" s="277" t="e">
        <f>MAX(AR10:AR11)</f>
        <v>#REF!</v>
      </c>
      <c r="AT13" s="283" t="s">
        <v>460</v>
      </c>
      <c r="AU13" s="288" t="e">
        <f>'[3]Storm Sewer -10yr'!#REF!</f>
        <v>#REF!</v>
      </c>
      <c r="AV13" s="260" t="s">
        <v>461</v>
      </c>
      <c r="AW13" s="285" t="e">
        <f>'[3]Storm Sewer -10yr'!#REF!</f>
        <v>#REF!</v>
      </c>
      <c r="AY13" s="260" t="s">
        <v>462</v>
      </c>
      <c r="AZ13" s="291">
        <f>IF(BA10=0, 0, IF(BA10&gt;45,0.22*(AW12^2/(2*32.2))*2,IF(BA10=45,0.22*(AW12^2/(2*32.2)),0.22*(AW12^2/(2*32.2))*(2/3))))</f>
        <v>0</v>
      </c>
      <c r="BB13" s="294" t="s">
        <v>463</v>
      </c>
      <c r="BC13" s="277" t="e">
        <f>MAX(BC10:BC11)</f>
        <v>#REF!</v>
      </c>
      <c r="BD13" s="262"/>
      <c r="BE13" s="283" t="s">
        <v>460</v>
      </c>
      <c r="BF13" s="285" t="e">
        <f>'[3]Storm Sewer -10yr'!#REF!</f>
        <v>#REF!</v>
      </c>
      <c r="BG13" s="260" t="s">
        <v>461</v>
      </c>
      <c r="BH13" s="285" t="e">
        <f>'[3]Storm Sewer -10yr'!#REF!</f>
        <v>#REF!</v>
      </c>
      <c r="BJ13" s="260" t="s">
        <v>462</v>
      </c>
      <c r="BK13" s="291">
        <f>IF(BL10=0, 0, IF(BL10&gt;45,0.22*(BH12^2/(2*32.2))*2,IF(BL10=45,0.22*(BH12^2/(2*32.2)),0.22*(BH12^2/(2*32.2))*(2/3))))</f>
        <v>0</v>
      </c>
      <c r="BM13" s="294" t="s">
        <v>463</v>
      </c>
      <c r="BN13" s="277" t="e">
        <f>MAX(BN10:BN11)</f>
        <v>#REF!</v>
      </c>
      <c r="BO13" s="262"/>
      <c r="BP13" s="283" t="s">
        <v>460</v>
      </c>
      <c r="BQ13" s="285" t="e">
        <f>'[3]Storm Sewer -10yr'!#REF!</f>
        <v>#REF!</v>
      </c>
      <c r="BR13" s="260" t="s">
        <v>461</v>
      </c>
      <c r="BS13" s="285" t="e">
        <f>'[3]Storm Sewer -10yr'!#REF!</f>
        <v>#REF!</v>
      </c>
      <c r="BU13" s="260" t="s">
        <v>462</v>
      </c>
      <c r="BV13" s="291">
        <f>IF(BW10=0, 0, IF(BW10&gt;45,0.22*(BS12^2/(2*32.2))*2,IF(BW10=45,0.22*(BS12^2/(2*32.2)),0.22*(BS12^2/(2*32.2))*(2/3))))</f>
        <v>0</v>
      </c>
      <c r="BX13" s="294" t="s">
        <v>463</v>
      </c>
      <c r="BY13" s="277" t="e">
        <f>MAX(BY10:BY11)</f>
        <v>#REF!</v>
      </c>
      <c r="BZ13" s="262"/>
      <c r="CA13" s="283" t="s">
        <v>460</v>
      </c>
      <c r="CB13" s="288" t="e">
        <f>'[3]Storm Sewer -10yr'!#REF!</f>
        <v>#REF!</v>
      </c>
      <c r="CC13" s="260" t="s">
        <v>461</v>
      </c>
      <c r="CD13" s="285" t="e">
        <f>'[3]Storm Sewer -10yr'!#REF!</f>
        <v>#REF!</v>
      </c>
      <c r="CF13" s="260" t="s">
        <v>462</v>
      </c>
      <c r="CG13" s="291">
        <f>IF(CH10=0, 0, IF(CH10&gt;45,0.22*(CD12^2/(2*32.2))*2,IF(CH10=45,0.22*(CD12^2/(2*32.2)),0.22*(CD12^2/(2*32.2))*(2/3))))</f>
        <v>0</v>
      </c>
      <c r="CI13" s="294" t="s">
        <v>463</v>
      </c>
      <c r="CJ13" s="277" t="e">
        <f>MAX(CJ10:CJ11)</f>
        <v>#REF!</v>
      </c>
      <c r="CK13" s="262"/>
      <c r="CL13" s="283" t="s">
        <v>460</v>
      </c>
      <c r="CM13" s="285">
        <f>'[3]Storm Sewer -10yr'!M17</f>
        <v>2.6961599999999994</v>
      </c>
      <c r="CN13" s="260" t="s">
        <v>461</v>
      </c>
      <c r="CO13" s="285">
        <f>'[3]Storm Sewer -10yr'!T17</f>
        <v>18.522769281887921</v>
      </c>
      <c r="CQ13" s="260" t="s">
        <v>462</v>
      </c>
      <c r="CR13" s="291">
        <f>IF(CS10=0, 0, IF(CS10&gt;45,0.22*(CO12^2/(2*32.2))*2,IF(CS10=45,0.22*(CO12^2/(2*32.2)),0.22*(CO12^2/(2*32.2))*(2/3))))</f>
        <v>0.47075400663416633</v>
      </c>
      <c r="CT13" s="294" t="s">
        <v>463</v>
      </c>
      <c r="CU13" s="277">
        <f>MAX(CU10:CU11)</f>
        <v>6.7800931406575327</v>
      </c>
      <c r="CV13" s="262"/>
      <c r="CW13" s="283" t="s">
        <v>460</v>
      </c>
      <c r="CX13" s="285" t="e">
        <f>'[3]Storm Sewer -10yr'!#REF!</f>
        <v>#REF!</v>
      </c>
      <c r="CY13" s="260" t="s">
        <v>461</v>
      </c>
      <c r="CZ13" s="285" t="e">
        <f>'[3]Storm Sewer -10yr'!#REF!</f>
        <v>#REF!</v>
      </c>
      <c r="DB13" s="260" t="s">
        <v>462</v>
      </c>
      <c r="DC13" s="291" t="e">
        <f>IF(DD10=0, 0, IF(DD10&gt;45,0.22*(CZ12^2/(2*32.2))*2,IF(DD10=45,0.22*(CZ12^2/(2*32.2)),0.22*(CZ12^2/(2*32.2))*(2/3))))</f>
        <v>#REF!</v>
      </c>
      <c r="DE13" s="294" t="s">
        <v>463</v>
      </c>
      <c r="DF13" s="277" t="e">
        <f>MAX(DF10:DF11)</f>
        <v>#REF!</v>
      </c>
      <c r="DG13" s="262"/>
      <c r="DH13" s="283" t="s">
        <v>460</v>
      </c>
      <c r="DI13" s="285">
        <f>'[3]Storm Sewer -10yr'!M25</f>
        <v>0</v>
      </c>
      <c r="DJ13" s="260" t="s">
        <v>461</v>
      </c>
      <c r="DK13" s="285">
        <f>'[3]Storm Sewer -10yr'!T25</f>
        <v>0</v>
      </c>
      <c r="DM13" s="260" t="s">
        <v>462</v>
      </c>
      <c r="DN13" s="291">
        <f>IF(DO10=0, 0, IF(DO10&gt;45,0.22*(DK12^2/(2*32.2))*2,IF(DO10=45,0.22*(DK12^2/(2*32.2)),0.22*(DK12^2/(2*32.2))*(2/3))))</f>
        <v>0</v>
      </c>
      <c r="DP13" s="294" t="s">
        <v>463</v>
      </c>
      <c r="DQ13" s="277" t="e">
        <f>MAX(DQ10:DQ11)</f>
        <v>#DIV/0!</v>
      </c>
      <c r="DR13" s="262"/>
      <c r="DS13" s="283" t="s">
        <v>460</v>
      </c>
      <c r="DT13" s="285">
        <f>'[3]Storm Sewer -10yr'!M33</f>
        <v>0</v>
      </c>
      <c r="DU13" s="260" t="s">
        <v>461</v>
      </c>
      <c r="DV13" s="285">
        <f>'[3]Storm Sewer -10yr'!T33</f>
        <v>0</v>
      </c>
      <c r="DX13" s="260" t="s">
        <v>462</v>
      </c>
      <c r="DY13" s="291">
        <f>IF(DZ10=0, 0, IF(DZ10&gt;45,0.22*(DV12^2/(2*32.2))*2,IF(DZ10=45,0.22*(DV12^2/(2*32.2)),0.22*(DV12^2/(2*32.2))*(2/3))))</f>
        <v>0</v>
      </c>
      <c r="EA13" s="294" t="s">
        <v>463</v>
      </c>
      <c r="EB13" s="277" t="e">
        <f>MAX(EB10:EB11)</f>
        <v>#DIV/0!</v>
      </c>
      <c r="EC13" s="262"/>
      <c r="ED13" s="283" t="s">
        <v>460</v>
      </c>
      <c r="EE13" s="285">
        <f>'[3]Storm Sewer -10yr'!J18*8</f>
        <v>3.3007999999999997</v>
      </c>
      <c r="EF13" s="260" t="s">
        <v>461</v>
      </c>
      <c r="EG13" s="285">
        <f>'[3]Storm Sewer -10yr'!T18</f>
        <v>11.73893251055887</v>
      </c>
      <c r="EI13" s="260" t="s">
        <v>462</v>
      </c>
      <c r="EJ13" s="291">
        <f>IF(EK10=0, 0, IF(EK10&gt;45,0.22*(EG12^2/(2*32.2))*2,IF(EK10=45,0.22*(EG12^2/(2*32.2)),0.22*(EG12^2/(2*32.2))*(2/3))))</f>
        <v>0.94150801326833267</v>
      </c>
      <c r="EL13" s="294" t="s">
        <v>463</v>
      </c>
      <c r="EM13" s="277">
        <f>MAX(EM10:EM11)</f>
        <v>84.020093140657536</v>
      </c>
      <c r="EN13" s="262"/>
      <c r="EO13" s="260"/>
      <c r="EP13" s="262"/>
      <c r="EQ13" s="260"/>
      <c r="ER13" s="262"/>
      <c r="ET13" s="260"/>
      <c r="EU13" s="290"/>
      <c r="EW13" s="294"/>
      <c r="EX13" s="262"/>
      <c r="EZ13" s="260"/>
      <c r="FA13" s="262"/>
      <c r="FB13" s="260"/>
      <c r="FC13" s="262"/>
      <c r="FE13" s="260"/>
      <c r="FF13" s="290"/>
      <c r="FH13" s="294"/>
      <c r="FI13" s="262"/>
      <c r="FJ13" s="260"/>
      <c r="FK13" s="260"/>
      <c r="FL13" s="262"/>
      <c r="FM13" s="260"/>
      <c r="FN13" s="262"/>
      <c r="FP13" s="260"/>
      <c r="FQ13" s="290"/>
      <c r="FS13" s="294"/>
      <c r="FT13" s="262"/>
      <c r="FU13" s="262"/>
      <c r="FV13" s="260"/>
      <c r="FW13" s="262"/>
      <c r="FX13" s="260"/>
      <c r="FY13" s="262"/>
      <c r="GA13" s="260"/>
      <c r="GB13" s="290"/>
      <c r="GD13" s="294"/>
      <c r="GE13" s="262"/>
      <c r="GF13" s="262"/>
      <c r="GG13" s="260"/>
      <c r="GH13" s="262"/>
      <c r="GJ13" s="260"/>
      <c r="GK13" s="290"/>
      <c r="GM13" s="260"/>
      <c r="GN13" s="262"/>
      <c r="GQ13" s="260"/>
      <c r="GR13" s="262"/>
      <c r="GS13" s="260"/>
      <c r="GT13" s="262"/>
      <c r="GV13" s="260"/>
      <c r="GW13" s="290"/>
      <c r="GY13" s="260"/>
      <c r="GZ13" s="262"/>
      <c r="HC13" s="260"/>
      <c r="HD13" s="262"/>
      <c r="HE13" s="260"/>
      <c r="HF13" s="262"/>
      <c r="HH13" s="260"/>
      <c r="HI13" s="290"/>
      <c r="HK13" s="260"/>
      <c r="HL13" s="262"/>
      <c r="HO13" s="260"/>
      <c r="HP13" s="262"/>
      <c r="HQ13" s="260"/>
      <c r="HR13" s="262"/>
      <c r="HT13" s="260"/>
      <c r="HU13" s="290"/>
      <c r="HW13" s="260"/>
      <c r="HX13" s="262"/>
    </row>
    <row r="14" spans="1:232" ht="12" customHeight="1">
      <c r="B14" s="283" t="s">
        <v>464</v>
      </c>
      <c r="C14" s="288"/>
      <c r="D14" s="260" t="s">
        <v>465</v>
      </c>
      <c r="E14" s="285"/>
      <c r="G14" s="260" t="s">
        <v>466</v>
      </c>
      <c r="H14" s="292">
        <f>E13^2/(2*32.2)*(1-(C13/(C13+C14)))</f>
        <v>0</v>
      </c>
      <c r="J14" s="260" t="s">
        <v>467</v>
      </c>
      <c r="K14" s="277">
        <f>H15</f>
        <v>1.8453453839232143</v>
      </c>
      <c r="M14" s="283" t="s">
        <v>464</v>
      </c>
      <c r="N14" s="288" t="e">
        <f>'[3]Storm Sewer -10yr'!#REF!</f>
        <v>#REF!</v>
      </c>
      <c r="O14" s="260" t="s">
        <v>465</v>
      </c>
      <c r="P14" s="285" t="e">
        <f>'[3]Storm Sewer -10yr'!#REF!</f>
        <v>#REF!</v>
      </c>
      <c r="R14" s="260" t="s">
        <v>466</v>
      </c>
      <c r="S14" s="292" t="e">
        <f>P13^2/(2*32.2)*(1-(N13/(N13+N14)))</f>
        <v>#REF!</v>
      </c>
      <c r="U14" s="260" t="s">
        <v>467</v>
      </c>
      <c r="V14" s="277" t="e">
        <f>S15</f>
        <v>#REF!</v>
      </c>
      <c r="X14" s="283" t="s">
        <v>464</v>
      </c>
      <c r="Y14" s="288"/>
      <c r="Z14" s="260" t="s">
        <v>465</v>
      </c>
      <c r="AA14" s="285"/>
      <c r="AC14" s="260" t="s">
        <v>466</v>
      </c>
      <c r="AD14" s="292" t="e">
        <f>AA13^2/(2*32.2)*(1-(Y13/(Y13+Y14)))</f>
        <v>#REF!</v>
      </c>
      <c r="AF14" s="260" t="s">
        <v>467</v>
      </c>
      <c r="AG14" s="277">
        <v>0</v>
      </c>
      <c r="AI14" s="283" t="s">
        <v>464</v>
      </c>
      <c r="AJ14" s="288"/>
      <c r="AK14" s="260" t="s">
        <v>465</v>
      </c>
      <c r="AL14" s="285"/>
      <c r="AN14" s="260" t="s">
        <v>466</v>
      </c>
      <c r="AO14" s="292" t="e">
        <f>AL14^2/(2*32.2)*(1-(AJ14/(AJ14+AJ13)))</f>
        <v>#REF!</v>
      </c>
      <c r="AQ14" s="260" t="s">
        <v>467</v>
      </c>
      <c r="AR14" s="277">
        <v>0</v>
      </c>
      <c r="AT14" s="283" t="s">
        <v>464</v>
      </c>
      <c r="AU14" s="288"/>
      <c r="AV14" s="260" t="s">
        <v>465</v>
      </c>
      <c r="AW14" s="285"/>
      <c r="AY14" s="260" t="s">
        <v>466</v>
      </c>
      <c r="AZ14" s="292" t="e">
        <f>AW14^2/(2*32.2)*(1-(AU14/(AU14+AU13)))</f>
        <v>#REF!</v>
      </c>
      <c r="BB14" s="260" t="s">
        <v>467</v>
      </c>
      <c r="BC14" s="277">
        <v>0</v>
      </c>
      <c r="BD14" s="262"/>
      <c r="BE14" s="283" t="s">
        <v>464</v>
      </c>
      <c r="BF14" s="288"/>
      <c r="BG14" s="260" t="s">
        <v>465</v>
      </c>
      <c r="BH14" s="285"/>
      <c r="BJ14" s="260" t="s">
        <v>466</v>
      </c>
      <c r="BK14" s="292" t="e">
        <f>BH13^2/(2*32.2)*(1-(BF13/(BF13+BF14)))</f>
        <v>#REF!</v>
      </c>
      <c r="BM14" s="260" t="s">
        <v>467</v>
      </c>
      <c r="BN14" s="277">
        <v>0</v>
      </c>
      <c r="BO14" s="262"/>
      <c r="BP14" s="283" t="s">
        <v>464</v>
      </c>
      <c r="BQ14" s="288"/>
      <c r="BR14" s="260" t="s">
        <v>465</v>
      </c>
      <c r="BS14" s="285"/>
      <c r="BU14" s="260" t="s">
        <v>466</v>
      </c>
      <c r="BV14" s="292" t="e">
        <f>BS13^2/(2*32.2)*(1-(BQ13/(BQ13+BQ14)))</f>
        <v>#REF!</v>
      </c>
      <c r="BX14" s="260" t="s">
        <v>467</v>
      </c>
      <c r="BY14" s="277">
        <v>0</v>
      </c>
      <c r="BZ14" s="262"/>
      <c r="CA14" s="283" t="s">
        <v>464</v>
      </c>
      <c r="CB14" s="288"/>
      <c r="CC14" s="260" t="s">
        <v>465</v>
      </c>
      <c r="CD14" s="285"/>
      <c r="CF14" s="260" t="s">
        <v>466</v>
      </c>
      <c r="CG14" s="292" t="e">
        <f>CD13^2/(2*32.2)*(1-(CB13/(CB13+CB14)))</f>
        <v>#REF!</v>
      </c>
      <c r="CI14" s="260" t="s">
        <v>467</v>
      </c>
      <c r="CJ14" s="277" t="e">
        <f>CG15</f>
        <v>#REF!</v>
      </c>
      <c r="CK14" s="262"/>
      <c r="CL14" s="283" t="s">
        <v>464</v>
      </c>
      <c r="CM14" s="288">
        <f>'[3]Storm Sewer -10yr'!M16</f>
        <v>2.7040319999999998</v>
      </c>
      <c r="CN14" s="260" t="s">
        <v>465</v>
      </c>
      <c r="CO14" s="285">
        <f>'[3]Storm Sewer -10yr'!T16</f>
        <v>17.713434883918559</v>
      </c>
      <c r="CQ14" s="260" t="s">
        <v>466</v>
      </c>
      <c r="CR14" s="292">
        <f>CO13^2/(2*32.2)*(1-(CM13/(CM13+CM14)))</f>
        <v>2.6676484271128524</v>
      </c>
      <c r="CT14" s="260" t="s">
        <v>467</v>
      </c>
      <c r="CU14" s="277">
        <f>CR15</f>
        <v>3.8445334436982685</v>
      </c>
      <c r="CV14" s="262"/>
      <c r="CW14" s="283" t="s">
        <v>464</v>
      </c>
      <c r="CX14" s="288"/>
      <c r="CY14" s="260" t="s">
        <v>465</v>
      </c>
      <c r="CZ14" s="285"/>
      <c r="DB14" s="260" t="s">
        <v>466</v>
      </c>
      <c r="DC14" s="292" t="e">
        <f>CZ13^2/(2*32.2)*(1-(CX13/(CX13+CX14)))</f>
        <v>#REF!</v>
      </c>
      <c r="DE14" s="260" t="s">
        <v>467</v>
      </c>
      <c r="DF14" s="277" t="e">
        <f>DC15</f>
        <v>#REF!</v>
      </c>
      <c r="DG14" s="262"/>
      <c r="DH14" s="283" t="s">
        <v>464</v>
      </c>
      <c r="DI14" s="288"/>
      <c r="DJ14" s="260" t="s">
        <v>465</v>
      </c>
      <c r="DK14" s="285"/>
      <c r="DM14" s="260" t="s">
        <v>466</v>
      </c>
      <c r="DN14" s="292" t="e">
        <f>DK13^2/(2*32.2)*(1-(DI13/(DI13+DI14)))</f>
        <v>#DIV/0!</v>
      </c>
      <c r="DP14" s="260" t="s">
        <v>467</v>
      </c>
      <c r="DQ14" s="277">
        <v>0</v>
      </c>
      <c r="DR14" s="262"/>
      <c r="DS14" s="283" t="s">
        <v>464</v>
      </c>
      <c r="DT14" s="288"/>
      <c r="DU14" s="260" t="s">
        <v>465</v>
      </c>
      <c r="DV14" s="285"/>
      <c r="DX14" s="260" t="s">
        <v>466</v>
      </c>
      <c r="DY14" s="292" t="e">
        <f>DV13^2/(2*32.2)*(1-(DT13/(DT13+DT14)))</f>
        <v>#DIV/0!</v>
      </c>
      <c r="EA14" s="260" t="s">
        <v>467</v>
      </c>
      <c r="EB14" s="277">
        <v>0</v>
      </c>
      <c r="EC14" s="262"/>
      <c r="ED14" s="283" t="s">
        <v>464</v>
      </c>
      <c r="EE14" s="288"/>
      <c r="EF14" s="260" t="s">
        <v>465</v>
      </c>
      <c r="EG14" s="285"/>
      <c r="EI14" s="260" t="s">
        <v>466</v>
      </c>
      <c r="EJ14" s="292">
        <f>EG13^2/(2*32.2)*(1-(EE13/(EE13+EE14)))</f>
        <v>0</v>
      </c>
      <c r="EL14" s="260" t="s">
        <v>467</v>
      </c>
      <c r="EM14" s="277">
        <f>EJ15</f>
        <v>1.6476390232195821</v>
      </c>
      <c r="EN14" s="262"/>
      <c r="EO14" s="260"/>
      <c r="EP14" s="262"/>
      <c r="EQ14" s="260"/>
      <c r="ER14" s="262"/>
      <c r="ET14" s="260"/>
      <c r="EU14" s="290"/>
      <c r="EW14" s="260"/>
      <c r="EX14" s="262"/>
      <c r="EZ14" s="260"/>
      <c r="FA14" s="262"/>
      <c r="FB14" s="260"/>
      <c r="FC14" s="262"/>
      <c r="FE14" s="260"/>
      <c r="FF14" s="290"/>
      <c r="FH14" s="260"/>
      <c r="FI14" s="262"/>
      <c r="FJ14" s="260"/>
      <c r="FK14" s="260"/>
      <c r="FL14" s="262"/>
      <c r="FM14" s="260"/>
      <c r="FN14" s="262"/>
      <c r="FP14" s="260"/>
      <c r="FQ14" s="290"/>
      <c r="FS14" s="260"/>
      <c r="FT14" s="262"/>
      <c r="FU14" s="262"/>
      <c r="FV14" s="260"/>
      <c r="FW14" s="262"/>
      <c r="FX14" s="260"/>
      <c r="FY14" s="262"/>
      <c r="GA14" s="260"/>
      <c r="GB14" s="290"/>
      <c r="GD14" s="260"/>
      <c r="GE14" s="262"/>
      <c r="GF14" s="262"/>
      <c r="GG14" s="260"/>
      <c r="GH14" s="262"/>
      <c r="GJ14" s="260"/>
      <c r="GK14" s="290"/>
      <c r="GQ14" s="260"/>
      <c r="GR14" s="262"/>
      <c r="GS14" s="260"/>
      <c r="GT14" s="262"/>
      <c r="GV14" s="260"/>
      <c r="GW14" s="290"/>
      <c r="HC14" s="260"/>
      <c r="HD14" s="262"/>
      <c r="HE14" s="260"/>
      <c r="HF14" s="262"/>
      <c r="HH14" s="260"/>
      <c r="HI14" s="290"/>
      <c r="HO14" s="260"/>
      <c r="HP14" s="262"/>
      <c r="HQ14" s="260"/>
      <c r="HR14" s="262"/>
      <c r="HT14" s="260"/>
      <c r="HU14" s="290"/>
    </row>
    <row r="15" spans="1:232" ht="12" customHeight="1">
      <c r="B15" s="283" t="s">
        <v>468</v>
      </c>
      <c r="C15" s="285"/>
      <c r="D15" s="260" t="s">
        <v>469</v>
      </c>
      <c r="E15" s="285"/>
      <c r="G15" s="260" t="s">
        <v>470</v>
      </c>
      <c r="H15" s="295">
        <f>SUM(H11:H14)</f>
        <v>1.8453453839232143</v>
      </c>
      <c r="K15" s="293"/>
      <c r="M15" s="283" t="s">
        <v>468</v>
      </c>
      <c r="N15" s="285"/>
      <c r="O15" s="260" t="s">
        <v>469</v>
      </c>
      <c r="P15" s="285"/>
      <c r="R15" s="260" t="s">
        <v>470</v>
      </c>
      <c r="S15" s="295" t="e">
        <f>SUM(S11:S14)</f>
        <v>#REF!</v>
      </c>
      <c r="V15" s="293"/>
      <c r="X15" s="283" t="s">
        <v>468</v>
      </c>
      <c r="Y15" s="285"/>
      <c r="Z15" s="260" t="s">
        <v>469</v>
      </c>
      <c r="AA15" s="285"/>
      <c r="AC15" s="260" t="s">
        <v>470</v>
      </c>
      <c r="AD15" s="295" t="e">
        <f>SUM(AD11:AD14)</f>
        <v>#REF!</v>
      </c>
      <c r="AG15" s="293"/>
      <c r="AI15" s="283" t="s">
        <v>468</v>
      </c>
      <c r="AJ15" s="285"/>
      <c r="AK15" s="260" t="s">
        <v>469</v>
      </c>
      <c r="AL15" s="285"/>
      <c r="AN15" s="260" t="s">
        <v>470</v>
      </c>
      <c r="AO15" s="295" t="e">
        <f>SUM(AO11:AO14)</f>
        <v>#REF!</v>
      </c>
      <c r="AR15" s="293"/>
      <c r="AT15" s="283" t="s">
        <v>468</v>
      </c>
      <c r="AU15" s="285"/>
      <c r="AV15" s="260" t="s">
        <v>469</v>
      </c>
      <c r="AW15" s="285"/>
      <c r="AY15" s="260" t="s">
        <v>470</v>
      </c>
      <c r="AZ15" s="295" t="e">
        <f>SUM(AZ11:AZ14)</f>
        <v>#REF!</v>
      </c>
      <c r="BC15" s="293"/>
      <c r="BE15" s="283" t="s">
        <v>468</v>
      </c>
      <c r="BF15" s="285"/>
      <c r="BG15" s="260" t="s">
        <v>469</v>
      </c>
      <c r="BH15" s="285"/>
      <c r="BJ15" s="260" t="s">
        <v>470</v>
      </c>
      <c r="BK15" s="295" t="e">
        <f>SUM(BK11:BK14)</f>
        <v>#REF!</v>
      </c>
      <c r="BN15" s="293"/>
      <c r="BP15" s="283" t="s">
        <v>468</v>
      </c>
      <c r="BQ15" s="285"/>
      <c r="BR15" s="260" t="s">
        <v>469</v>
      </c>
      <c r="BS15" s="285"/>
      <c r="BU15" s="260" t="s">
        <v>470</v>
      </c>
      <c r="BV15" s="295" t="e">
        <f>SUM(BV11:BV14)</f>
        <v>#REF!</v>
      </c>
      <c r="BY15" s="293"/>
      <c r="CA15" s="283" t="s">
        <v>468</v>
      </c>
      <c r="CB15" s="285"/>
      <c r="CC15" s="260" t="s">
        <v>469</v>
      </c>
      <c r="CD15" s="285"/>
      <c r="CF15" s="260" t="s">
        <v>470</v>
      </c>
      <c r="CG15" s="295" t="e">
        <f>SUM(CG11:CG14)</f>
        <v>#REF!</v>
      </c>
      <c r="CJ15" s="293"/>
      <c r="CL15" s="283" t="s">
        <v>468</v>
      </c>
      <c r="CM15" s="285"/>
      <c r="CN15" s="260" t="s">
        <v>469</v>
      </c>
      <c r="CO15" s="285"/>
      <c r="CQ15" s="260" t="s">
        <v>470</v>
      </c>
      <c r="CR15" s="295">
        <f>SUM(CR11:CR14)</f>
        <v>3.8445334436982685</v>
      </c>
      <c r="CU15" s="293"/>
      <c r="CW15" s="283" t="s">
        <v>468</v>
      </c>
      <c r="CX15" s="285"/>
      <c r="CY15" s="260" t="s">
        <v>469</v>
      </c>
      <c r="CZ15" s="285"/>
      <c r="DB15" s="260" t="s">
        <v>470</v>
      </c>
      <c r="DC15" s="295" t="e">
        <f>SUM(DC11:DC14)</f>
        <v>#REF!</v>
      </c>
      <c r="DF15" s="293"/>
      <c r="DH15" s="283" t="s">
        <v>468</v>
      </c>
      <c r="DI15" s="285"/>
      <c r="DJ15" s="260" t="s">
        <v>469</v>
      </c>
      <c r="DK15" s="285"/>
      <c r="DM15" s="260" t="s">
        <v>470</v>
      </c>
      <c r="DN15" s="295" t="e">
        <f>SUM(DN11:DN14)</f>
        <v>#DIV/0!</v>
      </c>
      <c r="DQ15" s="293"/>
      <c r="DS15" s="283" t="s">
        <v>468</v>
      </c>
      <c r="DT15" s="285"/>
      <c r="DU15" s="260" t="s">
        <v>469</v>
      </c>
      <c r="DV15" s="285"/>
      <c r="DX15" s="260" t="s">
        <v>470</v>
      </c>
      <c r="DY15" s="295" t="e">
        <f>SUM(DY11:DY14)</f>
        <v>#DIV/0!</v>
      </c>
      <c r="EB15" s="293"/>
      <c r="ED15" s="283" t="s">
        <v>468</v>
      </c>
      <c r="EE15" s="285"/>
      <c r="EF15" s="260" t="s">
        <v>469</v>
      </c>
      <c r="EG15" s="285"/>
      <c r="EI15" s="260" t="s">
        <v>470</v>
      </c>
      <c r="EJ15" s="295">
        <f>SUM(EJ11:EJ14)</f>
        <v>1.6476390232195821</v>
      </c>
      <c r="EM15" s="293"/>
      <c r="EO15" s="260"/>
      <c r="EP15" s="262"/>
      <c r="EQ15" s="260"/>
      <c r="ER15" s="262"/>
      <c r="ET15" s="260"/>
      <c r="EU15" s="290"/>
      <c r="EZ15" s="260"/>
      <c r="FA15" s="262"/>
      <c r="FB15" s="260"/>
      <c r="FC15" s="262"/>
      <c r="FE15" s="260"/>
      <c r="FF15" s="290"/>
      <c r="FK15" s="260"/>
      <c r="FL15" s="262"/>
      <c r="FM15" s="260"/>
      <c r="FN15" s="262"/>
      <c r="FP15" s="260"/>
      <c r="FQ15" s="290"/>
      <c r="FV15" s="260"/>
      <c r="FW15" s="262"/>
      <c r="FX15" s="260"/>
      <c r="FY15" s="262"/>
      <c r="GA15" s="260"/>
      <c r="GB15" s="290"/>
      <c r="GM15" s="260"/>
      <c r="GN15" s="296"/>
      <c r="GY15" s="260"/>
      <c r="GZ15" s="296"/>
      <c r="HK15" s="260"/>
      <c r="HL15" s="296"/>
      <c r="HW15" s="260"/>
      <c r="HX15" s="296"/>
    </row>
    <row r="16" spans="1:232" ht="12" customHeight="1" thickBot="1">
      <c r="B16" s="297"/>
      <c r="C16" s="298"/>
      <c r="D16" s="299"/>
      <c r="E16" s="299"/>
      <c r="F16" s="299"/>
      <c r="G16" s="299"/>
      <c r="H16" s="299"/>
      <c r="I16" s="299"/>
      <c r="J16" s="300" t="s">
        <v>471</v>
      </c>
      <c r="K16" s="301" t="e">
        <f>K13+K14</f>
        <v>#REF!</v>
      </c>
      <c r="M16" s="302"/>
      <c r="N16" s="299"/>
      <c r="O16" s="299"/>
      <c r="P16" s="299"/>
      <c r="Q16" s="299"/>
      <c r="R16" s="299"/>
      <c r="S16" s="299"/>
      <c r="T16" s="299"/>
      <c r="U16" s="300" t="s">
        <v>471</v>
      </c>
      <c r="V16" s="301" t="e">
        <f>V13+V14</f>
        <v>#REF!</v>
      </c>
      <c r="X16" s="302"/>
      <c r="Y16" s="299"/>
      <c r="Z16" s="299"/>
      <c r="AA16" s="299"/>
      <c r="AB16" s="299"/>
      <c r="AC16" s="299"/>
      <c r="AD16" s="299"/>
      <c r="AE16" s="299"/>
      <c r="AF16" s="300" t="s">
        <v>471</v>
      </c>
      <c r="AG16" s="301" t="e">
        <f>AG13+AG14</f>
        <v>#REF!</v>
      </c>
      <c r="AI16" s="302"/>
      <c r="AJ16" s="299"/>
      <c r="AK16" s="299"/>
      <c r="AL16" s="299"/>
      <c r="AM16" s="299"/>
      <c r="AN16" s="299"/>
      <c r="AO16" s="299"/>
      <c r="AP16" s="299"/>
      <c r="AQ16" s="300" t="s">
        <v>471</v>
      </c>
      <c r="AR16" s="301" t="e">
        <f>AR13+AR14</f>
        <v>#REF!</v>
      </c>
      <c r="AT16" s="302"/>
      <c r="AU16" s="299"/>
      <c r="AV16" s="299"/>
      <c r="AW16" s="299"/>
      <c r="AX16" s="299"/>
      <c r="AY16" s="299"/>
      <c r="AZ16" s="299"/>
      <c r="BA16" s="299"/>
      <c r="BB16" s="300" t="s">
        <v>471</v>
      </c>
      <c r="BC16" s="301" t="e">
        <f>BC13+BC14</f>
        <v>#REF!</v>
      </c>
      <c r="BD16" s="296"/>
      <c r="BE16" s="302"/>
      <c r="BF16" s="299"/>
      <c r="BG16" s="299"/>
      <c r="BH16" s="299"/>
      <c r="BI16" s="299"/>
      <c r="BJ16" s="299"/>
      <c r="BK16" s="299"/>
      <c r="BL16" s="299"/>
      <c r="BM16" s="300" t="s">
        <v>471</v>
      </c>
      <c r="BN16" s="301" t="e">
        <f>BN13+BN14</f>
        <v>#REF!</v>
      </c>
      <c r="BO16" s="296"/>
      <c r="BP16" s="302"/>
      <c r="BQ16" s="299"/>
      <c r="BR16" s="299"/>
      <c r="BS16" s="299"/>
      <c r="BT16" s="299"/>
      <c r="BU16" s="299"/>
      <c r="BV16" s="299"/>
      <c r="BW16" s="299"/>
      <c r="BX16" s="300" t="s">
        <v>471</v>
      </c>
      <c r="BY16" s="301" t="e">
        <f>BY13+BY14</f>
        <v>#REF!</v>
      </c>
      <c r="BZ16" s="296"/>
      <c r="CA16" s="302"/>
      <c r="CB16" s="299"/>
      <c r="CC16" s="299"/>
      <c r="CD16" s="299"/>
      <c r="CE16" s="299"/>
      <c r="CF16" s="299"/>
      <c r="CG16" s="299"/>
      <c r="CH16" s="299"/>
      <c r="CI16" s="300" t="s">
        <v>471</v>
      </c>
      <c r="CJ16" s="301" t="e">
        <f>CJ13+CJ14</f>
        <v>#REF!</v>
      </c>
      <c r="CK16" s="296"/>
      <c r="CL16" s="302"/>
      <c r="CM16" s="299"/>
      <c r="CN16" s="299"/>
      <c r="CO16" s="299"/>
      <c r="CP16" s="299"/>
      <c r="CQ16" s="299"/>
      <c r="CR16" s="299"/>
      <c r="CS16" s="299"/>
      <c r="CT16" s="300" t="s">
        <v>471</v>
      </c>
      <c r="CU16" s="301">
        <f>CU13+CU14</f>
        <v>10.624626584355802</v>
      </c>
      <c r="CV16" s="296"/>
      <c r="CW16" s="302"/>
      <c r="CX16" s="299"/>
      <c r="CY16" s="299"/>
      <c r="CZ16" s="299"/>
      <c r="DA16" s="299"/>
      <c r="DB16" s="299"/>
      <c r="DC16" s="299"/>
      <c r="DD16" s="299"/>
      <c r="DE16" s="300" t="s">
        <v>471</v>
      </c>
      <c r="DF16" s="301" t="e">
        <f>DF13+DF14</f>
        <v>#REF!</v>
      </c>
      <c r="DG16" s="296"/>
      <c r="DH16" s="302"/>
      <c r="DI16" s="299"/>
      <c r="DJ16" s="299"/>
      <c r="DK16" s="299"/>
      <c r="DL16" s="299"/>
      <c r="DM16" s="299"/>
      <c r="DN16" s="299"/>
      <c r="DO16" s="299"/>
      <c r="DP16" s="300" t="s">
        <v>471</v>
      </c>
      <c r="DQ16" s="301" t="e">
        <f>DQ13+DQ14</f>
        <v>#DIV/0!</v>
      </c>
      <c r="DR16" s="296"/>
      <c r="DS16" s="302"/>
      <c r="DT16" s="299"/>
      <c r="DU16" s="299"/>
      <c r="DV16" s="299"/>
      <c r="DW16" s="299"/>
      <c r="DX16" s="299"/>
      <c r="DY16" s="299"/>
      <c r="DZ16" s="299"/>
      <c r="EA16" s="300" t="s">
        <v>471</v>
      </c>
      <c r="EB16" s="301" t="e">
        <f>EB13+EB14</f>
        <v>#DIV/0!</v>
      </c>
      <c r="EC16" s="296"/>
      <c r="ED16" s="302"/>
      <c r="EE16" s="299"/>
      <c r="EF16" s="299"/>
      <c r="EG16" s="299"/>
      <c r="EH16" s="299"/>
      <c r="EI16" s="299"/>
      <c r="EJ16" s="299"/>
      <c r="EK16" s="299"/>
      <c r="EL16" s="300" t="s">
        <v>471</v>
      </c>
      <c r="EM16" s="301">
        <f>EM13+EM14</f>
        <v>85.667732163877119</v>
      </c>
      <c r="EN16" s="296"/>
      <c r="EW16" s="260"/>
      <c r="EX16" s="296"/>
      <c r="FH16" s="260"/>
      <c r="FI16" s="296"/>
      <c r="FS16" s="260"/>
      <c r="FT16" s="296"/>
      <c r="GD16" s="260"/>
      <c r="GE16" s="296"/>
    </row>
    <row r="17" spans="2:232" ht="12" customHeight="1">
      <c r="J17" s="260"/>
      <c r="K17" s="296"/>
      <c r="U17" s="260"/>
      <c r="V17" s="296"/>
      <c r="CI17" s="260"/>
      <c r="CJ17" s="296"/>
      <c r="EB17" s="260"/>
    </row>
    <row r="18" spans="2:232" ht="12" customHeight="1" thickBot="1">
      <c r="B18" s="256" t="s">
        <v>425</v>
      </c>
      <c r="C18" s="258" t="s">
        <v>472</v>
      </c>
      <c r="M18" s="256" t="s">
        <v>425</v>
      </c>
      <c r="N18" s="256" t="s">
        <v>473</v>
      </c>
      <c r="X18" s="256" t="s">
        <v>425</v>
      </c>
      <c r="Y18" s="256" t="s">
        <v>474</v>
      </c>
      <c r="AI18" s="256" t="s">
        <v>425</v>
      </c>
      <c r="AJ18" s="256" t="s">
        <v>475</v>
      </c>
      <c r="AT18" s="256" t="s">
        <v>425</v>
      </c>
      <c r="AU18" s="256" t="s">
        <v>476</v>
      </c>
      <c r="BE18" s="256" t="s">
        <v>425</v>
      </c>
      <c r="BF18" s="256" t="s">
        <v>477</v>
      </c>
      <c r="BP18" s="256" t="s">
        <v>425</v>
      </c>
      <c r="BQ18" s="256" t="s">
        <v>478</v>
      </c>
      <c r="CA18" s="256" t="s">
        <v>425</v>
      </c>
      <c r="CB18" s="256" t="s">
        <v>479</v>
      </c>
      <c r="CL18" s="256" t="s">
        <v>425</v>
      </c>
      <c r="CM18" s="256" t="s">
        <v>480</v>
      </c>
      <c r="CW18" s="256" t="s">
        <v>425</v>
      </c>
      <c r="CX18" s="256" t="s">
        <v>481</v>
      </c>
      <c r="DH18" s="256" t="s">
        <v>425</v>
      </c>
      <c r="DI18" s="256" t="s">
        <v>482</v>
      </c>
      <c r="DS18" s="256" t="s">
        <v>425</v>
      </c>
      <c r="DT18" s="256" t="s">
        <v>483</v>
      </c>
      <c r="ED18" s="256" t="s">
        <v>425</v>
      </c>
      <c r="EE18" s="258" t="s">
        <v>473</v>
      </c>
      <c r="EO18" s="462"/>
      <c r="EP18" s="462"/>
      <c r="EQ18" s="462"/>
      <c r="ER18" s="462"/>
      <c r="ES18" s="462"/>
      <c r="ET18" s="462"/>
      <c r="EU18" s="462"/>
      <c r="EV18" s="462"/>
      <c r="EW18" s="462"/>
      <c r="EX18" s="462"/>
      <c r="EY18" s="257"/>
    </row>
    <row r="19" spans="2:232" ht="12" customHeight="1">
      <c r="B19" s="263" t="s">
        <v>438</v>
      </c>
      <c r="C19" s="264" t="str">
        <f>'[3]Storm Sewer -10yr'!C22</f>
        <v>I-04</v>
      </c>
      <c r="D19" s="265" t="s">
        <v>439</v>
      </c>
      <c r="E19" s="264" t="e">
        <f>'10 Yr Pipe Capacity'!#REF!</f>
        <v>#REF!</v>
      </c>
      <c r="F19" s="266" t="s">
        <v>48</v>
      </c>
      <c r="G19" s="267"/>
      <c r="H19" s="266" t="s">
        <v>440</v>
      </c>
      <c r="I19" s="268"/>
      <c r="J19" s="265" t="s">
        <v>441</v>
      </c>
      <c r="K19" s="270" t="e">
        <f>K16</f>
        <v>#REF!</v>
      </c>
      <c r="M19" s="263" t="s">
        <v>438</v>
      </c>
      <c r="N19" s="264" t="e">
        <f>'[3]Storm Sewer -10yr'!#REF!</f>
        <v>#REF!</v>
      </c>
      <c r="O19" s="265" t="s">
        <v>439</v>
      </c>
      <c r="P19" s="264" t="e">
        <f>'[3]Storm Sewer -10yr'!#REF!</f>
        <v>#REF!</v>
      </c>
      <c r="Q19" s="266" t="s">
        <v>48</v>
      </c>
      <c r="R19" s="267"/>
      <c r="S19" s="266" t="s">
        <v>440</v>
      </c>
      <c r="T19" s="268"/>
      <c r="U19" s="265" t="s">
        <v>442</v>
      </c>
      <c r="V19" s="270" t="e">
        <f>V16</f>
        <v>#REF!</v>
      </c>
      <c r="X19" s="263" t="s">
        <v>438</v>
      </c>
      <c r="Y19" s="264" t="e">
        <f>'[3]Storm Sewer -10yr'!#REF!</f>
        <v>#REF!</v>
      </c>
      <c r="Z19" s="265" t="s">
        <v>439</v>
      </c>
      <c r="AA19" s="264" t="e">
        <f>'[3]Storm Sewer -10yr'!#REF!</f>
        <v>#REF!</v>
      </c>
      <c r="AB19" s="266" t="s">
        <v>48</v>
      </c>
      <c r="AC19" s="267"/>
      <c r="AD19" s="266" t="s">
        <v>440</v>
      </c>
      <c r="AE19" s="268"/>
      <c r="AF19" s="265" t="s">
        <v>442</v>
      </c>
      <c r="AG19" s="270">
        <v>4.2</v>
      </c>
      <c r="AI19" s="263" t="s">
        <v>438</v>
      </c>
      <c r="AJ19" s="264" t="e">
        <f>'[3]Storm Sewer -10yr'!#REF!</f>
        <v>#REF!</v>
      </c>
      <c r="AK19" s="265" t="s">
        <v>439</v>
      </c>
      <c r="AL19" s="264" t="e">
        <f>'[3]Storm Sewer -10yr'!#REF!</f>
        <v>#REF!</v>
      </c>
      <c r="AM19" s="266" t="s">
        <v>48</v>
      </c>
      <c r="AN19" s="267"/>
      <c r="AO19" s="266" t="s">
        <v>440</v>
      </c>
      <c r="AP19" s="268"/>
      <c r="AQ19" s="265" t="s">
        <v>442</v>
      </c>
      <c r="AR19" s="270">
        <v>3.82</v>
      </c>
      <c r="AS19" s="262"/>
      <c r="AT19" s="263" t="s">
        <v>438</v>
      </c>
      <c r="AU19" s="264" t="e">
        <f>'[3]Storm Sewer -10yr'!#REF!</f>
        <v>#REF!</v>
      </c>
      <c r="AV19" s="265" t="s">
        <v>439</v>
      </c>
      <c r="AW19" s="264" t="e">
        <f>'[3]Storm Sewer -10yr'!#REF!</f>
        <v>#REF!</v>
      </c>
      <c r="AX19" s="266" t="s">
        <v>48</v>
      </c>
      <c r="AY19" s="267"/>
      <c r="AZ19" s="266" t="s">
        <v>440</v>
      </c>
      <c r="BA19" s="268"/>
      <c r="BB19" s="265" t="s">
        <v>442</v>
      </c>
      <c r="BC19" s="270">
        <v>3.97</v>
      </c>
      <c r="BD19" s="262"/>
      <c r="BE19" s="263" t="s">
        <v>438</v>
      </c>
      <c r="BF19" s="264" t="e">
        <f>'[3]Storm Sewer -10yr'!#REF!</f>
        <v>#REF!</v>
      </c>
      <c r="BG19" s="265" t="s">
        <v>439</v>
      </c>
      <c r="BH19" s="264" t="e">
        <f>'[3]Storm Sewer -10yr'!#REF!</f>
        <v>#REF!</v>
      </c>
      <c r="BI19" s="266" t="s">
        <v>48</v>
      </c>
      <c r="BJ19" s="267"/>
      <c r="BK19" s="266" t="s">
        <v>440</v>
      </c>
      <c r="BL19" s="268"/>
      <c r="BM19" s="265" t="s">
        <v>442</v>
      </c>
      <c r="BN19" s="270">
        <v>5.6</v>
      </c>
      <c r="BO19" s="262"/>
      <c r="BP19" s="263" t="s">
        <v>438</v>
      </c>
      <c r="BQ19" s="264" t="e">
        <f>'[3]Storm Sewer -10yr'!#REF!</f>
        <v>#REF!</v>
      </c>
      <c r="BR19" s="265" t="s">
        <v>439</v>
      </c>
      <c r="BS19" s="264" t="e">
        <f>'[3]Storm Sewer -10yr'!#REF!</f>
        <v>#REF!</v>
      </c>
      <c r="BT19" s="266" t="s">
        <v>48</v>
      </c>
      <c r="BU19" s="267"/>
      <c r="BV19" s="266" t="s">
        <v>440</v>
      </c>
      <c r="BW19" s="268"/>
      <c r="BX19" s="265" t="s">
        <v>442</v>
      </c>
      <c r="BY19" s="270">
        <v>4.72</v>
      </c>
      <c r="CA19" s="263" t="s">
        <v>438</v>
      </c>
      <c r="CB19" s="264" t="e">
        <f>'[3]Storm Sewer -10yr'!#REF!</f>
        <v>#REF!</v>
      </c>
      <c r="CC19" s="265" t="s">
        <v>439</v>
      </c>
      <c r="CD19" s="264" t="e">
        <f>'[3]Storm Sewer -10yr'!#REF!</f>
        <v>#REF!</v>
      </c>
      <c r="CE19" s="266" t="s">
        <v>48</v>
      </c>
      <c r="CF19" s="267"/>
      <c r="CG19" s="266" t="s">
        <v>440</v>
      </c>
      <c r="CH19" s="268"/>
      <c r="CI19" s="265" t="s">
        <v>442</v>
      </c>
      <c r="CJ19" s="270" t="e">
        <f>CJ16</f>
        <v>#REF!</v>
      </c>
      <c r="CK19" s="262"/>
      <c r="CL19" s="263" t="s">
        <v>438</v>
      </c>
      <c r="CM19" s="264" t="str">
        <f>'[3]Storm Sewer -10yr'!C16</f>
        <v>MH-02</v>
      </c>
      <c r="CN19" s="265" t="s">
        <v>439</v>
      </c>
      <c r="CO19" s="264" t="str">
        <f>'[3]Storm Sewer -10yr'!B16</f>
        <v xml:space="preserve">I-01 </v>
      </c>
      <c r="CP19" s="266" t="s">
        <v>48</v>
      </c>
      <c r="CQ19" s="267"/>
      <c r="CR19" s="266" t="s">
        <v>440</v>
      </c>
      <c r="CS19" s="268"/>
      <c r="CT19" s="265" t="s">
        <v>442</v>
      </c>
      <c r="CU19" s="270">
        <f>CU16</f>
        <v>10.624626584355802</v>
      </c>
      <c r="CV19" s="262"/>
      <c r="CW19" s="263" t="s">
        <v>438</v>
      </c>
      <c r="CX19" s="264" t="e">
        <f>'[3]Storm Sewer -10yr'!#REF!</f>
        <v>#REF!</v>
      </c>
      <c r="CY19" s="265" t="s">
        <v>439</v>
      </c>
      <c r="CZ19" s="264" t="e">
        <f>'[3]Storm Sewer -10yr'!#REF!</f>
        <v>#REF!</v>
      </c>
      <c r="DA19" s="266" t="s">
        <v>48</v>
      </c>
      <c r="DB19" s="267"/>
      <c r="DC19" s="266" t="s">
        <v>440</v>
      </c>
      <c r="DD19" s="268"/>
      <c r="DE19" s="265" t="s">
        <v>442</v>
      </c>
      <c r="DF19" s="270" t="e">
        <f>DF16</f>
        <v>#REF!</v>
      </c>
      <c r="DG19" s="262"/>
      <c r="DH19" s="263" t="s">
        <v>438</v>
      </c>
      <c r="DI19" s="264">
        <f>'[3]Storm Sewer -10yr'!C27</f>
        <v>0</v>
      </c>
      <c r="DJ19" s="265" t="s">
        <v>439</v>
      </c>
      <c r="DK19" s="264">
        <f>'[3]Storm Sewer -10yr'!B27</f>
        <v>0</v>
      </c>
      <c r="DL19" s="266" t="s">
        <v>48</v>
      </c>
      <c r="DM19" s="267"/>
      <c r="DN19" s="266" t="s">
        <v>440</v>
      </c>
      <c r="DO19" s="268"/>
      <c r="DP19" s="265" t="s">
        <v>442</v>
      </c>
      <c r="DQ19" s="270">
        <v>7.65</v>
      </c>
      <c r="DR19" s="262"/>
      <c r="DS19" s="263" t="s">
        <v>438</v>
      </c>
      <c r="DT19" s="264">
        <f>'[3]Storm Sewer -10yr'!C35</f>
        <v>0</v>
      </c>
      <c r="DU19" s="265" t="s">
        <v>439</v>
      </c>
      <c r="DV19" s="264">
        <f>'[3]Storm Sewer -10yr'!B35</f>
        <v>0</v>
      </c>
      <c r="DW19" s="266" t="s">
        <v>48</v>
      </c>
      <c r="DX19" s="267"/>
      <c r="DY19" s="266" t="s">
        <v>440</v>
      </c>
      <c r="DZ19" s="268"/>
      <c r="EA19" s="265" t="s">
        <v>442</v>
      </c>
      <c r="EB19" s="270">
        <v>11.73</v>
      </c>
      <c r="EC19" s="262"/>
      <c r="ED19" s="263" t="s">
        <v>438</v>
      </c>
      <c r="EE19" s="264" t="str">
        <f>'[3]Storm Sewer -10yr'!C17</f>
        <v>I-02</v>
      </c>
      <c r="EF19" s="265" t="s">
        <v>439</v>
      </c>
      <c r="EG19" s="264" t="str">
        <f>'[3]Storm Sewer -10yr'!B17</f>
        <v xml:space="preserve">MH-02 </v>
      </c>
      <c r="EH19" s="266" t="s">
        <v>48</v>
      </c>
      <c r="EI19" s="267"/>
      <c r="EJ19" s="266" t="s">
        <v>440</v>
      </c>
      <c r="EK19" s="268"/>
      <c r="EL19" s="265" t="s">
        <v>442</v>
      </c>
      <c r="EM19" s="270">
        <f>EM16</f>
        <v>85.667732163877119</v>
      </c>
      <c r="EN19" s="262"/>
      <c r="EZ19" s="260"/>
      <c r="FA19" s="271"/>
      <c r="FB19" s="260"/>
      <c r="FC19" s="271"/>
      <c r="FD19" s="261"/>
      <c r="FE19" s="259"/>
      <c r="FF19" s="261"/>
      <c r="FH19" s="260"/>
      <c r="FI19" s="262"/>
      <c r="FK19" s="260"/>
      <c r="FL19" s="304"/>
      <c r="FM19" s="260"/>
      <c r="FN19" s="271"/>
      <c r="FO19" s="261"/>
      <c r="FP19" s="259"/>
      <c r="FQ19" s="261"/>
      <c r="FS19" s="260"/>
      <c r="FT19" s="262"/>
      <c r="FV19" s="260"/>
      <c r="FW19" s="271"/>
      <c r="FX19" s="260"/>
      <c r="FY19" s="271"/>
      <c r="FZ19" s="261"/>
      <c r="GA19" s="259"/>
      <c r="GB19" s="261"/>
      <c r="GD19" s="260"/>
      <c r="GE19" s="262"/>
      <c r="HO19" s="260"/>
      <c r="HQ19" s="260"/>
      <c r="HS19" s="261"/>
      <c r="HT19" s="259"/>
      <c r="HU19" s="261"/>
      <c r="HW19" s="260"/>
      <c r="HX19" s="262"/>
    </row>
    <row r="20" spans="2:232" ht="12" customHeight="1">
      <c r="B20" s="274"/>
      <c r="C20" s="260" t="s">
        <v>443</v>
      </c>
      <c r="D20" s="275" t="e">
        <f>E19</f>
        <v>#REF!</v>
      </c>
      <c r="F20" s="272">
        <f>'[3]Storm Sewer -10yr'!R22</f>
        <v>56</v>
      </c>
      <c r="G20" s="260" t="s">
        <v>444</v>
      </c>
      <c r="H20" s="273">
        <f>'[3]Storm Sewer -10yr'!AM22</f>
        <v>4.6605777165358757E-3</v>
      </c>
      <c r="J20" s="260" t="s">
        <v>445</v>
      </c>
      <c r="K20" s="276">
        <f>F23+(C23/12)</f>
        <v>81.150000000000006</v>
      </c>
      <c r="M20" s="274"/>
      <c r="N20" s="260" t="s">
        <v>443</v>
      </c>
      <c r="O20" s="275" t="e">
        <f>P19</f>
        <v>#REF!</v>
      </c>
      <c r="Q20" s="272" t="e">
        <f>'[3]Storm Sewer -10yr'!#REF!</f>
        <v>#REF!</v>
      </c>
      <c r="R20" s="260" t="s">
        <v>444</v>
      </c>
      <c r="S20" s="273" t="e">
        <f>'[3]Storm Sewer -10yr'!#REF!</f>
        <v>#REF!</v>
      </c>
      <c r="U20" s="260" t="s">
        <v>445</v>
      </c>
      <c r="V20" s="276" t="e">
        <f>Q23+(N23/12)</f>
        <v>#REF!</v>
      </c>
      <c r="X20" s="274"/>
      <c r="Y20" s="260" t="s">
        <v>443</v>
      </c>
      <c r="Z20" s="275" t="e">
        <f>AA19</f>
        <v>#REF!</v>
      </c>
      <c r="AB20" s="272" t="e">
        <f>'[3]Storm Sewer -10yr'!#REF!</f>
        <v>#REF!</v>
      </c>
      <c r="AC20" s="260" t="s">
        <v>444</v>
      </c>
      <c r="AD20" s="273" t="e">
        <f>'[3]Storm Sewer -10yr'!#REF!</f>
        <v>#REF!</v>
      </c>
      <c r="AF20" s="260" t="s">
        <v>445</v>
      </c>
      <c r="AG20" s="277" t="e">
        <f>AB23+(Y23/12)</f>
        <v>#REF!</v>
      </c>
      <c r="AI20" s="274"/>
      <c r="AJ20" s="260" t="s">
        <v>443</v>
      </c>
      <c r="AK20" s="275" t="e">
        <f>AL19</f>
        <v>#REF!</v>
      </c>
      <c r="AM20" s="272" t="e">
        <f>'[3]Storm Sewer -10yr'!#REF!</f>
        <v>#REF!</v>
      </c>
      <c r="AN20" s="260" t="s">
        <v>444</v>
      </c>
      <c r="AO20" s="273" t="e">
        <f>'[3]Storm Sewer -10yr'!#REF!</f>
        <v>#REF!</v>
      </c>
      <c r="AQ20" s="260" t="s">
        <v>445</v>
      </c>
      <c r="AR20" s="277" t="e">
        <f>AM23+(AJ23/12)</f>
        <v>#REF!</v>
      </c>
      <c r="AS20" s="262"/>
      <c r="AT20" s="274"/>
      <c r="AU20" s="260" t="s">
        <v>443</v>
      </c>
      <c r="AV20" s="275" t="e">
        <f>AW19</f>
        <v>#REF!</v>
      </c>
      <c r="AX20" s="272" t="e">
        <f>'[3]Storm Sewer -10yr'!#REF!</f>
        <v>#REF!</v>
      </c>
      <c r="AY20" s="260" t="s">
        <v>444</v>
      </c>
      <c r="AZ20" s="273" t="e">
        <f>'[3]Storm Sewer -10yr'!#REF!</f>
        <v>#REF!</v>
      </c>
      <c r="BB20" s="260" t="s">
        <v>445</v>
      </c>
      <c r="BC20" s="277" t="e">
        <f>AX23+(AU23/12)</f>
        <v>#REF!</v>
      </c>
      <c r="BD20" s="262"/>
      <c r="BE20" s="274"/>
      <c r="BF20" s="260" t="s">
        <v>443</v>
      </c>
      <c r="BG20" s="275" t="e">
        <f>BH19</f>
        <v>#REF!</v>
      </c>
      <c r="BI20" s="272" t="e">
        <f>'[3]Storm Sewer -10yr'!#REF!</f>
        <v>#REF!</v>
      </c>
      <c r="BJ20" s="260" t="s">
        <v>444</v>
      </c>
      <c r="BK20" s="273" t="e">
        <f>'[3]Storm Sewer -10yr'!#REF!</f>
        <v>#REF!</v>
      </c>
      <c r="BM20" s="260" t="s">
        <v>445</v>
      </c>
      <c r="BN20" s="277" t="e">
        <f>BI23+(BF23/12)</f>
        <v>#REF!</v>
      </c>
      <c r="BO20" s="262"/>
      <c r="BP20" s="274"/>
      <c r="BQ20" s="260" t="s">
        <v>443</v>
      </c>
      <c r="BR20" s="275" t="e">
        <f>BS19</f>
        <v>#REF!</v>
      </c>
      <c r="BT20" s="272" t="e">
        <f>'[3]Storm Sewer -10yr'!#REF!</f>
        <v>#REF!</v>
      </c>
      <c r="BU20" s="260" t="s">
        <v>444</v>
      </c>
      <c r="BV20" s="273" t="e">
        <f>'[3]Storm Sewer -10yr'!#REF!</f>
        <v>#REF!</v>
      </c>
      <c r="BX20" s="260" t="s">
        <v>445</v>
      </c>
      <c r="BY20" s="277" t="e">
        <f>BT23+(BQ23/12)</f>
        <v>#REF!</v>
      </c>
      <c r="CA20" s="274"/>
      <c r="CB20" s="260" t="s">
        <v>443</v>
      </c>
      <c r="CC20" s="275" t="e">
        <f>CD19</f>
        <v>#REF!</v>
      </c>
      <c r="CE20" s="272" t="e">
        <f>'[3]Storm Sewer -10yr'!#REF!</f>
        <v>#REF!</v>
      </c>
      <c r="CF20" s="260" t="s">
        <v>444</v>
      </c>
      <c r="CG20" s="273" t="e">
        <f>'[3]Storm Sewer -10yr'!#REF!</f>
        <v>#REF!</v>
      </c>
      <c r="CI20" s="260" t="s">
        <v>445</v>
      </c>
      <c r="CJ20" s="277" t="e">
        <f>CE23+(CB23/12)</f>
        <v>#REF!</v>
      </c>
      <c r="CK20" s="262"/>
      <c r="CL20" s="274"/>
      <c r="CM20" s="260" t="s">
        <v>443</v>
      </c>
      <c r="CN20" s="275" t="str">
        <f>CO19</f>
        <v xml:space="preserve">I-01 </v>
      </c>
      <c r="CP20" s="272">
        <f>'[3]Storm Sewer -10yr'!R16</f>
        <v>39</v>
      </c>
      <c r="CQ20" s="260" t="s">
        <v>444</v>
      </c>
      <c r="CR20" s="273">
        <f>'[3]Storm Sewer -10yr'!AM16</f>
        <v>6.6265312461614024E-4</v>
      </c>
      <c r="CT20" s="260" t="s">
        <v>445</v>
      </c>
      <c r="CU20" s="277">
        <f>CP23+(CM23/12)</f>
        <v>7.26</v>
      </c>
      <c r="CV20" s="262"/>
      <c r="CW20" s="274"/>
      <c r="CX20" s="260" t="s">
        <v>443</v>
      </c>
      <c r="CY20" s="275" t="e">
        <f>CZ19</f>
        <v>#REF!</v>
      </c>
      <c r="DA20" s="272" t="e">
        <f>'[3]Storm Sewer -10yr'!#REF!</f>
        <v>#REF!</v>
      </c>
      <c r="DB20" s="260" t="s">
        <v>444</v>
      </c>
      <c r="DC20" s="273" t="e">
        <f>'[3]Storm Sewer -10yr'!#REF!</f>
        <v>#REF!</v>
      </c>
      <c r="DE20" s="260" t="s">
        <v>445</v>
      </c>
      <c r="DF20" s="277" t="e">
        <f>DA23+(CX23/12)</f>
        <v>#REF!</v>
      </c>
      <c r="DG20" s="262"/>
      <c r="DH20" s="274"/>
      <c r="DI20" s="260" t="s">
        <v>443</v>
      </c>
      <c r="DJ20" s="275">
        <f>DK19</f>
        <v>0</v>
      </c>
      <c r="DL20" s="272">
        <f>'[3]Storm Sewer -10yr'!R27</f>
        <v>0</v>
      </c>
      <c r="DM20" s="260" t="s">
        <v>444</v>
      </c>
      <c r="DN20" s="273" t="e">
        <f>'[3]Storm Sewer -10yr'!AM27</f>
        <v>#DIV/0!</v>
      </c>
      <c r="DP20" s="260" t="s">
        <v>445</v>
      </c>
      <c r="DQ20" s="277">
        <f>DL23+(DI23/12)</f>
        <v>5.5</v>
      </c>
      <c r="DR20" s="262"/>
      <c r="DS20" s="274"/>
      <c r="DT20" s="260" t="s">
        <v>443</v>
      </c>
      <c r="DU20" s="275">
        <f>DV19</f>
        <v>0</v>
      </c>
      <c r="DW20" s="272">
        <f>'[3]Storm Sewer -10yr'!R35</f>
        <v>0</v>
      </c>
      <c r="DX20" s="260" t="s">
        <v>444</v>
      </c>
      <c r="DY20" s="273" t="e">
        <f>'[3]Storm Sewer -10yr'!AM35</f>
        <v>#DIV/0!</v>
      </c>
      <c r="EA20" s="260" t="s">
        <v>445</v>
      </c>
      <c r="EB20" s="277">
        <f>DW23+(DT23/12)</f>
        <v>10.95</v>
      </c>
      <c r="EC20" s="262"/>
      <c r="ED20" s="274"/>
      <c r="EE20" s="260" t="s">
        <v>443</v>
      </c>
      <c r="EF20" s="275" t="str">
        <f>EG19</f>
        <v xml:space="preserve">MH-02 </v>
      </c>
      <c r="EH20" s="272">
        <f>'[3]Storm Sewer -10yr'!R17</f>
        <v>19</v>
      </c>
      <c r="EI20" s="260" t="s">
        <v>444</v>
      </c>
      <c r="EJ20" s="273">
        <f>'[3]Storm Sewer -10yr'!AM17</f>
        <v>6.5880049833359452E-4</v>
      </c>
      <c r="EL20" s="260" t="s">
        <v>445</v>
      </c>
      <c r="EM20" s="277">
        <f>EH23+(EE23/12)</f>
        <v>69.7</v>
      </c>
      <c r="EN20" s="262"/>
      <c r="EO20" s="260"/>
      <c r="EP20" s="271"/>
      <c r="EQ20" s="260"/>
      <c r="ER20" s="271"/>
      <c r="ES20" s="261"/>
      <c r="ET20" s="259"/>
      <c r="EU20" s="261"/>
      <c r="EW20" s="260"/>
      <c r="EX20" s="262"/>
      <c r="FA20" s="260"/>
      <c r="FD20" s="272"/>
      <c r="FE20" s="260"/>
      <c r="FF20" s="273"/>
      <c r="FH20" s="260"/>
      <c r="FI20" s="262"/>
      <c r="FL20" s="260"/>
      <c r="FO20" s="272"/>
      <c r="FP20" s="260"/>
      <c r="FQ20" s="273"/>
      <c r="FS20" s="260"/>
      <c r="FT20" s="262"/>
      <c r="FW20" s="260"/>
      <c r="FZ20" s="272"/>
      <c r="GA20" s="260"/>
      <c r="GB20" s="273"/>
      <c r="GD20" s="260"/>
      <c r="GE20" s="262"/>
      <c r="GG20" s="260"/>
      <c r="GI20" s="261"/>
      <c r="GJ20" s="259"/>
      <c r="GK20" s="261"/>
      <c r="GM20" s="260"/>
      <c r="GN20" s="262"/>
      <c r="GQ20" s="260"/>
      <c r="GS20" s="260"/>
      <c r="GU20" s="261"/>
      <c r="GV20" s="259"/>
      <c r="GW20" s="261"/>
      <c r="GY20" s="260"/>
      <c r="GZ20" s="262"/>
      <c r="HC20" s="260"/>
      <c r="HE20" s="260"/>
      <c r="HG20" s="261"/>
      <c r="HH20" s="259"/>
      <c r="HI20" s="261"/>
      <c r="HK20" s="260"/>
      <c r="HL20" s="262"/>
      <c r="HP20" s="260"/>
      <c r="HS20" s="272"/>
      <c r="HT20" s="260"/>
      <c r="HU20" s="273"/>
      <c r="HW20" s="260"/>
      <c r="HX20" s="262"/>
    </row>
    <row r="21" spans="2:232" ht="12" customHeight="1">
      <c r="B21" s="274"/>
      <c r="K21" s="278"/>
      <c r="M21" s="274"/>
      <c r="V21" s="278"/>
      <c r="X21" s="274"/>
      <c r="AG21" s="278"/>
      <c r="AI21" s="274"/>
      <c r="AR21" s="278"/>
      <c r="AT21" s="274"/>
      <c r="BC21" s="278"/>
      <c r="BE21" s="274"/>
      <c r="BN21" s="278"/>
      <c r="BP21" s="274"/>
      <c r="BY21" s="278"/>
      <c r="CA21" s="274"/>
      <c r="CJ21" s="278"/>
      <c r="CL21" s="274"/>
      <c r="CU21" s="278"/>
      <c r="CW21" s="274"/>
      <c r="DF21" s="278"/>
      <c r="DH21" s="274"/>
      <c r="DQ21" s="278"/>
      <c r="DS21" s="274"/>
      <c r="EB21" s="278"/>
      <c r="ED21" s="274"/>
      <c r="EM21" s="278"/>
      <c r="EP21" s="260"/>
      <c r="ES21" s="272"/>
      <c r="ET21" s="260"/>
      <c r="EU21" s="273"/>
      <c r="EW21" s="260"/>
      <c r="EX21" s="262"/>
      <c r="GF21" s="260"/>
      <c r="GI21" s="272"/>
      <c r="GJ21" s="260"/>
      <c r="GK21" s="273"/>
      <c r="GM21" s="260"/>
      <c r="GN21" s="262"/>
      <c r="GR21" s="260"/>
      <c r="GU21" s="272"/>
      <c r="GV21" s="260"/>
      <c r="GW21" s="273"/>
      <c r="GY21" s="260"/>
      <c r="GZ21" s="262"/>
      <c r="HD21" s="260"/>
      <c r="HG21" s="272"/>
      <c r="HH21" s="260"/>
      <c r="HI21" s="273"/>
      <c r="HK21" s="260"/>
      <c r="HL21" s="259"/>
    </row>
    <row r="22" spans="2:232" ht="12" customHeight="1">
      <c r="B22" s="283" t="s">
        <v>446</v>
      </c>
      <c r="C22" s="284">
        <v>84.25</v>
      </c>
      <c r="D22" s="457" t="s">
        <v>447</v>
      </c>
      <c r="E22" s="457"/>
      <c r="F22" s="285">
        <v>80.75</v>
      </c>
      <c r="H22" s="458" t="s">
        <v>448</v>
      </c>
      <c r="I22" s="458"/>
      <c r="J22" s="260" t="s">
        <v>449</v>
      </c>
      <c r="K22" s="277">
        <f>F20*H20</f>
        <v>0.26099235212600902</v>
      </c>
      <c r="M22" s="283" t="s">
        <v>446</v>
      </c>
      <c r="N22" s="284">
        <v>8.9499999999999993</v>
      </c>
      <c r="O22" s="457" t="s">
        <v>447</v>
      </c>
      <c r="P22" s="457"/>
      <c r="Q22" s="282">
        <v>3.62</v>
      </c>
      <c r="S22" s="458" t="s">
        <v>448</v>
      </c>
      <c r="T22" s="458"/>
      <c r="U22" s="260" t="s">
        <v>449</v>
      </c>
      <c r="V22" s="277" t="e">
        <f>Q20*S20</f>
        <v>#REF!</v>
      </c>
      <c r="X22" s="283" t="s">
        <v>446</v>
      </c>
      <c r="Y22" s="284">
        <v>6.55</v>
      </c>
      <c r="Z22" s="457" t="s">
        <v>447</v>
      </c>
      <c r="AA22" s="457"/>
      <c r="AB22" s="285">
        <v>3.55</v>
      </c>
      <c r="AD22" s="458" t="s">
        <v>448</v>
      </c>
      <c r="AE22" s="458"/>
      <c r="AF22" s="260" t="s">
        <v>449</v>
      </c>
      <c r="AG22" s="277" t="e">
        <f>AB20*AD20</f>
        <v>#REF!</v>
      </c>
      <c r="AI22" s="283" t="s">
        <v>450</v>
      </c>
      <c r="AJ22" s="284">
        <v>8.89</v>
      </c>
      <c r="AK22" s="457" t="s">
        <v>447</v>
      </c>
      <c r="AL22" s="457"/>
      <c r="AM22" s="285">
        <v>0.1</v>
      </c>
      <c r="AO22" s="458" t="s">
        <v>448</v>
      </c>
      <c r="AP22" s="458"/>
      <c r="AQ22" s="260" t="s">
        <v>449</v>
      </c>
      <c r="AR22" s="277" t="e">
        <f>AM20*AO20</f>
        <v>#REF!</v>
      </c>
      <c r="AS22" s="262"/>
      <c r="AT22" s="283" t="s">
        <v>446</v>
      </c>
      <c r="AU22" s="281">
        <v>8</v>
      </c>
      <c r="AV22" s="457" t="s">
        <v>447</v>
      </c>
      <c r="AW22" s="457"/>
      <c r="AX22" s="285">
        <v>3.7</v>
      </c>
      <c r="AZ22" s="458" t="s">
        <v>448</v>
      </c>
      <c r="BA22" s="458"/>
      <c r="BB22" s="260" t="s">
        <v>449</v>
      </c>
      <c r="BC22" s="277" t="e">
        <f>AX20*AZ20</f>
        <v>#REF!</v>
      </c>
      <c r="BD22" s="262"/>
      <c r="BE22" s="283" t="s">
        <v>446</v>
      </c>
      <c r="BF22" s="281">
        <v>7.9</v>
      </c>
      <c r="BG22" s="457" t="s">
        <v>447</v>
      </c>
      <c r="BH22" s="457"/>
      <c r="BI22" s="282">
        <v>3.47</v>
      </c>
      <c r="BK22" s="458" t="s">
        <v>448</v>
      </c>
      <c r="BL22" s="458"/>
      <c r="BM22" s="260" t="s">
        <v>449</v>
      </c>
      <c r="BN22" s="277" t="e">
        <f>BI20*BK20</f>
        <v>#REF!</v>
      </c>
      <c r="BO22" s="262"/>
      <c r="BP22" s="283" t="s">
        <v>446</v>
      </c>
      <c r="BQ22" s="281">
        <v>7.3</v>
      </c>
      <c r="BR22" s="457" t="s">
        <v>447</v>
      </c>
      <c r="BS22" s="457"/>
      <c r="BT22" s="282">
        <v>1.52</v>
      </c>
      <c r="BV22" s="259" t="s">
        <v>448</v>
      </c>
      <c r="BW22" s="286"/>
      <c r="BX22" s="260" t="s">
        <v>449</v>
      </c>
      <c r="BY22" s="277" t="e">
        <f>BT20*BV20</f>
        <v>#REF!</v>
      </c>
      <c r="CA22" s="283" t="s">
        <v>446</v>
      </c>
      <c r="CB22" s="281">
        <v>11.45</v>
      </c>
      <c r="CC22" s="260" t="s">
        <v>447</v>
      </c>
      <c r="CD22" s="260"/>
      <c r="CE22" s="285">
        <v>7.21</v>
      </c>
      <c r="CG22" s="259" t="s">
        <v>448</v>
      </c>
      <c r="CH22" s="259"/>
      <c r="CI22" s="260" t="s">
        <v>449</v>
      </c>
      <c r="CJ22" s="277" t="e">
        <f>CE20*CG20</f>
        <v>#REF!</v>
      </c>
      <c r="CK22" s="262"/>
      <c r="CL22" s="283" t="s">
        <v>446</v>
      </c>
      <c r="CM22" s="281">
        <v>10.5</v>
      </c>
      <c r="CN22" s="457" t="s">
        <v>447</v>
      </c>
      <c r="CO22" s="457"/>
      <c r="CP22" s="282">
        <v>6.08</v>
      </c>
      <c r="CR22" s="259" t="s">
        <v>448</v>
      </c>
      <c r="CS22" s="286"/>
      <c r="CT22" s="260" t="s">
        <v>449</v>
      </c>
      <c r="CU22" s="277">
        <f>CP20*CR20</f>
        <v>2.5843471860029471E-2</v>
      </c>
      <c r="CV22" s="262"/>
      <c r="CW22" s="283" t="s">
        <v>450</v>
      </c>
      <c r="CX22" s="281">
        <v>10.8</v>
      </c>
      <c r="CY22" s="457" t="s">
        <v>447</v>
      </c>
      <c r="CZ22" s="457"/>
      <c r="DA22" s="282">
        <v>5.19</v>
      </c>
      <c r="DC22" s="458" t="s">
        <v>448</v>
      </c>
      <c r="DD22" s="458"/>
      <c r="DE22" s="260" t="s">
        <v>449</v>
      </c>
      <c r="DF22" s="277" t="e">
        <f>DA20*DC20</f>
        <v>#REF!</v>
      </c>
      <c r="DG22" s="262"/>
      <c r="DH22" s="283" t="s">
        <v>446</v>
      </c>
      <c r="DI22" s="281">
        <v>11.75</v>
      </c>
      <c r="DK22" s="260" t="s">
        <v>447</v>
      </c>
      <c r="DL22" s="285">
        <v>6</v>
      </c>
      <c r="DN22" s="259" t="s">
        <v>448</v>
      </c>
      <c r="DO22" s="259"/>
      <c r="DP22" s="260" t="s">
        <v>449</v>
      </c>
      <c r="DQ22" s="277" t="e">
        <f>DL20*DN20</f>
        <v>#DIV/0!</v>
      </c>
      <c r="DR22" s="262"/>
      <c r="DS22" s="283" t="s">
        <v>446</v>
      </c>
      <c r="DT22" s="281">
        <v>15.8</v>
      </c>
      <c r="DV22" s="260" t="s">
        <v>447</v>
      </c>
      <c r="DW22" s="282">
        <v>11.47</v>
      </c>
      <c r="DY22" s="259" t="s">
        <v>448</v>
      </c>
      <c r="DZ22" s="259"/>
      <c r="EA22" s="260" t="s">
        <v>449</v>
      </c>
      <c r="EB22" s="277" t="e">
        <f>DW20*DY20</f>
        <v>#DIV/0!</v>
      </c>
      <c r="EC22" s="262"/>
      <c r="ED22" s="283" t="s">
        <v>446</v>
      </c>
      <c r="EE22" s="281">
        <v>80.39</v>
      </c>
      <c r="EG22" s="260" t="s">
        <v>447</v>
      </c>
      <c r="EH22" s="285">
        <v>70</v>
      </c>
      <c r="EJ22" s="259" t="s">
        <v>448</v>
      </c>
      <c r="EK22" s="259"/>
      <c r="EL22" s="260" t="s">
        <v>449</v>
      </c>
      <c r="EM22" s="277">
        <f>EH20*EJ20</f>
        <v>1.2517209468338297E-2</v>
      </c>
      <c r="EN22" s="262"/>
      <c r="EZ22" s="260"/>
      <c r="FA22" s="279"/>
      <c r="FC22" s="260"/>
      <c r="FD22" s="259"/>
      <c r="FF22" s="259"/>
      <c r="FG22" s="259"/>
      <c r="FH22" s="260"/>
      <c r="FI22" s="262"/>
      <c r="FJ22" s="259"/>
      <c r="FK22" s="260"/>
      <c r="FL22" s="279"/>
      <c r="FN22" s="260"/>
      <c r="FO22" s="262"/>
      <c r="FQ22" s="259"/>
      <c r="FR22" s="259"/>
      <c r="FS22" s="260"/>
      <c r="FT22" s="262"/>
      <c r="FV22" s="260"/>
      <c r="FW22" s="279"/>
      <c r="FY22" s="260"/>
      <c r="FZ22" s="259"/>
      <c r="GB22" s="259"/>
      <c r="GC22" s="259"/>
      <c r="GD22" s="260"/>
      <c r="GE22" s="262"/>
      <c r="HO22" s="260"/>
      <c r="HP22" s="279"/>
      <c r="HS22" s="262"/>
      <c r="HW22" s="260"/>
      <c r="HX22" s="262"/>
    </row>
    <row r="23" spans="2:232" ht="12" customHeight="1">
      <c r="B23" s="283" t="s">
        <v>451</v>
      </c>
      <c r="C23" s="287">
        <f>'[3]Storm Sewer -10yr'!N22</f>
        <v>15</v>
      </c>
      <c r="D23" s="457" t="s">
        <v>452</v>
      </c>
      <c r="E23" s="457"/>
      <c r="F23" s="288">
        <v>79.900000000000006</v>
      </c>
      <c r="H23" s="260" t="s">
        <v>453</v>
      </c>
      <c r="I23" s="256">
        <v>0</v>
      </c>
      <c r="J23" s="260" t="s">
        <v>454</v>
      </c>
      <c r="K23" s="289" t="e">
        <f>MAX(K19:K20)+K22</f>
        <v>#REF!</v>
      </c>
      <c r="M23" s="274" t="s">
        <v>451</v>
      </c>
      <c r="N23" s="287" t="e">
        <f>'[3]Storm Sewer -10yr'!#REF!</f>
        <v>#REF!</v>
      </c>
      <c r="O23" s="457" t="s">
        <v>452</v>
      </c>
      <c r="P23" s="457"/>
      <c r="Q23" s="288">
        <v>3.48</v>
      </c>
      <c r="S23" s="260" t="s">
        <v>453</v>
      </c>
      <c r="T23" s="256">
        <v>0</v>
      </c>
      <c r="U23" s="260" t="s">
        <v>454</v>
      </c>
      <c r="V23" s="289" t="e">
        <f>MAX(V19:V20)+V22</f>
        <v>#REF!</v>
      </c>
      <c r="X23" s="274" t="s">
        <v>451</v>
      </c>
      <c r="Y23" s="287" t="e">
        <f>'[3]Storm Sewer -10yr'!#REF!</f>
        <v>#REF!</v>
      </c>
      <c r="Z23" s="457" t="s">
        <v>452</v>
      </c>
      <c r="AA23" s="457"/>
      <c r="AB23" s="288">
        <v>2.65</v>
      </c>
      <c r="AD23" s="260" t="s">
        <v>453</v>
      </c>
      <c r="AE23" s="256">
        <v>0</v>
      </c>
      <c r="AF23" s="260" t="s">
        <v>454</v>
      </c>
      <c r="AG23" s="289" t="e">
        <f>MAX(AG19:AG20)+AG22</f>
        <v>#REF!</v>
      </c>
      <c r="AI23" s="274" t="s">
        <v>451</v>
      </c>
      <c r="AJ23" s="287" t="e">
        <f>'[3]Storm Sewer -10yr'!#REF!</f>
        <v>#REF!</v>
      </c>
      <c r="AK23" s="457" t="s">
        <v>452</v>
      </c>
      <c r="AL23" s="457"/>
      <c r="AM23" s="288">
        <v>-0.15</v>
      </c>
      <c r="AO23" s="260" t="s">
        <v>453</v>
      </c>
      <c r="AP23" s="256">
        <v>90</v>
      </c>
      <c r="AQ23" s="260" t="s">
        <v>454</v>
      </c>
      <c r="AR23" s="289" t="e">
        <f>MAX(AR19:AR20)+AR22</f>
        <v>#REF!</v>
      </c>
      <c r="AS23" s="262"/>
      <c r="AT23" s="274" t="s">
        <v>451</v>
      </c>
      <c r="AU23" s="287" t="e">
        <f>'[3]Storm Sewer -10yr'!#REF!</f>
        <v>#REF!</v>
      </c>
      <c r="AV23" s="457" t="s">
        <v>452</v>
      </c>
      <c r="AW23" s="457"/>
      <c r="AX23" s="288">
        <v>3</v>
      </c>
      <c r="AZ23" s="260" t="s">
        <v>453</v>
      </c>
      <c r="BA23" s="256">
        <v>0</v>
      </c>
      <c r="BB23" s="260" t="s">
        <v>454</v>
      </c>
      <c r="BC23" s="289" t="e">
        <f>MAX(BC19:BC20)+BC22</f>
        <v>#REF!</v>
      </c>
      <c r="BD23" s="262"/>
      <c r="BE23" s="274" t="s">
        <v>451</v>
      </c>
      <c r="BF23" s="287" t="e">
        <f>'[3]Storm Sewer -10yr'!#REF!</f>
        <v>#REF!</v>
      </c>
      <c r="BG23" s="457" t="s">
        <v>452</v>
      </c>
      <c r="BH23" s="457"/>
      <c r="BI23" s="287">
        <v>3.31</v>
      </c>
      <c r="BK23" s="260" t="s">
        <v>453</v>
      </c>
      <c r="BL23" s="259">
        <v>0</v>
      </c>
      <c r="BM23" s="260" t="s">
        <v>454</v>
      </c>
      <c r="BN23" s="289" t="e">
        <f>MAX(BN19:BN20)+BN22</f>
        <v>#REF!</v>
      </c>
      <c r="BO23" s="262"/>
      <c r="BP23" s="274" t="s">
        <v>451</v>
      </c>
      <c r="BQ23" s="287" t="e">
        <f>'[3]Storm Sewer -10yr'!#REF!</f>
        <v>#REF!</v>
      </c>
      <c r="BR23" s="457" t="s">
        <v>452</v>
      </c>
      <c r="BS23" s="457"/>
      <c r="BT23" s="288">
        <v>1</v>
      </c>
      <c r="BV23" s="260" t="s">
        <v>453</v>
      </c>
      <c r="BW23" s="256">
        <v>0</v>
      </c>
      <c r="BX23" s="260" t="s">
        <v>454</v>
      </c>
      <c r="BY23" s="289" t="e">
        <f>MAX(BY19:BY20)+BY22</f>
        <v>#REF!</v>
      </c>
      <c r="CA23" s="274" t="s">
        <v>451</v>
      </c>
      <c r="CB23" s="287" t="e">
        <f>'[3]Storm Sewer -10yr'!#REF!</f>
        <v>#REF!</v>
      </c>
      <c r="CC23" s="260" t="s">
        <v>452</v>
      </c>
      <c r="CD23" s="260"/>
      <c r="CE23" s="288">
        <v>7.17</v>
      </c>
      <c r="CG23" s="260" t="s">
        <v>453</v>
      </c>
      <c r="CH23" s="256">
        <v>0</v>
      </c>
      <c r="CI23" s="260" t="s">
        <v>454</v>
      </c>
      <c r="CJ23" s="289" t="e">
        <f>MAX(CJ19:CJ20)+CJ22</f>
        <v>#REF!</v>
      </c>
      <c r="CK23" s="262"/>
      <c r="CL23" s="274" t="s">
        <v>451</v>
      </c>
      <c r="CM23" s="287">
        <f>'[3]Storm Sewer -10yr'!N16</f>
        <v>18</v>
      </c>
      <c r="CN23" s="457" t="s">
        <v>452</v>
      </c>
      <c r="CO23" s="457"/>
      <c r="CP23" s="287">
        <v>5.76</v>
      </c>
      <c r="CR23" s="260" t="s">
        <v>453</v>
      </c>
      <c r="CS23" s="259">
        <v>45</v>
      </c>
      <c r="CT23" s="260" t="s">
        <v>454</v>
      </c>
      <c r="CU23" s="289">
        <f>MAX(CU19:CU20)+CU22</f>
        <v>10.650470056215832</v>
      </c>
      <c r="CV23" s="262"/>
      <c r="CW23" s="274" t="s">
        <v>451</v>
      </c>
      <c r="CX23" s="287" t="e">
        <f>'[3]Storm Sewer -10yr'!#REF!</f>
        <v>#REF!</v>
      </c>
      <c r="CY23" s="457" t="s">
        <v>452</v>
      </c>
      <c r="CZ23" s="457"/>
      <c r="DA23" s="287">
        <v>4.82</v>
      </c>
      <c r="DC23" s="260" t="s">
        <v>453</v>
      </c>
      <c r="DD23" s="256">
        <v>90</v>
      </c>
      <c r="DE23" s="260" t="s">
        <v>454</v>
      </c>
      <c r="DF23" s="289" t="e">
        <f>MAX(DF19:DF20)+DF22</f>
        <v>#REF!</v>
      </c>
      <c r="DG23" s="262"/>
      <c r="DH23" s="274" t="s">
        <v>451</v>
      </c>
      <c r="DI23" s="287">
        <f>'[3]Storm Sewer -10yr'!N27</f>
        <v>0</v>
      </c>
      <c r="DK23" s="260" t="s">
        <v>452</v>
      </c>
      <c r="DL23" s="288">
        <v>5.5</v>
      </c>
      <c r="DN23" s="260" t="s">
        <v>453</v>
      </c>
      <c r="DO23" s="259">
        <v>0</v>
      </c>
      <c r="DP23" s="260" t="s">
        <v>454</v>
      </c>
      <c r="DQ23" s="289" t="e">
        <f>MAX(DQ19:DQ20)+DQ22</f>
        <v>#DIV/0!</v>
      </c>
      <c r="DR23" s="262"/>
      <c r="DS23" s="274" t="s">
        <v>451</v>
      </c>
      <c r="DT23" s="287">
        <f>'[3]Storm Sewer -10yr'!N35</f>
        <v>0</v>
      </c>
      <c r="DV23" s="260" t="s">
        <v>452</v>
      </c>
      <c r="DW23" s="288">
        <v>10.95</v>
      </c>
      <c r="DY23" s="260" t="s">
        <v>453</v>
      </c>
      <c r="DZ23" s="256">
        <v>0</v>
      </c>
      <c r="EA23" s="260" t="s">
        <v>454</v>
      </c>
      <c r="EB23" s="289" t="e">
        <f>MAX(EB19:EB20)+EB22</f>
        <v>#DIV/0!</v>
      </c>
      <c r="EC23" s="262"/>
      <c r="ED23" s="274" t="s">
        <v>451</v>
      </c>
      <c r="EE23" s="287">
        <f>'[3]Storm Sewer -10yr'!N17</f>
        <v>18</v>
      </c>
      <c r="EG23" s="260" t="s">
        <v>452</v>
      </c>
      <c r="EH23" s="288">
        <v>68.2</v>
      </c>
      <c r="EJ23" s="260" t="s">
        <v>453</v>
      </c>
      <c r="EK23" s="256">
        <v>20</v>
      </c>
      <c r="EL23" s="260" t="s">
        <v>454</v>
      </c>
      <c r="EM23" s="289">
        <f>MAX(EM19:EM20)+EM22</f>
        <v>85.680249373345461</v>
      </c>
      <c r="EN23" s="262"/>
      <c r="EO23" s="260"/>
      <c r="EP23" s="279"/>
      <c r="ER23" s="260"/>
      <c r="ES23" s="259"/>
      <c r="EU23" s="259"/>
      <c r="EV23" s="259"/>
      <c r="EW23" s="260"/>
      <c r="EX23" s="262"/>
      <c r="FA23" s="259"/>
      <c r="FC23" s="260"/>
      <c r="FD23" s="262"/>
      <c r="FF23" s="260"/>
      <c r="FG23" s="259"/>
      <c r="FH23" s="260"/>
      <c r="FI23" s="262"/>
      <c r="FJ23" s="260"/>
      <c r="FK23" s="260"/>
      <c r="FL23" s="259"/>
      <c r="FN23" s="260"/>
      <c r="FO23" s="262"/>
      <c r="FQ23" s="260"/>
      <c r="FR23" s="259"/>
      <c r="FS23" s="260"/>
      <c r="FT23" s="262"/>
      <c r="FV23" s="260"/>
      <c r="FW23" s="259"/>
      <c r="FY23" s="260"/>
      <c r="FZ23" s="262"/>
      <c r="GB23" s="260"/>
      <c r="GC23" s="259"/>
      <c r="GD23" s="260"/>
      <c r="GE23" s="262"/>
      <c r="GF23" s="279"/>
      <c r="GI23" s="262"/>
      <c r="GM23" s="260"/>
      <c r="GN23" s="262"/>
      <c r="GQ23" s="260"/>
      <c r="GR23" s="279"/>
      <c r="GU23" s="262"/>
      <c r="GY23" s="260"/>
      <c r="GZ23" s="262"/>
      <c r="HC23" s="260"/>
      <c r="HD23" s="261"/>
      <c r="HE23" s="260"/>
      <c r="HF23" s="260"/>
      <c r="HG23" s="259"/>
      <c r="HI23" s="259"/>
      <c r="HJ23" s="259"/>
      <c r="HK23" s="260"/>
      <c r="HL23" s="262"/>
      <c r="HO23" s="260"/>
      <c r="HP23" s="259"/>
      <c r="HS23" s="262"/>
      <c r="HU23" s="260"/>
      <c r="HV23" s="286"/>
      <c r="HW23" s="260"/>
      <c r="HX23" s="262"/>
    </row>
    <row r="24" spans="2:232" ht="12" customHeight="1">
      <c r="B24" s="274"/>
      <c r="C24" s="305"/>
      <c r="G24" s="260" t="s">
        <v>455</v>
      </c>
      <c r="H24" s="291">
        <f>0.33*(E25^2/(2*32.2))</f>
        <v>0.21723865894351255</v>
      </c>
      <c r="J24" s="260" t="s">
        <v>456</v>
      </c>
      <c r="K24" s="277">
        <f>F22+('[3]Storm Sewer -10yr'!W22/12)</f>
        <v>80.762500000000003</v>
      </c>
      <c r="M24" s="274"/>
      <c r="R24" s="260" t="s">
        <v>455</v>
      </c>
      <c r="S24" s="291" t="e">
        <f>0.33*(P25^2/(2*32.2))</f>
        <v>#REF!</v>
      </c>
      <c r="U24" s="260" t="s">
        <v>456</v>
      </c>
      <c r="V24" s="277" t="e">
        <f>Q22+('[3]Storm Sewer -10yr'!#REF!/12)</f>
        <v>#REF!</v>
      </c>
      <c r="X24" s="274"/>
      <c r="AC24" s="260" t="s">
        <v>455</v>
      </c>
      <c r="AD24" s="291" t="e">
        <f>0.33*(AA25^2/(2*32.2))</f>
        <v>#REF!</v>
      </c>
      <c r="AF24" s="260" t="s">
        <v>456</v>
      </c>
      <c r="AG24" s="277" t="e">
        <f>AB22+('[3]Storm Sewer -10yr'!#REF!/12)</f>
        <v>#REF!</v>
      </c>
      <c r="AI24" s="274"/>
      <c r="AN24" s="260" t="s">
        <v>455</v>
      </c>
      <c r="AO24" s="291" t="e">
        <f>0.33*(AL25^2/(2*32.2))</f>
        <v>#REF!</v>
      </c>
      <c r="AQ24" s="260" t="s">
        <v>456</v>
      </c>
      <c r="AR24" s="277" t="e">
        <f>AM22+('[3]Storm Sewer -10yr'!#REF!/12)</f>
        <v>#REF!</v>
      </c>
      <c r="AS24" s="262"/>
      <c r="AT24" s="274"/>
      <c r="AU24" s="305"/>
      <c r="AY24" s="260" t="s">
        <v>455</v>
      </c>
      <c r="AZ24" s="291" t="e">
        <f>0.33*(AW25^2/(2*32.2))</f>
        <v>#REF!</v>
      </c>
      <c r="BB24" s="260" t="s">
        <v>456</v>
      </c>
      <c r="BC24" s="277" t="e">
        <f>AX22+('[3]Storm Sewer -10yr'!#REF!/12)</f>
        <v>#REF!</v>
      </c>
      <c r="BD24" s="262"/>
      <c r="BE24" s="274"/>
      <c r="BJ24" s="260" t="s">
        <v>455</v>
      </c>
      <c r="BK24" s="291" t="e">
        <f>0.33*(BH25^2/(2*32.2))</f>
        <v>#REF!</v>
      </c>
      <c r="BM24" s="260" t="s">
        <v>456</v>
      </c>
      <c r="BN24" s="277" t="e">
        <f>BI22+('[3]Storm Sewer -10yr'!#REF!/12)</f>
        <v>#REF!</v>
      </c>
      <c r="BO24" s="262"/>
      <c r="BP24" s="274"/>
      <c r="BU24" s="260" t="s">
        <v>455</v>
      </c>
      <c r="BV24" s="291" t="e">
        <f>0.33*(BS25^2/(2*32.2))</f>
        <v>#REF!</v>
      </c>
      <c r="BX24" s="260" t="s">
        <v>456</v>
      </c>
      <c r="BY24" s="277" t="e">
        <f>BT22+('[3]Storm Sewer -10yr'!#REF!/12)</f>
        <v>#REF!</v>
      </c>
      <c r="CA24" s="274"/>
      <c r="CF24" s="260" t="s">
        <v>455</v>
      </c>
      <c r="CG24" s="291" t="e">
        <f>0.33*(CD25^2/(2*32.2))</f>
        <v>#REF!</v>
      </c>
      <c r="CI24" s="260" t="s">
        <v>456</v>
      </c>
      <c r="CJ24" s="277" t="e">
        <f>CE22+('[3]Storm Sewer -10yr'!#REF!/12)</f>
        <v>#REF!</v>
      </c>
      <c r="CK24" s="262"/>
      <c r="CL24" s="274"/>
      <c r="CQ24" s="260" t="s">
        <v>455</v>
      </c>
      <c r="CR24" s="291">
        <f>0.33*(CO25^2/(2*32.2))</f>
        <v>1.6078059918889991</v>
      </c>
      <c r="CT24" s="260" t="s">
        <v>456</v>
      </c>
      <c r="CU24" s="277">
        <f>CP22+('[3]Storm Sewer -10yr'!$W16/12)</f>
        <v>6.23</v>
      </c>
      <c r="CV24" s="262"/>
      <c r="CW24" s="274"/>
      <c r="DB24" s="260" t="s">
        <v>455</v>
      </c>
      <c r="DC24" s="291" t="e">
        <f>0.33*(CZ25^2/(2*32.2))</f>
        <v>#REF!</v>
      </c>
      <c r="DE24" s="260" t="s">
        <v>456</v>
      </c>
      <c r="DF24" s="277" t="e">
        <f>DA22+('[3]Storm Sewer -10yr'!#REF!/12)</f>
        <v>#REF!</v>
      </c>
      <c r="DG24" s="262"/>
      <c r="DH24" s="274"/>
      <c r="DM24" s="260" t="s">
        <v>455</v>
      </c>
      <c r="DN24" s="291">
        <f>0.33*(DK25^2/(2*32.2))</f>
        <v>0</v>
      </c>
      <c r="DP24" s="260" t="s">
        <v>456</v>
      </c>
      <c r="DQ24" s="277">
        <f>DL22+('[3]Storm Sewer -10yr'!$W27/12)</f>
        <v>6</v>
      </c>
      <c r="DR24" s="262"/>
      <c r="DS24" s="274"/>
      <c r="DX24" s="260" t="s">
        <v>455</v>
      </c>
      <c r="DY24" s="291">
        <f>0.33*(DV25^2/(2*32.2))</f>
        <v>0</v>
      </c>
      <c r="EA24" s="260" t="s">
        <v>456</v>
      </c>
      <c r="EB24" s="277">
        <f>DW22+('[3]Storm Sewer -10yr'!$W35/12)</f>
        <v>11.47</v>
      </c>
      <c r="EC24" s="262"/>
      <c r="ED24" s="274"/>
      <c r="EI24" s="260" t="s">
        <v>455</v>
      </c>
      <c r="EJ24" s="291">
        <f>0.33*(EG25^2/(2*32.2))</f>
        <v>1.7580851555452912</v>
      </c>
      <c r="EL24" s="260" t="s">
        <v>456</v>
      </c>
      <c r="EM24" s="277">
        <f>EH22+('[3]Storm Sewer -10yr'!W17/12)</f>
        <v>70.284999999999997</v>
      </c>
      <c r="EN24" s="262"/>
      <c r="EP24" s="259"/>
      <c r="ER24" s="260"/>
      <c r="ES24" s="262"/>
      <c r="EU24" s="260"/>
      <c r="EV24" s="259"/>
      <c r="EW24" s="260"/>
      <c r="EX24" s="262"/>
      <c r="EY24" s="259"/>
      <c r="FE24" s="260"/>
      <c r="FF24" s="290"/>
      <c r="FH24" s="260"/>
      <c r="FI24" s="262"/>
      <c r="FP24" s="260"/>
      <c r="FQ24" s="290"/>
      <c r="FS24" s="260"/>
      <c r="FT24" s="262"/>
      <c r="GA24" s="260"/>
      <c r="GB24" s="290"/>
      <c r="GD24" s="260"/>
      <c r="GE24" s="262"/>
      <c r="GF24" s="259"/>
      <c r="GI24" s="262"/>
      <c r="GK24" s="260"/>
      <c r="GM24" s="260"/>
      <c r="GN24" s="262"/>
      <c r="GQ24" s="260"/>
      <c r="GR24" s="259"/>
      <c r="GU24" s="262"/>
      <c r="GW24" s="260"/>
      <c r="GY24" s="260"/>
      <c r="GZ24" s="262"/>
      <c r="HD24" s="259"/>
      <c r="HE24" s="260"/>
      <c r="HF24" s="260"/>
      <c r="HG24" s="259"/>
      <c r="HI24" s="260"/>
      <c r="HK24" s="260"/>
      <c r="HL24" s="262"/>
      <c r="HT24" s="260"/>
      <c r="HU24" s="290"/>
      <c r="HW24" s="260"/>
      <c r="HX24" s="262"/>
    </row>
    <row r="25" spans="2:232" ht="12" customHeight="1">
      <c r="B25" s="283" t="s">
        <v>457</v>
      </c>
      <c r="C25" s="285">
        <f>'[3]Storm Sewer -10yr'!J22*8</f>
        <v>5.04</v>
      </c>
      <c r="D25" s="260" t="s">
        <v>458</v>
      </c>
      <c r="E25" s="285">
        <f>'[3]Storm Sewer -10yr'!T22</f>
        <v>6.5111023215972983</v>
      </c>
      <c r="G25" s="260" t="s">
        <v>459</v>
      </c>
      <c r="H25" s="292">
        <f>(E25^2/(2*32.2))-(E26^2/(2*32.2))</f>
        <v>0</v>
      </c>
      <c r="K25" s="293"/>
      <c r="M25" s="283" t="s">
        <v>457</v>
      </c>
      <c r="N25" s="285" t="e">
        <f>'[3]Storm Sewer -10yr'!#REF!</f>
        <v>#REF!</v>
      </c>
      <c r="O25" s="260" t="s">
        <v>458</v>
      </c>
      <c r="P25" s="285" t="e">
        <f>'[3]Storm Sewer -10yr'!#REF!</f>
        <v>#REF!</v>
      </c>
      <c r="R25" s="260" t="s">
        <v>459</v>
      </c>
      <c r="S25" s="292" t="e">
        <f>(P25^2/(2*32.2))-(P26^2/(2*32.2))</f>
        <v>#REF!</v>
      </c>
      <c r="V25" s="293"/>
      <c r="X25" s="283" t="s">
        <v>457</v>
      </c>
      <c r="Y25" s="285" t="e">
        <f>'[3]Storm Sewer -10yr'!#REF!</f>
        <v>#REF!</v>
      </c>
      <c r="Z25" s="260" t="s">
        <v>458</v>
      </c>
      <c r="AA25" s="285" t="e">
        <f>'[3]Storm Sewer -10yr'!#REF!</f>
        <v>#REF!</v>
      </c>
      <c r="AC25" s="260" t="s">
        <v>459</v>
      </c>
      <c r="AD25" s="292" t="e">
        <f>(AA25^2/(2*32.2))-(AA26^2/(2*32.2))</f>
        <v>#REF!</v>
      </c>
      <c r="AG25" s="293"/>
      <c r="AI25" s="283" t="s">
        <v>457</v>
      </c>
      <c r="AJ25" s="285" t="e">
        <f>'[3]Storm Sewer -10yr'!#REF!</f>
        <v>#REF!</v>
      </c>
      <c r="AK25" s="260" t="s">
        <v>458</v>
      </c>
      <c r="AL25" s="285" t="e">
        <f>'[3]Storm Sewer -10yr'!#REF!</f>
        <v>#REF!</v>
      </c>
      <c r="AN25" s="260" t="s">
        <v>459</v>
      </c>
      <c r="AO25" s="292" t="e">
        <f>IF((AL25^2/(2*32.2))-(AL27^2/(2*32.2))&gt;0,(AL25^2/(2*32.2))-(AL27^2/(2*32.2)),0)</f>
        <v>#REF!</v>
      </c>
      <c r="AR25" s="293"/>
      <c r="AT25" s="283" t="s">
        <v>457</v>
      </c>
      <c r="AU25" s="285" t="e">
        <f>'[3]Storm Sewer -10yr'!#REF!</f>
        <v>#REF!</v>
      </c>
      <c r="AV25" s="260" t="s">
        <v>458</v>
      </c>
      <c r="AW25" s="285" t="e">
        <f>'[3]Storm Sewer -10yr'!#REF!</f>
        <v>#REF!</v>
      </c>
      <c r="AY25" s="260" t="s">
        <v>459</v>
      </c>
      <c r="AZ25" s="292" t="e">
        <f>(AW25^2/(2*32.2))-(AW26^2/(2*32.2))</f>
        <v>#REF!</v>
      </c>
      <c r="BC25" s="293"/>
      <c r="BE25" s="283" t="s">
        <v>457</v>
      </c>
      <c r="BF25" s="285" t="e">
        <f>'[3]Storm Sewer -10yr'!#REF!</f>
        <v>#REF!</v>
      </c>
      <c r="BG25" s="260" t="s">
        <v>458</v>
      </c>
      <c r="BH25" s="285" t="e">
        <f>'[3]Storm Sewer -10yr'!#REF!</f>
        <v>#REF!</v>
      </c>
      <c r="BJ25" s="260" t="s">
        <v>459</v>
      </c>
      <c r="BK25" s="292" t="e">
        <f>(BH25^2/(2*32.2))-(BH26^2/(2*32.2))</f>
        <v>#REF!</v>
      </c>
      <c r="BN25" s="293"/>
      <c r="BP25" s="283" t="s">
        <v>457</v>
      </c>
      <c r="BQ25" s="285" t="e">
        <f>'[3]Storm Sewer -10yr'!#REF!</f>
        <v>#REF!</v>
      </c>
      <c r="BR25" s="260" t="s">
        <v>458</v>
      </c>
      <c r="BS25" s="285" t="e">
        <f>'[3]Storm Sewer -10yr'!#REF!</f>
        <v>#REF!</v>
      </c>
      <c r="BU25" s="260" t="s">
        <v>459</v>
      </c>
      <c r="BV25" s="292" t="e">
        <f>(BS25^2/(2*32.2))-(BS26^2/(2*32.2))</f>
        <v>#REF!</v>
      </c>
      <c r="BY25" s="293"/>
      <c r="CA25" s="283" t="s">
        <v>457</v>
      </c>
      <c r="CB25" s="285" t="e">
        <f>'[3]Storm Sewer -10yr'!#REF!</f>
        <v>#REF!</v>
      </c>
      <c r="CC25" s="260" t="s">
        <v>458</v>
      </c>
      <c r="CD25" s="285" t="e">
        <f>'[3]Storm Sewer -10yr'!#REF!</f>
        <v>#REF!</v>
      </c>
      <c r="CF25" s="260" t="s">
        <v>459</v>
      </c>
      <c r="CG25" s="292" t="e">
        <f>(CD25^2/(2*32.2))-(CD26^2/(2*32.2))</f>
        <v>#REF!</v>
      </c>
      <c r="CJ25" s="293"/>
      <c r="CL25" s="283" t="s">
        <v>457</v>
      </c>
      <c r="CM25" s="285">
        <f>'[3]Storm Sewer -10yr'!M16</f>
        <v>2.7040319999999998</v>
      </c>
      <c r="CN25" s="260" t="s">
        <v>458</v>
      </c>
      <c r="CO25" s="285">
        <f>'[3]Storm Sewer -10yr'!T16</f>
        <v>17.713434883918559</v>
      </c>
      <c r="CQ25" s="260" t="s">
        <v>459</v>
      </c>
      <c r="CR25" s="292">
        <f>(CO25^2/(2*32.2))-(CO26^2/(2*32.2))</f>
        <v>-3.9448966290205778</v>
      </c>
      <c r="CU25" s="293"/>
      <c r="CW25" s="283" t="s">
        <v>457</v>
      </c>
      <c r="CX25" s="285" t="e">
        <f>'[3]Storm Sewer -10yr'!#REF!</f>
        <v>#REF!</v>
      </c>
      <c r="CY25" s="260" t="s">
        <v>458</v>
      </c>
      <c r="CZ25" s="285" t="e">
        <f>'[3]Storm Sewer -10yr'!#REF!</f>
        <v>#REF!</v>
      </c>
      <c r="DB25" s="260" t="s">
        <v>459</v>
      </c>
      <c r="DC25" s="292" t="e">
        <f>(CZ25^2/(2*32.2))-(CZ26^2/(2*32.2))</f>
        <v>#REF!</v>
      </c>
      <c r="DF25" s="293"/>
      <c r="DH25" s="283" t="s">
        <v>457</v>
      </c>
      <c r="DI25" s="285">
        <f>'[3]Storm Sewer -10yr'!M27</f>
        <v>0</v>
      </c>
      <c r="DJ25" s="260" t="s">
        <v>458</v>
      </c>
      <c r="DK25" s="285">
        <f>'[3]Storm Sewer -10yr'!T27</f>
        <v>0</v>
      </c>
      <c r="DM25" s="260" t="s">
        <v>459</v>
      </c>
      <c r="DN25" s="292">
        <f>(DK25^2/(2*32.2))-(DK26^2/(2*32.2))</f>
        <v>0</v>
      </c>
      <c r="DQ25" s="293"/>
      <c r="DS25" s="283" t="s">
        <v>457</v>
      </c>
      <c r="DT25" s="285">
        <f>'[3]Storm Sewer -10yr'!M35</f>
        <v>0</v>
      </c>
      <c r="DU25" s="260" t="s">
        <v>458</v>
      </c>
      <c r="DV25" s="285">
        <f>'[3]Storm Sewer -10yr'!T35</f>
        <v>0</v>
      </c>
      <c r="DX25" s="260" t="s">
        <v>459</v>
      </c>
      <c r="DY25" s="292">
        <f>(DV25^2/(2*32.2))-(DV26^2/(2*32.2))</f>
        <v>0</v>
      </c>
      <c r="EB25" s="293"/>
      <c r="ED25" s="283" t="s">
        <v>457</v>
      </c>
      <c r="EE25" s="285">
        <f>'[3]Storm Sewer -10yr'!J17*8</f>
        <v>3.1487999999999996</v>
      </c>
      <c r="EF25" s="260" t="s">
        <v>458</v>
      </c>
      <c r="EG25" s="285">
        <f>'[3]Storm Sewer -10yr'!T17</f>
        <v>18.522769281887921</v>
      </c>
      <c r="EI25" s="260" t="s">
        <v>459</v>
      </c>
      <c r="EJ25" s="292">
        <f>(EG25^2/(2*32.2))-(EG26^2/(2*32.2))</f>
        <v>0</v>
      </c>
      <c r="EM25" s="293"/>
      <c r="ET25" s="260"/>
      <c r="EU25" s="290"/>
      <c r="EW25" s="260"/>
      <c r="EX25" s="262"/>
      <c r="EZ25" s="260"/>
      <c r="FA25" s="262"/>
      <c r="FB25" s="260"/>
      <c r="FC25" s="262"/>
      <c r="FE25" s="260"/>
      <c r="FF25" s="290"/>
      <c r="FK25" s="260"/>
      <c r="FL25" s="262"/>
      <c r="FM25" s="260"/>
      <c r="FN25" s="262"/>
      <c r="FP25" s="260"/>
      <c r="FQ25" s="290"/>
      <c r="FU25" s="262"/>
      <c r="FV25" s="260"/>
      <c r="FW25" s="262"/>
      <c r="FX25" s="260"/>
      <c r="FY25" s="262"/>
      <c r="GA25" s="260"/>
      <c r="GB25" s="290"/>
      <c r="GJ25" s="260"/>
      <c r="GK25" s="290"/>
      <c r="GM25" s="260"/>
      <c r="GN25" s="262"/>
      <c r="GV25" s="260"/>
      <c r="GW25" s="290"/>
      <c r="GY25" s="260"/>
      <c r="GZ25" s="262"/>
      <c r="HH25" s="260"/>
      <c r="HI25" s="290"/>
      <c r="HK25" s="260"/>
      <c r="HL25" s="262"/>
      <c r="HO25" s="260"/>
      <c r="HP25" s="262"/>
      <c r="HQ25" s="260"/>
      <c r="HR25" s="262"/>
      <c r="HT25" s="260"/>
      <c r="HU25" s="290"/>
    </row>
    <row r="26" spans="2:232" ht="12" customHeight="1">
      <c r="B26" s="283" t="s">
        <v>460</v>
      </c>
      <c r="C26" s="285">
        <f>'[3]Storm Sewer -10yr'!J22*8</f>
        <v>5.04</v>
      </c>
      <c r="D26" s="260" t="s">
        <v>461</v>
      </c>
      <c r="E26" s="288">
        <f>'[3]Storm Sewer -10yr'!T22</f>
        <v>6.5111023215972983</v>
      </c>
      <c r="G26" s="260" t="s">
        <v>462</v>
      </c>
      <c r="H26" s="291">
        <f>IF(I23=0, 0, IF(I23&gt;45,0.22*(E25^2/(2*32.2))*2,IF(I23=45,0.22*(E25^2/(2*32.2)),0.22*(E25^2/(2*32.2))*(2/3))))</f>
        <v>0</v>
      </c>
      <c r="J26" s="294" t="s">
        <v>463</v>
      </c>
      <c r="K26" s="277" t="e">
        <f>MAX(K23:K24)</f>
        <v>#REF!</v>
      </c>
      <c r="M26" s="283" t="s">
        <v>460</v>
      </c>
      <c r="N26" s="285" t="e">
        <f>'[3]Storm Sewer -10yr'!#REF!</f>
        <v>#REF!</v>
      </c>
      <c r="O26" s="260" t="s">
        <v>461</v>
      </c>
      <c r="P26" s="285" t="e">
        <f>'[3]Storm Sewer -10yr'!#REF!</f>
        <v>#REF!</v>
      </c>
      <c r="R26" s="260" t="s">
        <v>462</v>
      </c>
      <c r="S26" s="291">
        <f>IF(T23=0, 0, IF(T23&gt;45,0.22*(P25^2/(2*32.2))*2,IF(T23=45,0.22*(P25^2/(2*32.2)),0.22*(P25^2/(2*32.2))*(2/3))))</f>
        <v>0</v>
      </c>
      <c r="U26" s="294" t="s">
        <v>463</v>
      </c>
      <c r="V26" s="277" t="e">
        <f>MAX(V23:V24)</f>
        <v>#REF!</v>
      </c>
      <c r="X26" s="283" t="s">
        <v>460</v>
      </c>
      <c r="Y26" s="288" t="e">
        <f>'[3]Storm Sewer -10yr'!#REF!</f>
        <v>#REF!</v>
      </c>
      <c r="Z26" s="260" t="s">
        <v>461</v>
      </c>
      <c r="AA26" s="285" t="e">
        <f>'[3]Storm Sewer -10yr'!#REF!</f>
        <v>#REF!</v>
      </c>
      <c r="AC26" s="260" t="s">
        <v>462</v>
      </c>
      <c r="AD26" s="291">
        <f>IF(AE23=0, 0, IF(AE23&gt;45,0.22*(AA25^2/(2*32.2))*2,IF(AE23=45,0.22*(AA25^2/(2*32.2)),0.22*(AA25^2/(2*32.2))*(2/3))))</f>
        <v>0</v>
      </c>
      <c r="AF26" s="294" t="s">
        <v>463</v>
      </c>
      <c r="AG26" s="277" t="e">
        <f>MAX(AG23:AG24)</f>
        <v>#REF!</v>
      </c>
      <c r="AI26" s="283" t="s">
        <v>460</v>
      </c>
      <c r="AJ26" s="288" t="e">
        <f>'[3]Storm Sewer -10yr'!#REF!</f>
        <v>#REF!</v>
      </c>
      <c r="AK26" s="260" t="s">
        <v>461</v>
      </c>
      <c r="AL26" s="285" t="e">
        <f>'[3]Storm Sewer -10yr'!#REF!</f>
        <v>#REF!</v>
      </c>
      <c r="AN26" s="260" t="s">
        <v>462</v>
      </c>
      <c r="AO26" s="291" t="e">
        <f>IF(AP23=0, 0, IF(AP23&gt;45,0.22*(AL25^2/(2*32.2))*2,IF(AP23=45,0.22*(AL25^2/(2*32.2)),0.22*(AL25^2/(2*32.2))*(2/3))))</f>
        <v>#REF!</v>
      </c>
      <c r="AQ26" s="294" t="s">
        <v>463</v>
      </c>
      <c r="AR26" s="277" t="e">
        <f>MAX(AR23:AR24)</f>
        <v>#REF!</v>
      </c>
      <c r="AS26" s="262"/>
      <c r="AT26" s="283" t="s">
        <v>460</v>
      </c>
      <c r="AU26" s="288" t="e">
        <f>'[3]Storm Sewer -10yr'!#REF!</f>
        <v>#REF!</v>
      </c>
      <c r="AV26" s="260" t="s">
        <v>461</v>
      </c>
      <c r="AW26" s="285" t="e">
        <f>'[3]Storm Sewer -10yr'!#REF!</f>
        <v>#REF!</v>
      </c>
      <c r="AY26" s="260" t="s">
        <v>462</v>
      </c>
      <c r="AZ26" s="291">
        <f>IF(BA23=0, 0, IF(BA23&gt;45,0.22*(AW25^2/(2*32.2))*2,IF(BA23=45,0.22*(AW25^2/(2*32.2)),0.22*(AW25^2/(2*32.2))*(2/3))))</f>
        <v>0</v>
      </c>
      <c r="BB26" s="294" t="s">
        <v>463</v>
      </c>
      <c r="BC26" s="277" t="e">
        <f>MAX(BC23:BC24)</f>
        <v>#REF!</v>
      </c>
      <c r="BD26" s="262"/>
      <c r="BE26" s="283" t="s">
        <v>460</v>
      </c>
      <c r="BF26" s="288" t="e">
        <f>'[3]Storm Sewer -10yr'!#REF!</f>
        <v>#REF!</v>
      </c>
      <c r="BG26" s="260" t="s">
        <v>461</v>
      </c>
      <c r="BH26" s="285" t="e">
        <f>'[3]Storm Sewer -10yr'!#REF!</f>
        <v>#REF!</v>
      </c>
      <c r="BJ26" s="260" t="s">
        <v>462</v>
      </c>
      <c r="BK26" s="291">
        <f>IF(BL23=0, 0, IF(BL23&gt;45,0.22*(BH25^2/(2*32.2))*2,IF(BL23=45,0.22*(BH25^2/(2*32.2)),0.22*(BH25^2/(2*32.2))*(2/3))))</f>
        <v>0</v>
      </c>
      <c r="BM26" s="294" t="s">
        <v>463</v>
      </c>
      <c r="BN26" s="277" t="e">
        <f>MAX(BN23:BN24)</f>
        <v>#REF!</v>
      </c>
      <c r="BO26" s="262"/>
      <c r="BP26" s="283" t="s">
        <v>460</v>
      </c>
      <c r="BQ26" s="288" t="e">
        <f>'[3]Storm Sewer -10yr'!#REF!</f>
        <v>#REF!</v>
      </c>
      <c r="BR26" s="260" t="s">
        <v>461</v>
      </c>
      <c r="BS26" s="285" t="e">
        <f>'[3]Storm Sewer -10yr'!#REF!</f>
        <v>#REF!</v>
      </c>
      <c r="BU26" s="260" t="s">
        <v>462</v>
      </c>
      <c r="BV26" s="291">
        <f>IF(BW23=0, 0, IF(BW23&gt;45,0.22*(BS25^2/(2*32.2))*2,IF(BW23=45,0.22*(BS25^2/(2*32.2)),0.22*(BS25^2/(2*32.2))*(2/3))))</f>
        <v>0</v>
      </c>
      <c r="BX26" s="294" t="s">
        <v>463</v>
      </c>
      <c r="BY26" s="277" t="e">
        <f>MAX(BY23:BY24)</f>
        <v>#REF!</v>
      </c>
      <c r="CA26" s="283" t="s">
        <v>460</v>
      </c>
      <c r="CB26" s="288" t="e">
        <f>'[3]Storm Sewer -10yr'!#REF!</f>
        <v>#REF!</v>
      </c>
      <c r="CC26" s="260" t="s">
        <v>461</v>
      </c>
      <c r="CD26" s="285" t="e">
        <f>'[3]Storm Sewer -10yr'!#REF!</f>
        <v>#REF!</v>
      </c>
      <c r="CF26" s="260" t="s">
        <v>462</v>
      </c>
      <c r="CG26" s="291">
        <f>IF(CH23=0, 0, IF(CH23&gt;45,0.22*(CD25^2/(2*32.2))*2,IF(CH23=45,0.22*(CD25^2/(2*32.2)),0.22*(CD25^2/(2*32.2))*(2/3))))</f>
        <v>0</v>
      </c>
      <c r="CI26" s="294" t="s">
        <v>463</v>
      </c>
      <c r="CJ26" s="277" t="e">
        <f>MAX(CJ23:CJ24)</f>
        <v>#REF!</v>
      </c>
      <c r="CK26" s="262"/>
      <c r="CL26" s="283" t="s">
        <v>460</v>
      </c>
      <c r="CM26" s="288">
        <f>'[3]Storm Sewer -10yr'!M15</f>
        <v>0.90627999999999997</v>
      </c>
      <c r="CN26" s="260" t="s">
        <v>461</v>
      </c>
      <c r="CO26" s="285">
        <f>'[3]Storm Sewer -10yr'!T15</f>
        <v>23.82891349381562</v>
      </c>
      <c r="CQ26" s="260" t="s">
        <v>462</v>
      </c>
      <c r="CR26" s="291">
        <f>IF(CS23=0, 0, IF(CS23&gt;45,0.22*(CO25^2/(2*32.2))*2,IF(CS23=45,0.22*(CO25^2/(2*32.2)),0.22*(CO25^2/(2*32.2))*(2/3))))</f>
        <v>1.0718706612593327</v>
      </c>
      <c r="CT26" s="294" t="s">
        <v>463</v>
      </c>
      <c r="CU26" s="277">
        <f>MAX(CU23:CU24)</f>
        <v>10.650470056215832</v>
      </c>
      <c r="CV26" s="262"/>
      <c r="CW26" s="283" t="s">
        <v>460</v>
      </c>
      <c r="CX26" s="288" t="e">
        <f>'[3]Storm Sewer -10yr'!#REF!</f>
        <v>#REF!</v>
      </c>
      <c r="CY26" s="260" t="s">
        <v>461</v>
      </c>
      <c r="CZ26" s="285" t="e">
        <f>'[3]Storm Sewer -10yr'!#REF!</f>
        <v>#REF!</v>
      </c>
      <c r="DB26" s="260" t="s">
        <v>462</v>
      </c>
      <c r="DC26" s="291" t="e">
        <f>IF(DD23=0, 0, IF(DD23&gt;45,0.22*(CZ25^2/(2*32.2))*2,IF(DD23=45,0.22*(CZ25^2/(2*32.2)),0.22*(CZ25^2/(2*32.2))*(2/3))))</f>
        <v>#REF!</v>
      </c>
      <c r="DE26" s="294" t="s">
        <v>463</v>
      </c>
      <c r="DF26" s="277" t="e">
        <f>MAX(DF23:DF24)</f>
        <v>#REF!</v>
      </c>
      <c r="DG26" s="262"/>
      <c r="DH26" s="283" t="s">
        <v>460</v>
      </c>
      <c r="DI26" s="285">
        <f>'[3]Storm Sewer -10yr'!M27</f>
        <v>0</v>
      </c>
      <c r="DJ26" s="260" t="s">
        <v>461</v>
      </c>
      <c r="DK26" s="285">
        <f>'[3]Storm Sewer -10yr'!T27</f>
        <v>0</v>
      </c>
      <c r="DM26" s="260" t="s">
        <v>462</v>
      </c>
      <c r="DN26" s="291">
        <f>IF(DO23=0, 0, IF(DO23&gt;45,0.22*(DK25^2/(2*32.2))*2,IF(DO23=45,0.22*(DK25^2/(2*32.2)),0.22*(DK25^2/(2*32.2))*(2/3))))</f>
        <v>0</v>
      </c>
      <c r="DP26" s="294" t="s">
        <v>463</v>
      </c>
      <c r="DQ26" s="277" t="e">
        <f>MAX(DQ23:DQ24)</f>
        <v>#DIV/0!</v>
      </c>
      <c r="DR26" s="262"/>
      <c r="DS26" s="283" t="s">
        <v>460</v>
      </c>
      <c r="DT26" s="285">
        <f>'[3]Storm Sewer -10yr'!M35</f>
        <v>0</v>
      </c>
      <c r="DU26" s="260" t="s">
        <v>461</v>
      </c>
      <c r="DV26" s="285">
        <f>'[3]Storm Sewer -10yr'!T35</f>
        <v>0</v>
      </c>
      <c r="DX26" s="260" t="s">
        <v>462</v>
      </c>
      <c r="DY26" s="291">
        <f>IF(DZ23=0, 0, IF(DZ23&gt;45,0.22*(DV25^2/(2*32.2))*2,IF(DZ23=45,0.22*(DV25^2/(2*32.2)),0.22*(DV25^2/(2*32.2))*(2/3))))</f>
        <v>0</v>
      </c>
      <c r="EA26" s="294" t="s">
        <v>463</v>
      </c>
      <c r="EB26" s="277" t="e">
        <f>MAX(EB23:EB24)</f>
        <v>#DIV/0!</v>
      </c>
      <c r="EC26" s="262"/>
      <c r="ED26" s="283" t="s">
        <v>460</v>
      </c>
      <c r="EE26" s="285">
        <f>'[3]Storm Sewer -10yr'!J17*8</f>
        <v>3.1487999999999996</v>
      </c>
      <c r="EF26" s="260" t="s">
        <v>461</v>
      </c>
      <c r="EG26" s="285">
        <f>'[3]Storm Sewer -10yr'!T17</f>
        <v>18.522769281887921</v>
      </c>
      <c r="EI26" s="260" t="s">
        <v>462</v>
      </c>
      <c r="EJ26" s="291">
        <f>IF(EK23=0, 0, IF(EK23&gt;45,0.22*(EG25^2/(2*32.2))*2,IF(EK23=45,0.22*(EG25^2/(2*32.2)),0.22*(EG25^2/(2*32.2))*(2/3))))</f>
        <v>0.78137118024235153</v>
      </c>
      <c r="EL26" s="294" t="s">
        <v>463</v>
      </c>
      <c r="EM26" s="277">
        <f>MAX(EM23:EM24)</f>
        <v>85.680249373345461</v>
      </c>
      <c r="EN26" s="262"/>
      <c r="EO26" s="260"/>
      <c r="EP26" s="262"/>
      <c r="EQ26" s="260"/>
      <c r="ER26" s="262"/>
      <c r="ET26" s="260"/>
      <c r="EU26" s="290"/>
      <c r="EZ26" s="260"/>
      <c r="FA26" s="262"/>
      <c r="FB26" s="260"/>
      <c r="FC26" s="262"/>
      <c r="FE26" s="260"/>
      <c r="FF26" s="290"/>
      <c r="FH26" s="294"/>
      <c r="FI26" s="262"/>
      <c r="FK26" s="260"/>
      <c r="FL26" s="262"/>
      <c r="FM26" s="260"/>
      <c r="FN26" s="262"/>
      <c r="FP26" s="260"/>
      <c r="FQ26" s="290"/>
      <c r="FS26" s="294"/>
      <c r="FT26" s="262"/>
      <c r="FU26" s="262"/>
      <c r="FV26" s="260"/>
      <c r="FW26" s="262"/>
      <c r="FX26" s="260"/>
      <c r="FY26" s="262"/>
      <c r="GA26" s="260"/>
      <c r="GB26" s="290"/>
      <c r="GD26" s="294"/>
      <c r="GE26" s="262"/>
      <c r="GF26" s="262"/>
      <c r="GG26" s="260"/>
      <c r="GH26" s="262"/>
      <c r="GJ26" s="260"/>
      <c r="GK26" s="290"/>
      <c r="GQ26" s="260"/>
      <c r="GR26" s="262"/>
      <c r="GS26" s="260"/>
      <c r="GT26" s="262"/>
      <c r="GV26" s="260"/>
      <c r="GW26" s="290"/>
      <c r="HC26" s="260"/>
      <c r="HD26" s="262"/>
      <c r="HE26" s="260"/>
      <c r="HF26" s="262"/>
      <c r="HH26" s="260"/>
      <c r="HI26" s="290"/>
      <c r="HO26" s="260"/>
      <c r="HP26" s="262"/>
      <c r="HQ26" s="260"/>
      <c r="HR26" s="262"/>
      <c r="HT26" s="260"/>
      <c r="HU26" s="290"/>
      <c r="HW26" s="294"/>
      <c r="HX26" s="262"/>
    </row>
    <row r="27" spans="2:232" ht="12" customHeight="1">
      <c r="B27" s="283" t="s">
        <v>464</v>
      </c>
      <c r="C27" s="288"/>
      <c r="D27" s="260" t="s">
        <v>465</v>
      </c>
      <c r="E27" s="288"/>
      <c r="G27" s="260" t="s">
        <v>466</v>
      </c>
      <c r="H27" s="292">
        <f>E26^2/(2*32.2)*(1-(C26/(C26+C27)))</f>
        <v>0</v>
      </c>
      <c r="J27" s="260" t="s">
        <v>467</v>
      </c>
      <c r="K27" s="277">
        <v>0</v>
      </c>
      <c r="M27" s="283" t="s">
        <v>464</v>
      </c>
      <c r="N27" s="288"/>
      <c r="O27" s="260" t="s">
        <v>465</v>
      </c>
      <c r="P27" s="285"/>
      <c r="R27" s="260" t="s">
        <v>466</v>
      </c>
      <c r="S27" s="292" t="e">
        <f>P26^2/(2*32.2)*(1-(N26/(N26+N27)))</f>
        <v>#REF!</v>
      </c>
      <c r="U27" s="260" t="s">
        <v>467</v>
      </c>
      <c r="V27" s="277">
        <v>0</v>
      </c>
      <c r="X27" s="283" t="s">
        <v>464</v>
      </c>
      <c r="Y27" s="288"/>
      <c r="Z27" s="260" t="s">
        <v>465</v>
      </c>
      <c r="AA27" s="285"/>
      <c r="AC27" s="260" t="s">
        <v>466</v>
      </c>
      <c r="AD27" s="292" t="e">
        <f>AA26^2/(2*32.2)*(1-(Y26/(Y26+Y27)))</f>
        <v>#REF!</v>
      </c>
      <c r="AF27" s="260" t="s">
        <v>467</v>
      </c>
      <c r="AG27" s="277">
        <v>0</v>
      </c>
      <c r="AI27" s="283" t="s">
        <v>464</v>
      </c>
      <c r="AJ27" s="288" t="e">
        <f>'[3]Storm Sewer -10yr'!#REF!</f>
        <v>#REF!</v>
      </c>
      <c r="AK27" s="260" t="s">
        <v>465</v>
      </c>
      <c r="AL27" s="285" t="e">
        <f>'[3]Storm Sewer -10yr'!#REF!</f>
        <v>#REF!</v>
      </c>
      <c r="AN27" s="260" t="s">
        <v>466</v>
      </c>
      <c r="AO27" s="292" t="e">
        <f>AL26^2/(2*32.2)*(1-(AJ26/(AJ26+AJ27)))</f>
        <v>#REF!</v>
      </c>
      <c r="AQ27" s="260" t="s">
        <v>467</v>
      </c>
      <c r="AR27" s="277" t="e">
        <f>AO28</f>
        <v>#REF!</v>
      </c>
      <c r="AS27" s="262"/>
      <c r="AT27" s="283" t="s">
        <v>464</v>
      </c>
      <c r="AU27" s="288"/>
      <c r="AV27" s="260" t="s">
        <v>465</v>
      </c>
      <c r="AW27" s="285"/>
      <c r="AY27" s="260" t="s">
        <v>466</v>
      </c>
      <c r="AZ27" s="292" t="e">
        <f>AW27^2/(2*32.2)*(1-(AU27/(AU27+AU26)))</f>
        <v>#REF!</v>
      </c>
      <c r="BB27" s="260" t="s">
        <v>467</v>
      </c>
      <c r="BC27" s="277">
        <v>0</v>
      </c>
      <c r="BD27" s="262"/>
      <c r="BE27" s="283" t="s">
        <v>464</v>
      </c>
      <c r="BF27" s="288"/>
      <c r="BG27" s="260" t="s">
        <v>465</v>
      </c>
      <c r="BH27" s="285"/>
      <c r="BJ27" s="260" t="s">
        <v>466</v>
      </c>
      <c r="BK27" s="292" t="e">
        <f>BH26^2/(2*32.2)*(1-(BF26/(BF26+BF27)))</f>
        <v>#REF!</v>
      </c>
      <c r="BM27" s="260" t="s">
        <v>467</v>
      </c>
      <c r="BN27" s="277">
        <v>0</v>
      </c>
      <c r="BO27" s="262"/>
      <c r="BP27" s="283" t="s">
        <v>464</v>
      </c>
      <c r="BQ27" s="288"/>
      <c r="BR27" s="260" t="s">
        <v>465</v>
      </c>
      <c r="BS27" s="285"/>
      <c r="BU27" s="260" t="s">
        <v>466</v>
      </c>
      <c r="BV27" s="292" t="e">
        <f>BS26^2/(2*32.2)*(1-(BQ26/(BQ26+BQ27)))</f>
        <v>#REF!</v>
      </c>
      <c r="BX27" s="260" t="s">
        <v>467</v>
      </c>
      <c r="BY27" s="277">
        <v>0</v>
      </c>
      <c r="CA27" s="283" t="s">
        <v>464</v>
      </c>
      <c r="CB27" s="288"/>
      <c r="CC27" s="260" t="s">
        <v>465</v>
      </c>
      <c r="CD27" s="285"/>
      <c r="CF27" s="260" t="s">
        <v>466</v>
      </c>
      <c r="CG27" s="292" t="e">
        <f>CD26^2/(2*32.2)*(1-(CB26/(CB26+CB27)))</f>
        <v>#REF!</v>
      </c>
      <c r="CI27" s="260" t="s">
        <v>467</v>
      </c>
      <c r="CJ27" s="277">
        <v>0</v>
      </c>
      <c r="CK27" s="262"/>
      <c r="CL27" s="283" t="s">
        <v>464</v>
      </c>
      <c r="CM27" s="288"/>
      <c r="CN27" s="260" t="s">
        <v>465</v>
      </c>
      <c r="CO27" s="285"/>
      <c r="CQ27" s="260" t="s">
        <v>466</v>
      </c>
      <c r="CR27" s="292">
        <f>CO26^2/(2*32.2)*(1-(CM26/(CM26+CM27)))</f>
        <v>0</v>
      </c>
      <c r="CT27" s="260" t="s">
        <v>467</v>
      </c>
      <c r="CU27" s="277">
        <f>CR28</f>
        <v>-1.2652199758722458</v>
      </c>
      <c r="CV27" s="262"/>
      <c r="CW27" s="283" t="s">
        <v>464</v>
      </c>
      <c r="CX27" s="288">
        <f>'[3]Storm Sewer -10yr'!M20</f>
        <v>0.30800000000000005</v>
      </c>
      <c r="CY27" s="260" t="s">
        <v>465</v>
      </c>
      <c r="CZ27" s="285">
        <f>'[3]Storm Sewer -10yr'!T20</f>
        <v>3.9038232804203443</v>
      </c>
      <c r="DB27" s="260" t="s">
        <v>466</v>
      </c>
      <c r="DC27" s="292" t="e">
        <f>CZ26^2/(2*32.2)*(1-(CX26/(CX26+CX27)))</f>
        <v>#REF!</v>
      </c>
      <c r="DE27" s="260" t="s">
        <v>467</v>
      </c>
      <c r="DF27" s="277" t="e">
        <f>DC28</f>
        <v>#REF!</v>
      </c>
      <c r="DG27" s="262"/>
      <c r="DH27" s="283" t="s">
        <v>464</v>
      </c>
      <c r="DI27" s="288"/>
      <c r="DJ27" s="260" t="s">
        <v>465</v>
      </c>
      <c r="DK27" s="285"/>
      <c r="DM27" s="260" t="s">
        <v>466</v>
      </c>
      <c r="DN27" s="292" t="e">
        <f>DK26^2/(2*32.2)*(1-(DI26/(DI26+DI27)))</f>
        <v>#DIV/0!</v>
      </c>
      <c r="DP27" s="260" t="s">
        <v>467</v>
      </c>
      <c r="DQ27" s="277">
        <v>0</v>
      </c>
      <c r="DR27" s="262"/>
      <c r="DS27" s="283" t="s">
        <v>464</v>
      </c>
      <c r="DT27" s="288"/>
      <c r="DU27" s="260" t="s">
        <v>465</v>
      </c>
      <c r="DV27" s="285"/>
      <c r="DX27" s="260" t="s">
        <v>466</v>
      </c>
      <c r="DY27" s="292" t="e">
        <f>DV26^2/(2*32.2)*(1-(DT26/(DT26+DT27)))</f>
        <v>#DIV/0!</v>
      </c>
      <c r="EA27" s="260" t="s">
        <v>467</v>
      </c>
      <c r="EB27" s="277">
        <v>0</v>
      </c>
      <c r="EC27" s="262"/>
      <c r="ED27" s="283" t="s">
        <v>464</v>
      </c>
      <c r="EE27" s="288"/>
      <c r="EF27" s="260" t="s">
        <v>465</v>
      </c>
      <c r="EG27" s="285"/>
      <c r="EI27" s="260" t="s">
        <v>466</v>
      </c>
      <c r="EJ27" s="292">
        <f>EG26^2/(2*32.2)*(1-(EE26/(EE26+EE27)))</f>
        <v>0</v>
      </c>
      <c r="EL27" s="260" t="s">
        <v>467</v>
      </c>
      <c r="EM27" s="277">
        <f>EJ28</f>
        <v>2.5394563357876425</v>
      </c>
      <c r="EN27" s="262"/>
      <c r="EO27" s="260"/>
      <c r="EP27" s="262"/>
      <c r="EQ27" s="260"/>
      <c r="ER27" s="262"/>
      <c r="ET27" s="260"/>
      <c r="EU27" s="290"/>
      <c r="EW27" s="294"/>
      <c r="EX27" s="262"/>
      <c r="EZ27" s="260"/>
      <c r="FA27" s="262"/>
      <c r="FB27" s="260"/>
      <c r="FC27" s="262"/>
      <c r="FE27" s="260"/>
      <c r="FF27" s="290"/>
      <c r="FH27" s="260"/>
      <c r="FI27" s="262"/>
      <c r="FJ27" s="260"/>
      <c r="FK27" s="260"/>
      <c r="FL27" s="262"/>
      <c r="FM27" s="260"/>
      <c r="FN27" s="262"/>
      <c r="FP27" s="260"/>
      <c r="FQ27" s="290"/>
      <c r="FS27" s="260"/>
      <c r="FT27" s="262"/>
      <c r="FU27" s="262"/>
      <c r="FV27" s="260"/>
      <c r="FW27" s="262"/>
      <c r="FX27" s="260"/>
      <c r="FY27" s="262"/>
      <c r="GA27" s="260"/>
      <c r="GB27" s="290"/>
      <c r="GD27" s="260"/>
      <c r="GE27" s="262"/>
      <c r="GF27" s="262"/>
      <c r="GG27" s="260"/>
      <c r="GH27" s="262"/>
      <c r="GJ27" s="260"/>
      <c r="GK27" s="290"/>
      <c r="GM27" s="294"/>
      <c r="GN27" s="262"/>
      <c r="GQ27" s="260"/>
      <c r="GR27" s="262"/>
      <c r="GS27" s="260"/>
      <c r="GT27" s="262"/>
      <c r="GV27" s="260"/>
      <c r="GW27" s="290"/>
      <c r="GY27" s="294"/>
      <c r="GZ27" s="262"/>
      <c r="HC27" s="260"/>
      <c r="HD27" s="262"/>
      <c r="HE27" s="260"/>
      <c r="HF27" s="262"/>
      <c r="HH27" s="260"/>
      <c r="HI27" s="290"/>
      <c r="HK27" s="294"/>
      <c r="HL27" s="262"/>
      <c r="HO27" s="260"/>
      <c r="HP27" s="262"/>
      <c r="HQ27" s="260"/>
      <c r="HR27" s="262"/>
      <c r="HT27" s="260"/>
      <c r="HU27" s="290"/>
      <c r="HW27" s="260"/>
      <c r="HX27" s="262"/>
    </row>
    <row r="28" spans="2:232" ht="12" customHeight="1">
      <c r="B28" s="283" t="s">
        <v>468</v>
      </c>
      <c r="C28" s="285"/>
      <c r="D28" s="260" t="s">
        <v>469</v>
      </c>
      <c r="E28" s="285"/>
      <c r="G28" s="260" t="s">
        <v>470</v>
      </c>
      <c r="H28" s="295">
        <f>SUM(H24:H27)</f>
        <v>0.21723865894351255</v>
      </c>
      <c r="K28" s="293"/>
      <c r="M28" s="283" t="s">
        <v>468</v>
      </c>
      <c r="N28" s="285"/>
      <c r="O28" s="260" t="s">
        <v>469</v>
      </c>
      <c r="P28" s="285"/>
      <c r="R28" s="260" t="s">
        <v>470</v>
      </c>
      <c r="S28" s="295" t="e">
        <f>SUM(S24:S27)</f>
        <v>#REF!</v>
      </c>
      <c r="V28" s="293"/>
      <c r="X28" s="283" t="s">
        <v>468</v>
      </c>
      <c r="Y28" s="285"/>
      <c r="Z28" s="260" t="s">
        <v>469</v>
      </c>
      <c r="AA28" s="285"/>
      <c r="AC28" s="260" t="s">
        <v>470</v>
      </c>
      <c r="AD28" s="295" t="e">
        <f>SUM(AD24:AD27)</f>
        <v>#REF!</v>
      </c>
      <c r="AG28" s="293"/>
      <c r="AI28" s="283" t="s">
        <v>468</v>
      </c>
      <c r="AJ28" s="285" t="e">
        <f>'[3]Storm Sewer -10yr'!#REF!</f>
        <v>#REF!</v>
      </c>
      <c r="AK28" s="260" t="s">
        <v>469</v>
      </c>
      <c r="AL28" s="285" t="e">
        <f>'[3]Storm Sewer -10yr'!#REF!</f>
        <v>#REF!</v>
      </c>
      <c r="AN28" s="260" t="s">
        <v>470</v>
      </c>
      <c r="AO28" s="295" t="e">
        <f>SUM(AO24:AO27)</f>
        <v>#REF!</v>
      </c>
      <c r="AR28" s="293"/>
      <c r="AT28" s="283" t="s">
        <v>468</v>
      </c>
      <c r="AU28" s="285"/>
      <c r="AV28" s="260" t="s">
        <v>469</v>
      </c>
      <c r="AW28" s="285"/>
      <c r="AY28" s="260" t="s">
        <v>470</v>
      </c>
      <c r="AZ28" s="295" t="e">
        <f>SUM(AZ24:AZ27)</f>
        <v>#REF!</v>
      </c>
      <c r="BC28" s="293"/>
      <c r="BE28" s="283" t="s">
        <v>468</v>
      </c>
      <c r="BF28" s="285"/>
      <c r="BG28" s="260" t="s">
        <v>469</v>
      </c>
      <c r="BH28" s="285"/>
      <c r="BJ28" s="260" t="s">
        <v>470</v>
      </c>
      <c r="BK28" s="295" t="e">
        <f>SUM(BK24:BK27)</f>
        <v>#REF!</v>
      </c>
      <c r="BN28" s="293"/>
      <c r="BP28" s="283" t="s">
        <v>468</v>
      </c>
      <c r="BQ28" s="285"/>
      <c r="BR28" s="260" t="s">
        <v>469</v>
      </c>
      <c r="BS28" s="285"/>
      <c r="BU28" s="260" t="s">
        <v>470</v>
      </c>
      <c r="BV28" s="295" t="e">
        <f>SUM(BV24:BV27)</f>
        <v>#REF!</v>
      </c>
      <c r="BY28" s="293"/>
      <c r="CA28" s="283" t="s">
        <v>468</v>
      </c>
      <c r="CB28" s="285"/>
      <c r="CC28" s="260" t="s">
        <v>469</v>
      </c>
      <c r="CD28" s="285"/>
      <c r="CF28" s="260" t="s">
        <v>470</v>
      </c>
      <c r="CG28" s="295" t="e">
        <f>SUM(CG24:CG27)</f>
        <v>#REF!</v>
      </c>
      <c r="CJ28" s="293"/>
      <c r="CL28" s="283" t="s">
        <v>468</v>
      </c>
      <c r="CM28" s="285"/>
      <c r="CN28" s="260" t="s">
        <v>469</v>
      </c>
      <c r="CO28" s="285"/>
      <c r="CQ28" s="260" t="s">
        <v>470</v>
      </c>
      <c r="CR28" s="295">
        <f>SUM(CR24:CR27)</f>
        <v>-1.2652199758722458</v>
      </c>
      <c r="CU28" s="293"/>
      <c r="CW28" s="283" t="s">
        <v>468</v>
      </c>
      <c r="CX28" s="285"/>
      <c r="CY28" s="260" t="s">
        <v>469</v>
      </c>
      <c r="CZ28" s="285"/>
      <c r="DB28" s="260" t="s">
        <v>470</v>
      </c>
      <c r="DC28" s="295" t="e">
        <f>SUM(DC24:DC27)</f>
        <v>#REF!</v>
      </c>
      <c r="DF28" s="293"/>
      <c r="DH28" s="283" t="s">
        <v>468</v>
      </c>
      <c r="DI28" s="285"/>
      <c r="DJ28" s="260" t="s">
        <v>469</v>
      </c>
      <c r="DK28" s="285"/>
      <c r="DM28" s="260" t="s">
        <v>470</v>
      </c>
      <c r="DN28" s="295" t="e">
        <f>SUM(DN24:DN27)</f>
        <v>#DIV/0!</v>
      </c>
      <c r="DQ28" s="293"/>
      <c r="DS28" s="283" t="s">
        <v>468</v>
      </c>
      <c r="DT28" s="285"/>
      <c r="DU28" s="260" t="s">
        <v>469</v>
      </c>
      <c r="DV28" s="285"/>
      <c r="DX28" s="260" t="s">
        <v>470</v>
      </c>
      <c r="DY28" s="295" t="e">
        <f>SUM(DY24:DY27)</f>
        <v>#DIV/0!</v>
      </c>
      <c r="EB28" s="293"/>
      <c r="ED28" s="283" t="s">
        <v>468</v>
      </c>
      <c r="EE28" s="285"/>
      <c r="EF28" s="260" t="s">
        <v>469</v>
      </c>
      <c r="EG28" s="285"/>
      <c r="EI28" s="260" t="s">
        <v>470</v>
      </c>
      <c r="EJ28" s="295">
        <f>SUM(EJ24:EJ27)</f>
        <v>2.5394563357876425</v>
      </c>
      <c r="EM28" s="293"/>
      <c r="EO28" s="260"/>
      <c r="EP28" s="262"/>
      <c r="EQ28" s="260"/>
      <c r="ER28" s="262"/>
      <c r="ET28" s="260"/>
      <c r="EU28" s="290"/>
      <c r="EW28" s="260"/>
      <c r="EX28" s="262"/>
      <c r="EZ28" s="260"/>
      <c r="FA28" s="262"/>
      <c r="FB28" s="260"/>
      <c r="FC28" s="262"/>
      <c r="FE28" s="260"/>
      <c r="FF28" s="290"/>
      <c r="FJ28" s="260"/>
      <c r="FK28" s="260"/>
      <c r="FL28" s="262"/>
      <c r="FM28" s="260"/>
      <c r="FN28" s="262"/>
      <c r="FP28" s="260"/>
      <c r="FQ28" s="290"/>
      <c r="FU28" s="262"/>
      <c r="FV28" s="260"/>
      <c r="FW28" s="262"/>
      <c r="FX28" s="260"/>
      <c r="FY28" s="262"/>
      <c r="GA28" s="260"/>
      <c r="GB28" s="290"/>
      <c r="GF28" s="262"/>
      <c r="GG28" s="260"/>
      <c r="GH28" s="262"/>
      <c r="GJ28" s="260"/>
      <c r="GK28" s="290"/>
      <c r="GM28" s="260"/>
      <c r="GN28" s="262"/>
      <c r="GQ28" s="260"/>
      <c r="GR28" s="262"/>
      <c r="GS28" s="260"/>
      <c r="GT28" s="262"/>
      <c r="GV28" s="260"/>
      <c r="GW28" s="290"/>
      <c r="GY28" s="260"/>
      <c r="GZ28" s="262"/>
      <c r="HC28" s="260"/>
      <c r="HD28" s="262"/>
      <c r="HE28" s="260"/>
      <c r="HF28" s="262"/>
      <c r="HH28" s="260"/>
      <c r="HI28" s="290"/>
      <c r="HK28" s="260"/>
      <c r="HL28" s="262"/>
      <c r="HO28" s="260"/>
      <c r="HP28" s="262"/>
      <c r="HQ28" s="260"/>
      <c r="HR28" s="262"/>
      <c r="HT28" s="260"/>
      <c r="HU28" s="290"/>
    </row>
    <row r="29" spans="2:232" ht="12" customHeight="1" thickBot="1">
      <c r="B29" s="302"/>
      <c r="C29" s="299"/>
      <c r="D29" s="299"/>
      <c r="E29" s="299"/>
      <c r="F29" s="299"/>
      <c r="G29" s="299"/>
      <c r="H29" s="299"/>
      <c r="I29" s="299"/>
      <c r="J29" s="300" t="s">
        <v>471</v>
      </c>
      <c r="K29" s="301" t="e">
        <f>K26+K27</f>
        <v>#REF!</v>
      </c>
      <c r="M29" s="302"/>
      <c r="N29" s="299"/>
      <c r="O29" s="299"/>
      <c r="P29" s="299"/>
      <c r="Q29" s="299"/>
      <c r="R29" s="299"/>
      <c r="S29" s="299"/>
      <c r="T29" s="299"/>
      <c r="U29" s="300" t="s">
        <v>471</v>
      </c>
      <c r="V29" s="301" t="e">
        <f>V26+V27</f>
        <v>#REF!</v>
      </c>
      <c r="X29" s="302"/>
      <c r="Y29" s="299"/>
      <c r="Z29" s="299"/>
      <c r="AA29" s="299"/>
      <c r="AB29" s="299"/>
      <c r="AC29" s="299"/>
      <c r="AD29" s="299"/>
      <c r="AE29" s="299"/>
      <c r="AF29" s="300" t="s">
        <v>471</v>
      </c>
      <c r="AG29" s="301" t="e">
        <f>AG26+AG27</f>
        <v>#REF!</v>
      </c>
      <c r="AI29" s="302"/>
      <c r="AJ29" s="299"/>
      <c r="AK29" s="299"/>
      <c r="AL29" s="299"/>
      <c r="AM29" s="299"/>
      <c r="AN29" s="299"/>
      <c r="AO29" s="306"/>
      <c r="AP29" s="299"/>
      <c r="AQ29" s="300" t="s">
        <v>471</v>
      </c>
      <c r="AR29" s="301" t="e">
        <f>AR26+AR27</f>
        <v>#REF!</v>
      </c>
      <c r="AS29" s="296"/>
      <c r="AT29" s="302"/>
      <c r="AU29" s="299"/>
      <c r="AV29" s="299"/>
      <c r="AW29" s="299"/>
      <c r="AX29" s="299"/>
      <c r="AY29" s="299"/>
      <c r="AZ29" s="299"/>
      <c r="BA29" s="299"/>
      <c r="BB29" s="300" t="s">
        <v>471</v>
      </c>
      <c r="BC29" s="301" t="e">
        <f>BC26+BC27</f>
        <v>#REF!</v>
      </c>
      <c r="BD29" s="296"/>
      <c r="BE29" s="302"/>
      <c r="BF29" s="299"/>
      <c r="BG29" s="299"/>
      <c r="BH29" s="299"/>
      <c r="BI29" s="299"/>
      <c r="BJ29" s="299"/>
      <c r="BK29" s="299"/>
      <c r="BL29" s="299"/>
      <c r="BM29" s="300" t="s">
        <v>471</v>
      </c>
      <c r="BN29" s="301" t="e">
        <f>BN26+BN27</f>
        <v>#REF!</v>
      </c>
      <c r="BO29" s="296"/>
      <c r="BP29" s="302"/>
      <c r="BQ29" s="299"/>
      <c r="BR29" s="299"/>
      <c r="BS29" s="299"/>
      <c r="BT29" s="299"/>
      <c r="BU29" s="299"/>
      <c r="BV29" s="299"/>
      <c r="BW29" s="299"/>
      <c r="BX29" s="300" t="s">
        <v>471</v>
      </c>
      <c r="BY29" s="301" t="e">
        <f>BY26+BY27</f>
        <v>#REF!</v>
      </c>
      <c r="CA29" s="302"/>
      <c r="CB29" s="299"/>
      <c r="CC29" s="299"/>
      <c r="CD29" s="299"/>
      <c r="CE29" s="299"/>
      <c r="CF29" s="299"/>
      <c r="CG29" s="299"/>
      <c r="CH29" s="299"/>
      <c r="CI29" s="300" t="s">
        <v>471</v>
      </c>
      <c r="CJ29" s="301" t="e">
        <f>CJ26+CJ27</f>
        <v>#REF!</v>
      </c>
      <c r="CK29" s="296"/>
      <c r="CL29" s="302"/>
      <c r="CM29" s="299"/>
      <c r="CN29" s="299"/>
      <c r="CO29" s="299"/>
      <c r="CP29" s="299"/>
      <c r="CQ29" s="299"/>
      <c r="CR29" s="299"/>
      <c r="CS29" s="299"/>
      <c r="CT29" s="300" t="s">
        <v>471</v>
      </c>
      <c r="CU29" s="301">
        <f>CU26+CU27</f>
        <v>9.385250080343587</v>
      </c>
      <c r="CV29" s="296"/>
      <c r="CW29" s="302"/>
      <c r="CX29" s="299"/>
      <c r="CY29" s="299"/>
      <c r="CZ29" s="299"/>
      <c r="DA29" s="299"/>
      <c r="DB29" s="299"/>
      <c r="DC29" s="299"/>
      <c r="DD29" s="299"/>
      <c r="DE29" s="300" t="s">
        <v>471</v>
      </c>
      <c r="DF29" s="301" t="e">
        <f>DF26+DF27</f>
        <v>#REF!</v>
      </c>
      <c r="DG29" s="296"/>
      <c r="DH29" s="302"/>
      <c r="DI29" s="299"/>
      <c r="DJ29" s="299"/>
      <c r="DK29" s="299"/>
      <c r="DL29" s="299"/>
      <c r="DM29" s="299"/>
      <c r="DN29" s="299"/>
      <c r="DO29" s="299"/>
      <c r="DP29" s="300" t="s">
        <v>471</v>
      </c>
      <c r="DQ29" s="301" t="e">
        <f>DQ26+DQ27</f>
        <v>#DIV/0!</v>
      </c>
      <c r="DR29" s="296"/>
      <c r="DS29" s="302"/>
      <c r="DT29" s="299"/>
      <c r="DU29" s="299"/>
      <c r="DV29" s="299"/>
      <c r="DW29" s="299"/>
      <c r="DX29" s="299"/>
      <c r="DY29" s="299"/>
      <c r="DZ29" s="299"/>
      <c r="EA29" s="300" t="s">
        <v>471</v>
      </c>
      <c r="EB29" s="301" t="e">
        <f>EB26+EB27</f>
        <v>#DIV/0!</v>
      </c>
      <c r="EC29" s="296"/>
      <c r="ED29" s="302"/>
      <c r="EE29" s="299"/>
      <c r="EF29" s="299"/>
      <c r="EG29" s="299"/>
      <c r="EH29" s="299"/>
      <c r="EI29" s="299"/>
      <c r="EJ29" s="299"/>
      <c r="EK29" s="299"/>
      <c r="EL29" s="300" t="s">
        <v>471</v>
      </c>
      <c r="EM29" s="301">
        <f>EM26+EM27</f>
        <v>88.219705709133109</v>
      </c>
      <c r="EN29" s="296"/>
      <c r="EO29" s="260"/>
      <c r="EP29" s="262"/>
      <c r="EQ29" s="260"/>
      <c r="ER29" s="262"/>
      <c r="ET29" s="260"/>
      <c r="EU29" s="290"/>
      <c r="FH29" s="260"/>
      <c r="FI29" s="296"/>
      <c r="FJ29" s="260"/>
      <c r="FS29" s="260"/>
      <c r="FT29" s="296"/>
      <c r="GD29" s="260"/>
      <c r="GE29" s="296"/>
      <c r="GF29" s="262"/>
      <c r="GG29" s="260"/>
      <c r="GH29" s="262"/>
      <c r="GJ29" s="260"/>
      <c r="GK29" s="290"/>
      <c r="GQ29" s="260"/>
      <c r="GR29" s="262"/>
      <c r="GS29" s="260"/>
      <c r="GT29" s="262"/>
      <c r="GV29" s="260"/>
      <c r="GW29" s="290"/>
      <c r="HC29" s="260"/>
      <c r="HD29" s="262"/>
      <c r="HE29" s="260"/>
      <c r="HF29" s="262"/>
      <c r="HH29" s="260"/>
      <c r="HI29" s="290"/>
      <c r="HW29" s="260"/>
      <c r="HX29" s="296"/>
    </row>
    <row r="30" spans="2:232" ht="12" customHeight="1">
      <c r="J30" s="260"/>
      <c r="K30" s="296"/>
      <c r="U30" s="260"/>
      <c r="V30" s="296"/>
      <c r="AF30" s="260"/>
      <c r="AG30" s="296"/>
      <c r="AQ30" s="260"/>
      <c r="AR30" s="296"/>
      <c r="AS30" s="296"/>
      <c r="BD30" s="296"/>
      <c r="BM30" s="260"/>
      <c r="BN30" s="296"/>
      <c r="BO30" s="296"/>
      <c r="BX30" s="260"/>
      <c r="BY30" s="296"/>
      <c r="BZ30" s="296"/>
      <c r="CK30" s="296"/>
      <c r="CT30" s="260"/>
      <c r="CU30" s="296"/>
      <c r="CV30" s="296"/>
      <c r="DE30" s="260"/>
      <c r="DF30" s="296"/>
      <c r="DG30" s="296"/>
      <c r="DQ30" s="260"/>
      <c r="DR30" s="296"/>
      <c r="EC30" s="296"/>
      <c r="EM30" s="260"/>
      <c r="EN30" s="296"/>
      <c r="EW30" s="260"/>
      <c r="EX30" s="296"/>
      <c r="FJ30" s="260"/>
      <c r="FK30" s="290"/>
      <c r="FM30" s="260"/>
      <c r="FN30" s="262"/>
      <c r="GM30" s="260"/>
      <c r="GN30" s="296"/>
      <c r="GY30" s="260"/>
      <c r="GZ30" s="296"/>
      <c r="HK30" s="260"/>
      <c r="HL30" s="296"/>
    </row>
    <row r="31" spans="2:232" ht="12" customHeight="1" thickBot="1">
      <c r="M31" s="256" t="s">
        <v>425</v>
      </c>
      <c r="N31" s="256" t="s">
        <v>484</v>
      </c>
      <c r="X31" s="256" t="s">
        <v>425</v>
      </c>
      <c r="Y31" s="256" t="s">
        <v>485</v>
      </c>
      <c r="AI31" s="256" t="s">
        <v>425</v>
      </c>
      <c r="AJ31" s="256" t="s">
        <v>486</v>
      </c>
      <c r="AT31" s="256" t="s">
        <v>425</v>
      </c>
      <c r="AU31" s="256" t="s">
        <v>487</v>
      </c>
      <c r="BE31" s="256" t="s">
        <v>425</v>
      </c>
      <c r="BF31" s="256" t="s">
        <v>488</v>
      </c>
      <c r="BP31" s="256" t="s">
        <v>425</v>
      </c>
      <c r="BQ31" s="256" t="s">
        <v>489</v>
      </c>
      <c r="CA31" s="256" t="s">
        <v>425</v>
      </c>
      <c r="CB31" s="256" t="s">
        <v>490</v>
      </c>
      <c r="CL31" s="256" t="s">
        <v>425</v>
      </c>
      <c r="CM31" s="256" t="s">
        <v>491</v>
      </c>
      <c r="CW31" s="256" t="s">
        <v>425</v>
      </c>
      <c r="CX31" s="256" t="s">
        <v>492</v>
      </c>
      <c r="DH31" s="256" t="s">
        <v>425</v>
      </c>
      <c r="DI31" s="256" t="s">
        <v>493</v>
      </c>
      <c r="DS31" s="256" t="s">
        <v>425</v>
      </c>
      <c r="DT31" s="256" t="s">
        <v>494</v>
      </c>
      <c r="ED31" s="256" t="s">
        <v>425</v>
      </c>
      <c r="EE31" s="258" t="s">
        <v>484</v>
      </c>
    </row>
    <row r="32" spans="2:232" ht="12" customHeight="1">
      <c r="B32" s="307"/>
      <c r="C32" s="308"/>
      <c r="D32" s="307"/>
      <c r="E32" s="308"/>
      <c r="F32" s="309"/>
      <c r="G32" s="310"/>
      <c r="H32" s="309"/>
      <c r="I32" s="311"/>
      <c r="J32" s="307"/>
      <c r="K32" s="312"/>
      <c r="M32" s="263" t="s">
        <v>438</v>
      </c>
      <c r="N32" s="264" t="e">
        <f>'[3]Storm Sewer -10yr'!#REF!</f>
        <v>#REF!</v>
      </c>
      <c r="O32" s="265" t="s">
        <v>439</v>
      </c>
      <c r="P32" s="264" t="e">
        <f>'[3]Storm Sewer -10yr'!#REF!</f>
        <v>#REF!</v>
      </c>
      <c r="Q32" s="266" t="s">
        <v>48</v>
      </c>
      <c r="R32" s="267"/>
      <c r="S32" s="266" t="s">
        <v>440</v>
      </c>
      <c r="T32" s="268"/>
      <c r="U32" s="265" t="s">
        <v>442</v>
      </c>
      <c r="V32" s="270" t="e">
        <f>V16</f>
        <v>#REF!</v>
      </c>
      <c r="X32" s="263" t="s">
        <v>438</v>
      </c>
      <c r="Y32" s="264" t="e">
        <f>'[3]Storm Sewer -10yr'!#REF!</f>
        <v>#REF!</v>
      </c>
      <c r="Z32" s="265" t="s">
        <v>439</v>
      </c>
      <c r="AA32" s="264" t="e">
        <f>'[3]Storm Sewer -10yr'!#REF!</f>
        <v>#REF!</v>
      </c>
      <c r="AB32" s="266" t="s">
        <v>48</v>
      </c>
      <c r="AC32" s="267"/>
      <c r="AD32" s="266" t="s">
        <v>440</v>
      </c>
      <c r="AE32" s="268"/>
      <c r="AF32" s="265" t="s">
        <v>442</v>
      </c>
      <c r="AG32" s="270">
        <v>4.33</v>
      </c>
      <c r="AI32" s="263" t="s">
        <v>438</v>
      </c>
      <c r="AJ32" s="264" t="e">
        <f>'[3]Storm Sewer -10yr'!#REF!</f>
        <v>#REF!</v>
      </c>
      <c r="AK32" s="265" t="s">
        <v>439</v>
      </c>
      <c r="AL32" s="264" t="e">
        <f>'[3]Storm Sewer -10yr'!#REF!</f>
        <v>#REF!</v>
      </c>
      <c r="AM32" s="266" t="s">
        <v>48</v>
      </c>
      <c r="AN32" s="267"/>
      <c r="AO32" s="266" t="s">
        <v>440</v>
      </c>
      <c r="AP32" s="268"/>
      <c r="AQ32" s="265" t="s">
        <v>442</v>
      </c>
      <c r="AR32" s="270" t="e">
        <f>AR29</f>
        <v>#REF!</v>
      </c>
      <c r="AS32" s="262"/>
      <c r="AT32" s="263" t="s">
        <v>438</v>
      </c>
      <c r="AU32" s="264" t="e">
        <f>'[3]Storm Sewer -10yr'!#REF!</f>
        <v>#REF!</v>
      </c>
      <c r="AV32" s="265" t="s">
        <v>439</v>
      </c>
      <c r="AW32" s="264" t="e">
        <f>'[3]Storm Sewer -10yr'!#REF!</f>
        <v>#REF!</v>
      </c>
      <c r="AX32" s="266" t="s">
        <v>48</v>
      </c>
      <c r="AY32" s="267"/>
      <c r="AZ32" s="266" t="s">
        <v>440</v>
      </c>
      <c r="BA32" s="268"/>
      <c r="BB32" s="265" t="s">
        <v>442</v>
      </c>
      <c r="BC32" s="270">
        <v>4.0999999999999996</v>
      </c>
      <c r="BD32" s="262"/>
      <c r="BE32" s="263" t="s">
        <v>438</v>
      </c>
      <c r="BF32" s="264" t="e">
        <f>'[3]Storm Sewer -10yr'!#REF!</f>
        <v>#REF!</v>
      </c>
      <c r="BG32" s="265" t="s">
        <v>439</v>
      </c>
      <c r="BH32" s="264" t="e">
        <f>'[3]Storm Sewer -10yr'!#REF!</f>
        <v>#REF!</v>
      </c>
      <c r="BI32" s="266" t="s">
        <v>48</v>
      </c>
      <c r="BJ32" s="267"/>
      <c r="BK32" s="266" t="s">
        <v>440</v>
      </c>
      <c r="BL32" s="268"/>
      <c r="BM32" s="265" t="s">
        <v>442</v>
      </c>
      <c r="BN32" s="270">
        <v>5.66</v>
      </c>
      <c r="BO32" s="262"/>
      <c r="BP32" s="263" t="s">
        <v>438</v>
      </c>
      <c r="BQ32" s="264" t="e">
        <f>'[3]Storm Sewer -10yr'!#REF!</f>
        <v>#REF!</v>
      </c>
      <c r="BR32" s="265" t="s">
        <v>439</v>
      </c>
      <c r="BS32" s="264" t="e">
        <f>'[3]Storm Sewer -10yr'!#REF!</f>
        <v>#REF!</v>
      </c>
      <c r="BT32" s="266" t="s">
        <v>48</v>
      </c>
      <c r="BU32" s="267"/>
      <c r="BV32" s="266" t="s">
        <v>440</v>
      </c>
      <c r="BW32" s="268"/>
      <c r="BX32" s="265" t="s">
        <v>442</v>
      </c>
      <c r="BY32" s="270">
        <v>5.87</v>
      </c>
      <c r="BZ32" s="262"/>
      <c r="CA32" s="263" t="s">
        <v>438</v>
      </c>
      <c r="CB32" s="264" t="e">
        <f>'[3]Storm Sewer -10yr'!#REF!</f>
        <v>#REF!</v>
      </c>
      <c r="CC32" s="265" t="s">
        <v>439</v>
      </c>
      <c r="CD32" s="264" t="e">
        <f>'[3]Storm Sewer -10yr'!#REF!</f>
        <v>#REF!</v>
      </c>
      <c r="CE32" s="266" t="s">
        <v>48</v>
      </c>
      <c r="CF32" s="267"/>
      <c r="CG32" s="266" t="s">
        <v>440</v>
      </c>
      <c r="CH32" s="268"/>
      <c r="CI32" s="265" t="s">
        <v>442</v>
      </c>
      <c r="CJ32" s="270">
        <v>7.21</v>
      </c>
      <c r="CK32" s="262"/>
      <c r="CL32" s="263" t="s">
        <v>438</v>
      </c>
      <c r="CM32" s="264" t="str">
        <f>'[3]Storm Sewer -10yr'!C15</f>
        <v>I-01</v>
      </c>
      <c r="CN32" s="265" t="s">
        <v>439</v>
      </c>
      <c r="CO32" s="264" t="str">
        <f>'[3]Storm Sewer -10yr'!B15</f>
        <v>MH-03</v>
      </c>
      <c r="CP32" s="266" t="s">
        <v>48</v>
      </c>
      <c r="CQ32" s="267"/>
      <c r="CR32" s="266" t="s">
        <v>440</v>
      </c>
      <c r="CS32" s="268"/>
      <c r="CT32" s="265" t="s">
        <v>442</v>
      </c>
      <c r="CU32" s="270">
        <f>CU29</f>
        <v>9.385250080343587</v>
      </c>
      <c r="CV32" s="262"/>
      <c r="CW32" s="263" t="s">
        <v>438</v>
      </c>
      <c r="CX32" s="264" t="str">
        <f>'[3]Storm Sewer -10yr'!C20</f>
        <v>MH-01</v>
      </c>
      <c r="CY32" s="265" t="s">
        <v>439</v>
      </c>
      <c r="CZ32" s="264" t="str">
        <f>'[3]Storm Sewer -10yr'!B20</f>
        <v>EX-02</v>
      </c>
      <c r="DA32" s="266" t="s">
        <v>48</v>
      </c>
      <c r="DB32" s="267"/>
      <c r="DC32" s="266" t="s">
        <v>440</v>
      </c>
      <c r="DD32" s="268"/>
      <c r="DE32" s="265" t="s">
        <v>442</v>
      </c>
      <c r="DF32" s="270" t="e">
        <f>DF29</f>
        <v>#REF!</v>
      </c>
      <c r="DG32" s="262"/>
      <c r="DH32" s="263" t="s">
        <v>438</v>
      </c>
      <c r="DI32" s="264">
        <f>'[3]Storm Sewer -10yr'!C29</f>
        <v>0</v>
      </c>
      <c r="DJ32" s="265" t="s">
        <v>439</v>
      </c>
      <c r="DK32" s="264">
        <f>'[3]Storm Sewer -10yr'!B29</f>
        <v>0</v>
      </c>
      <c r="DL32" s="266" t="s">
        <v>48</v>
      </c>
      <c r="DM32" s="267"/>
      <c r="DN32" s="266" t="s">
        <v>440</v>
      </c>
      <c r="DO32" s="268"/>
      <c r="DP32" s="265" t="s">
        <v>442</v>
      </c>
      <c r="DQ32" s="270">
        <v>8.8000000000000007</v>
      </c>
      <c r="DR32" s="262"/>
      <c r="DS32" s="263" t="s">
        <v>438</v>
      </c>
      <c r="DT32" s="264">
        <f>'[3]Storm Sewer -10yr'!C37</f>
        <v>0</v>
      </c>
      <c r="DU32" s="265" t="s">
        <v>439</v>
      </c>
      <c r="DV32" s="264">
        <f>'[3]Storm Sewer -10yr'!B37</f>
        <v>0</v>
      </c>
      <c r="DW32" s="266" t="s">
        <v>48</v>
      </c>
      <c r="DX32" s="267"/>
      <c r="DY32" s="266" t="s">
        <v>440</v>
      </c>
      <c r="DZ32" s="268"/>
      <c r="EA32" s="265" t="s">
        <v>442</v>
      </c>
      <c r="EB32" s="270">
        <v>13.71</v>
      </c>
      <c r="EC32" s="262"/>
      <c r="ED32" s="263" t="s">
        <v>438</v>
      </c>
      <c r="EE32" s="264" t="str">
        <f>'[3]Storm Sewer -10yr'!C16</f>
        <v>MH-02</v>
      </c>
      <c r="EF32" s="265" t="s">
        <v>439</v>
      </c>
      <c r="EG32" s="264" t="str">
        <f>'[3]Storm Sewer -10yr'!B16</f>
        <v xml:space="preserve">I-01 </v>
      </c>
      <c r="EH32" s="266" t="s">
        <v>48</v>
      </c>
      <c r="EI32" s="267"/>
      <c r="EJ32" s="266" t="s">
        <v>440</v>
      </c>
      <c r="EK32" s="268"/>
      <c r="EL32" s="265" t="s">
        <v>442</v>
      </c>
      <c r="EM32" s="270">
        <f>EM29</f>
        <v>88.219705709133109</v>
      </c>
      <c r="EZ32" s="260"/>
      <c r="FA32" s="271"/>
      <c r="FB32" s="260"/>
      <c r="FC32" s="271"/>
      <c r="FD32" s="261"/>
      <c r="FE32" s="259"/>
      <c r="FF32" s="261"/>
      <c r="FH32" s="260"/>
      <c r="FI32" s="262"/>
      <c r="FK32" s="260"/>
      <c r="FL32" s="271"/>
      <c r="FM32" s="260"/>
      <c r="FN32" s="271"/>
      <c r="FO32" s="261"/>
      <c r="FP32" s="259"/>
      <c r="FQ32" s="261"/>
      <c r="FS32" s="260"/>
      <c r="FT32" s="262"/>
      <c r="FV32" s="260"/>
      <c r="FW32" s="271"/>
      <c r="FX32" s="260"/>
      <c r="FY32" s="271"/>
      <c r="FZ32" s="261"/>
      <c r="GA32" s="259"/>
      <c r="GB32" s="261"/>
      <c r="GD32" s="260"/>
      <c r="GE32" s="262"/>
    </row>
    <row r="33" spans="2:220" ht="12" customHeight="1">
      <c r="B33" s="311"/>
      <c r="C33" s="307"/>
      <c r="D33" s="311"/>
      <c r="E33" s="311"/>
      <c r="F33" s="313"/>
      <c r="G33" s="307"/>
      <c r="H33" s="314"/>
      <c r="I33" s="311"/>
      <c r="J33" s="307"/>
      <c r="K33" s="310"/>
      <c r="M33" s="274"/>
      <c r="N33" s="260" t="s">
        <v>443</v>
      </c>
      <c r="O33" s="275" t="e">
        <f>P32</f>
        <v>#REF!</v>
      </c>
      <c r="Q33" s="272" t="e">
        <f>'[3]Storm Sewer -10yr'!#REF!</f>
        <v>#REF!</v>
      </c>
      <c r="R33" s="260" t="s">
        <v>444</v>
      </c>
      <c r="S33" s="273" t="e">
        <f>'[3]Storm Sewer -10yr'!#REF!</f>
        <v>#REF!</v>
      </c>
      <c r="U33" s="260" t="s">
        <v>445</v>
      </c>
      <c r="V33" s="277" t="e">
        <f>Q36+(N36/12)</f>
        <v>#REF!</v>
      </c>
      <c r="X33" s="274"/>
      <c r="Y33" s="260" t="s">
        <v>443</v>
      </c>
      <c r="Z33" s="275" t="e">
        <f>AA32</f>
        <v>#REF!</v>
      </c>
      <c r="AB33" s="272" t="e">
        <f>'[3]Storm Sewer -10yr'!#REF!</f>
        <v>#REF!</v>
      </c>
      <c r="AC33" s="260" t="s">
        <v>444</v>
      </c>
      <c r="AD33" s="273" t="e">
        <f>'[3]Storm Sewer -10yr'!#REF!</f>
        <v>#REF!</v>
      </c>
      <c r="AF33" s="260" t="s">
        <v>445</v>
      </c>
      <c r="AG33" s="277" t="e">
        <f>AB36+(Y36/12)</f>
        <v>#REF!</v>
      </c>
      <c r="AI33" s="274"/>
      <c r="AJ33" s="260" t="s">
        <v>443</v>
      </c>
      <c r="AK33" s="275" t="e">
        <f>AL32</f>
        <v>#REF!</v>
      </c>
      <c r="AM33" s="272" t="e">
        <f>'[3]Storm Sewer -10yr'!#REF!</f>
        <v>#REF!</v>
      </c>
      <c r="AN33" s="260" t="s">
        <v>444</v>
      </c>
      <c r="AO33" s="273" t="e">
        <f>'[3]Storm Sewer -10yr'!#REF!</f>
        <v>#REF!</v>
      </c>
      <c r="AQ33" s="260" t="s">
        <v>445</v>
      </c>
      <c r="AR33" s="277" t="e">
        <f>AM36+(AJ36/12)</f>
        <v>#REF!</v>
      </c>
      <c r="AS33" s="262"/>
      <c r="AT33" s="274"/>
      <c r="AU33" s="260" t="s">
        <v>443</v>
      </c>
      <c r="AV33" s="275" t="e">
        <f>AW32</f>
        <v>#REF!</v>
      </c>
      <c r="AX33" s="272" t="e">
        <f>'[3]Storm Sewer -10yr'!#REF!</f>
        <v>#REF!</v>
      </c>
      <c r="AY33" s="260" t="s">
        <v>444</v>
      </c>
      <c r="AZ33" s="273" t="e">
        <f>'[3]Storm Sewer -10yr'!#REF!</f>
        <v>#REF!</v>
      </c>
      <c r="BB33" s="260" t="s">
        <v>445</v>
      </c>
      <c r="BC33" s="277" t="e">
        <f>AX36+(AU36/12)</f>
        <v>#REF!</v>
      </c>
      <c r="BD33" s="262"/>
      <c r="BE33" s="274"/>
      <c r="BF33" s="260" t="s">
        <v>443</v>
      </c>
      <c r="BG33" s="275" t="e">
        <f>BH32</f>
        <v>#REF!</v>
      </c>
      <c r="BI33" s="272" t="e">
        <f>'[3]Storm Sewer -10yr'!#REF!</f>
        <v>#REF!</v>
      </c>
      <c r="BJ33" s="260" t="s">
        <v>444</v>
      </c>
      <c r="BK33" s="273" t="e">
        <f>'[3]Storm Sewer -10yr'!#REF!</f>
        <v>#REF!</v>
      </c>
      <c r="BM33" s="260" t="s">
        <v>445</v>
      </c>
      <c r="BN33" s="277" t="e">
        <f>BI36+(BF36/12)</f>
        <v>#REF!</v>
      </c>
      <c r="BO33" s="262"/>
      <c r="BP33" s="274"/>
      <c r="BQ33" s="260" t="s">
        <v>443</v>
      </c>
      <c r="BR33" s="275" t="e">
        <f>BS32</f>
        <v>#REF!</v>
      </c>
      <c r="BT33" s="272" t="e">
        <f>'[3]Storm Sewer -10yr'!#REF!</f>
        <v>#REF!</v>
      </c>
      <c r="BU33" s="260" t="s">
        <v>444</v>
      </c>
      <c r="BV33" s="273" t="e">
        <f>'[3]Storm Sewer -10yr'!#REF!</f>
        <v>#REF!</v>
      </c>
      <c r="BX33" s="260" t="s">
        <v>445</v>
      </c>
      <c r="BY33" s="277" t="e">
        <f>BT36+(BQ36/12)</f>
        <v>#REF!</v>
      </c>
      <c r="BZ33" s="262"/>
      <c r="CA33" s="274"/>
      <c r="CB33" s="260" t="s">
        <v>443</v>
      </c>
      <c r="CC33" s="275" t="e">
        <f>CD32</f>
        <v>#REF!</v>
      </c>
      <c r="CE33" s="272" t="e">
        <f>'[3]Storm Sewer -10yr'!#REF!</f>
        <v>#REF!</v>
      </c>
      <c r="CF33" s="260" t="s">
        <v>444</v>
      </c>
      <c r="CG33" s="273" t="e">
        <f>'[3]Storm Sewer -10yr'!#REF!</f>
        <v>#REF!</v>
      </c>
      <c r="CI33" s="260" t="s">
        <v>445</v>
      </c>
      <c r="CJ33" s="277" t="e">
        <f>CE36+(CB36/12)</f>
        <v>#REF!</v>
      </c>
      <c r="CK33" s="262"/>
      <c r="CL33" s="274"/>
      <c r="CM33" s="260" t="s">
        <v>443</v>
      </c>
      <c r="CN33" s="275" t="str">
        <f>CO32</f>
        <v>MH-03</v>
      </c>
      <c r="CP33" s="272">
        <f>'[3]Storm Sewer -10yr'!R15</f>
        <v>9</v>
      </c>
      <c r="CQ33" s="260" t="s">
        <v>444</v>
      </c>
      <c r="CR33" s="273">
        <f>'[3]Storm Sewer -10yr'!AM15</f>
        <v>7.4436747503797376E-5</v>
      </c>
      <c r="CT33" s="260" t="s">
        <v>445</v>
      </c>
      <c r="CU33" s="277">
        <f>CP36+(CM36/12)</f>
        <v>7.78</v>
      </c>
      <c r="CV33" s="262"/>
      <c r="CW33" s="274"/>
      <c r="CX33" s="260" t="s">
        <v>443</v>
      </c>
      <c r="CY33" s="275" t="str">
        <f>CZ32</f>
        <v>EX-02</v>
      </c>
      <c r="DA33" s="272">
        <f>'[3]Storm Sewer -10yr'!R20</f>
        <v>26</v>
      </c>
      <c r="DB33" s="260" t="s">
        <v>444</v>
      </c>
      <c r="DC33" s="273">
        <f>'[3]Storm Sewer -10yr'!AM20</f>
        <v>2.2733379841807659E-5</v>
      </c>
      <c r="DE33" s="260" t="s">
        <v>445</v>
      </c>
      <c r="DF33" s="277">
        <f>DA36+(CX36/12)</f>
        <v>7.36</v>
      </c>
      <c r="DG33" s="262"/>
      <c r="DH33" s="274"/>
      <c r="DI33" s="260" t="s">
        <v>443</v>
      </c>
      <c r="DJ33" s="275">
        <f>DK32</f>
        <v>0</v>
      </c>
      <c r="DL33" s="272">
        <f>'[3]Storm Sewer -10yr'!R29</f>
        <v>0</v>
      </c>
      <c r="DM33" s="260" t="s">
        <v>444</v>
      </c>
      <c r="DN33" s="273" t="e">
        <f>'[3]Storm Sewer -10yr'!AM29</f>
        <v>#DIV/0!</v>
      </c>
      <c r="DP33" s="260" t="s">
        <v>445</v>
      </c>
      <c r="DQ33" s="277">
        <f>DL36+(DI36/12)</f>
        <v>6.76</v>
      </c>
      <c r="DR33" s="262"/>
      <c r="DS33" s="274"/>
      <c r="DT33" s="260" t="s">
        <v>443</v>
      </c>
      <c r="DU33" s="275">
        <f>DV32</f>
        <v>0</v>
      </c>
      <c r="DW33" s="272">
        <f>'[3]Storm Sewer -10yr'!R37</f>
        <v>0</v>
      </c>
      <c r="DX33" s="260" t="s">
        <v>444</v>
      </c>
      <c r="DY33" s="273" t="e">
        <f>'[3]Storm Sewer -10yr'!AM37</f>
        <v>#DIV/0!</v>
      </c>
      <c r="EA33" s="260" t="s">
        <v>445</v>
      </c>
      <c r="EB33" s="277">
        <f>DW36+(DT36/12)</f>
        <v>11.8</v>
      </c>
      <c r="EC33" s="262"/>
      <c r="ED33" s="274"/>
      <c r="EE33" s="260" t="s">
        <v>443</v>
      </c>
      <c r="EF33" s="275" t="str">
        <f>EG32</f>
        <v xml:space="preserve">I-01 </v>
      </c>
      <c r="EH33" s="272">
        <f>'[3]Storm Sewer -10yr'!R16</f>
        <v>39</v>
      </c>
      <c r="EI33" s="260" t="s">
        <v>444</v>
      </c>
      <c r="EJ33" s="273">
        <f>'[3]Storm Sewer -10yr'!AM16</f>
        <v>6.6265312461614024E-4</v>
      </c>
      <c r="EL33" s="260" t="s">
        <v>445</v>
      </c>
      <c r="EM33" s="277">
        <f>EH36+(EE36/12)</f>
        <v>74.5</v>
      </c>
      <c r="EO33" s="260"/>
      <c r="EP33" s="271"/>
      <c r="EQ33" s="260"/>
      <c r="ER33" s="271"/>
      <c r="ES33" s="261"/>
      <c r="ET33" s="259"/>
      <c r="EU33" s="261"/>
      <c r="EW33" s="260"/>
      <c r="EX33" s="262"/>
      <c r="FA33" s="260"/>
      <c r="FD33" s="272"/>
      <c r="FE33" s="260"/>
      <c r="FF33" s="273"/>
      <c r="FH33" s="260"/>
      <c r="FI33" s="262"/>
      <c r="FL33" s="260"/>
      <c r="FO33" s="272"/>
      <c r="FP33" s="260"/>
      <c r="FQ33" s="273"/>
      <c r="FS33" s="260"/>
      <c r="FT33" s="262"/>
      <c r="FW33" s="260"/>
      <c r="FZ33" s="272"/>
      <c r="GA33" s="260"/>
      <c r="GB33" s="273"/>
      <c r="GD33" s="260"/>
      <c r="GE33" s="262"/>
      <c r="HC33" s="260"/>
      <c r="HE33" s="260"/>
      <c r="HG33" s="261"/>
      <c r="HH33" s="259"/>
      <c r="HI33" s="261"/>
      <c r="HK33" s="260"/>
      <c r="HL33" s="262"/>
    </row>
    <row r="34" spans="2:220" ht="12" customHeight="1"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M34" s="274"/>
      <c r="V34" s="278"/>
      <c r="X34" s="274"/>
      <c r="AG34" s="278"/>
      <c r="AI34" s="274"/>
      <c r="AR34" s="278"/>
      <c r="AT34" s="274"/>
      <c r="BC34" s="278"/>
      <c r="BE34" s="274"/>
      <c r="BN34" s="278"/>
      <c r="BP34" s="274"/>
      <c r="BY34" s="278"/>
      <c r="CA34" s="274"/>
      <c r="CJ34" s="278"/>
      <c r="CL34" s="274"/>
      <c r="CU34" s="278"/>
      <c r="CW34" s="274"/>
      <c r="DF34" s="278"/>
      <c r="DH34" s="274"/>
      <c r="DQ34" s="278"/>
      <c r="DS34" s="274"/>
      <c r="EB34" s="278"/>
      <c r="ED34" s="274"/>
      <c r="EM34" s="278"/>
      <c r="EP34" s="260"/>
      <c r="ES34" s="272"/>
      <c r="ET34" s="260"/>
      <c r="EU34" s="273"/>
      <c r="EW34" s="260"/>
      <c r="EX34" s="262"/>
      <c r="GQ34" s="260"/>
      <c r="GS34" s="260"/>
      <c r="GU34" s="261"/>
      <c r="GV34" s="259"/>
      <c r="GW34" s="261"/>
      <c r="GY34" s="260"/>
      <c r="GZ34" s="262"/>
      <c r="HD34" s="260"/>
      <c r="HG34" s="272"/>
      <c r="HH34" s="260"/>
      <c r="HI34" s="273"/>
      <c r="HK34" s="260"/>
      <c r="HL34" s="262"/>
    </row>
    <row r="35" spans="2:220" ht="12" customHeight="1">
      <c r="B35" s="307"/>
      <c r="C35" s="309"/>
      <c r="D35" s="463"/>
      <c r="E35" s="463"/>
      <c r="F35" s="312"/>
      <c r="G35" s="311"/>
      <c r="H35" s="464"/>
      <c r="I35" s="464"/>
      <c r="J35" s="307"/>
      <c r="K35" s="312"/>
      <c r="M35" s="283" t="s">
        <v>446</v>
      </c>
      <c r="N35" s="284">
        <v>8.85</v>
      </c>
      <c r="O35" s="457" t="s">
        <v>447</v>
      </c>
      <c r="P35" s="457"/>
      <c r="Q35" s="285">
        <v>4.5199999999999996</v>
      </c>
      <c r="S35" s="458" t="s">
        <v>448</v>
      </c>
      <c r="T35" s="458"/>
      <c r="U35" s="260" t="s">
        <v>449</v>
      </c>
      <c r="V35" s="277" t="e">
        <f>Q33*S33</f>
        <v>#REF!</v>
      </c>
      <c r="X35" s="283" t="s">
        <v>446</v>
      </c>
      <c r="Y35" s="284">
        <v>6.75</v>
      </c>
      <c r="Z35" s="457" t="s">
        <v>447</v>
      </c>
      <c r="AA35" s="457"/>
      <c r="AB35" s="285">
        <v>3.55</v>
      </c>
      <c r="AD35" s="458" t="s">
        <v>448</v>
      </c>
      <c r="AE35" s="458"/>
      <c r="AF35" s="260" t="s">
        <v>449</v>
      </c>
      <c r="AG35" s="277" t="e">
        <f>AB33*AD33</f>
        <v>#REF!</v>
      </c>
      <c r="AI35" s="283" t="s">
        <v>446</v>
      </c>
      <c r="AJ35" s="284">
        <v>8.82</v>
      </c>
      <c r="AK35" s="457" t="s">
        <v>447</v>
      </c>
      <c r="AL35" s="457"/>
      <c r="AM35" s="285">
        <v>4.49</v>
      </c>
      <c r="AO35" s="458" t="s">
        <v>448</v>
      </c>
      <c r="AP35" s="458"/>
      <c r="AQ35" s="260" t="s">
        <v>449</v>
      </c>
      <c r="AR35" s="277" t="e">
        <f>AM33*AO33</f>
        <v>#REF!</v>
      </c>
      <c r="AS35" s="262"/>
      <c r="AT35" s="283" t="s">
        <v>446</v>
      </c>
      <c r="AU35" s="281">
        <v>7.3</v>
      </c>
      <c r="AW35" s="260" t="s">
        <v>447</v>
      </c>
      <c r="AX35" s="285">
        <v>1.1399999999999999</v>
      </c>
      <c r="AZ35" s="259" t="s">
        <v>448</v>
      </c>
      <c r="BA35" s="259"/>
      <c r="BB35" s="260" t="s">
        <v>449</v>
      </c>
      <c r="BC35" s="277" t="e">
        <f>AX33*AZ33</f>
        <v>#REF!</v>
      </c>
      <c r="BD35" s="262"/>
      <c r="BE35" s="283" t="s">
        <v>450</v>
      </c>
      <c r="BF35" s="284">
        <v>8.35</v>
      </c>
      <c r="BG35" s="457" t="s">
        <v>447</v>
      </c>
      <c r="BH35" s="457"/>
      <c r="BI35" s="285">
        <v>3.18</v>
      </c>
      <c r="BK35" s="458" t="s">
        <v>448</v>
      </c>
      <c r="BL35" s="458"/>
      <c r="BM35" s="260" t="s">
        <v>449</v>
      </c>
      <c r="BN35" s="277" t="e">
        <f>BI33*BK33</f>
        <v>#REF!</v>
      </c>
      <c r="BO35" s="262"/>
      <c r="BP35" s="283" t="s">
        <v>446</v>
      </c>
      <c r="BQ35" s="281">
        <v>9.0500000000000007</v>
      </c>
      <c r="BR35" s="457" t="s">
        <v>447</v>
      </c>
      <c r="BS35" s="457"/>
      <c r="BT35" s="285">
        <v>3</v>
      </c>
      <c r="BV35" s="458" t="s">
        <v>448</v>
      </c>
      <c r="BW35" s="458"/>
      <c r="BX35" s="260" t="s">
        <v>449</v>
      </c>
      <c r="BY35" s="277" t="e">
        <f>BT33*BV33</f>
        <v>#REF!</v>
      </c>
      <c r="BZ35" s="262"/>
      <c r="CA35" s="283" t="s">
        <v>446</v>
      </c>
      <c r="CB35" s="284">
        <v>11.45</v>
      </c>
      <c r="CC35" s="260" t="s">
        <v>447</v>
      </c>
      <c r="CD35" s="260"/>
      <c r="CE35" s="285">
        <v>6.4</v>
      </c>
      <c r="CG35" s="259" t="s">
        <v>448</v>
      </c>
      <c r="CH35" s="259"/>
      <c r="CI35" s="260" t="s">
        <v>449</v>
      </c>
      <c r="CJ35" s="277" t="e">
        <f>CE33*CG33</f>
        <v>#REF!</v>
      </c>
      <c r="CK35" s="262"/>
      <c r="CL35" s="283" t="s">
        <v>446</v>
      </c>
      <c r="CM35" s="281">
        <v>10.58</v>
      </c>
      <c r="CN35" s="457" t="s">
        <v>447</v>
      </c>
      <c r="CO35" s="457"/>
      <c r="CP35" s="285">
        <v>6.29</v>
      </c>
      <c r="CR35" s="458" t="s">
        <v>448</v>
      </c>
      <c r="CS35" s="458"/>
      <c r="CT35" s="260" t="s">
        <v>449</v>
      </c>
      <c r="CU35" s="277">
        <f>CP33*CR33</f>
        <v>6.6993072753417635E-4</v>
      </c>
      <c r="CV35" s="262"/>
      <c r="CW35" s="283" t="s">
        <v>446</v>
      </c>
      <c r="CX35" s="281">
        <v>10.5</v>
      </c>
      <c r="CY35" s="457" t="s">
        <v>447</v>
      </c>
      <c r="CZ35" s="457"/>
      <c r="DA35" s="285">
        <v>6.17</v>
      </c>
      <c r="DC35" s="458" t="s">
        <v>448</v>
      </c>
      <c r="DD35" s="458"/>
      <c r="DE35" s="260" t="s">
        <v>449</v>
      </c>
      <c r="DF35" s="277">
        <f>DA33*DC33</f>
        <v>5.9106787588699913E-4</v>
      </c>
      <c r="DG35" s="262"/>
      <c r="DH35" s="283" t="s">
        <v>446</v>
      </c>
      <c r="DI35" s="281">
        <v>12.05</v>
      </c>
      <c r="DK35" s="260" t="s">
        <v>447</v>
      </c>
      <c r="DL35" s="285">
        <v>7</v>
      </c>
      <c r="DN35" s="259" t="s">
        <v>448</v>
      </c>
      <c r="DO35" s="259"/>
      <c r="DP35" s="260" t="s">
        <v>449</v>
      </c>
      <c r="DQ35" s="277" t="e">
        <f>DL33*DN33</f>
        <v>#DIV/0!</v>
      </c>
      <c r="DR35" s="262"/>
      <c r="DS35" s="283" t="s">
        <v>446</v>
      </c>
      <c r="DT35" s="281">
        <v>17.05</v>
      </c>
      <c r="DV35" s="260" t="s">
        <v>447</v>
      </c>
      <c r="DW35" s="282">
        <v>12.72</v>
      </c>
      <c r="DY35" s="259" t="s">
        <v>448</v>
      </c>
      <c r="DZ35" s="259"/>
      <c r="EA35" s="260" t="s">
        <v>449</v>
      </c>
      <c r="EB35" s="277" t="e">
        <f>DW33*DY33</f>
        <v>#DIV/0!</v>
      </c>
      <c r="EC35" s="262"/>
      <c r="ED35" s="283" t="s">
        <v>446</v>
      </c>
      <c r="EE35" s="281">
        <v>90.23</v>
      </c>
      <c r="EG35" s="260" t="s">
        <v>447</v>
      </c>
      <c r="EH35" s="285">
        <v>76.5</v>
      </c>
      <c r="EJ35" s="259" t="s">
        <v>448</v>
      </c>
      <c r="EK35" s="259"/>
      <c r="EL35" s="260" t="s">
        <v>449</v>
      </c>
      <c r="EM35" s="277">
        <f>EH33*EJ33</f>
        <v>2.5843471860029471E-2</v>
      </c>
      <c r="EZ35" s="260"/>
      <c r="FA35" s="279"/>
      <c r="FC35" s="260"/>
      <c r="FD35" s="262"/>
      <c r="FF35" s="259"/>
      <c r="FG35" s="259"/>
      <c r="FH35" s="260"/>
      <c r="FI35" s="262"/>
      <c r="FJ35" s="259"/>
      <c r="FK35" s="260"/>
      <c r="FL35" s="279"/>
      <c r="FN35" s="260"/>
      <c r="FO35" s="262"/>
      <c r="FQ35" s="259"/>
      <c r="FR35" s="259"/>
      <c r="FS35" s="260"/>
      <c r="FT35" s="262"/>
      <c r="FV35" s="260"/>
      <c r="FW35" s="279"/>
      <c r="FY35" s="260"/>
      <c r="FZ35" s="259"/>
      <c r="GB35" s="259"/>
      <c r="GC35" s="259"/>
      <c r="GD35" s="260"/>
      <c r="GE35" s="262"/>
      <c r="GR35" s="260"/>
      <c r="GU35" s="272"/>
      <c r="GV35" s="260"/>
      <c r="GW35" s="273"/>
      <c r="GY35" s="260"/>
      <c r="GZ35" s="262"/>
    </row>
    <row r="36" spans="2:220" ht="12" customHeight="1">
      <c r="B36" s="307"/>
      <c r="C36" s="310"/>
      <c r="D36" s="463"/>
      <c r="E36" s="463"/>
      <c r="F36" s="310"/>
      <c r="G36" s="311"/>
      <c r="H36" s="307"/>
      <c r="I36" s="311"/>
      <c r="J36" s="307"/>
      <c r="K36" s="312"/>
      <c r="M36" s="274" t="s">
        <v>451</v>
      </c>
      <c r="N36" s="287" t="e">
        <f>'[3]Storm Sewer -10yr'!#REF!</f>
        <v>#REF!</v>
      </c>
      <c r="O36" s="457" t="s">
        <v>452</v>
      </c>
      <c r="P36" s="457"/>
      <c r="Q36" s="287">
        <v>4.46</v>
      </c>
      <c r="S36" s="260" t="s">
        <v>453</v>
      </c>
      <c r="T36" s="256">
        <v>0</v>
      </c>
      <c r="U36" s="260" t="s">
        <v>454</v>
      </c>
      <c r="V36" s="289" t="e">
        <f>MAX(V32:V33)+V35</f>
        <v>#REF!</v>
      </c>
      <c r="X36" s="274" t="s">
        <v>451</v>
      </c>
      <c r="Y36" s="287" t="e">
        <f>'[3]Storm Sewer -10yr'!#REF!</f>
        <v>#REF!</v>
      </c>
      <c r="Z36" s="457" t="s">
        <v>452</v>
      </c>
      <c r="AA36" s="457"/>
      <c r="AB36" s="287">
        <v>2.73</v>
      </c>
      <c r="AD36" s="260" t="s">
        <v>453</v>
      </c>
      <c r="AE36" s="256">
        <v>0</v>
      </c>
      <c r="AF36" s="260" t="s">
        <v>454</v>
      </c>
      <c r="AG36" s="289" t="e">
        <f>MAX(AG32:AG33)+AG35</f>
        <v>#REF!</v>
      </c>
      <c r="AI36" s="274" t="s">
        <v>451</v>
      </c>
      <c r="AJ36" s="287" t="e">
        <f>'[3]Storm Sewer -10yr'!#REF!</f>
        <v>#REF!</v>
      </c>
      <c r="AK36" s="457" t="s">
        <v>452</v>
      </c>
      <c r="AL36" s="457"/>
      <c r="AM36" s="288">
        <v>4.37</v>
      </c>
      <c r="AO36" s="260" t="s">
        <v>453</v>
      </c>
      <c r="AP36" s="256">
        <v>90</v>
      </c>
      <c r="AQ36" s="260" t="s">
        <v>454</v>
      </c>
      <c r="AR36" s="289" t="e">
        <f>MAX(AR32:AR33)+AR35</f>
        <v>#REF!</v>
      </c>
      <c r="AS36" s="262"/>
      <c r="AT36" s="274" t="s">
        <v>451</v>
      </c>
      <c r="AU36" s="287" t="e">
        <f>'[3]Storm Sewer -10yr'!#REF!</f>
        <v>#REF!</v>
      </c>
      <c r="AW36" s="260" t="s">
        <v>452</v>
      </c>
      <c r="AX36" s="288">
        <v>1.01</v>
      </c>
      <c r="AZ36" s="260" t="s">
        <v>453</v>
      </c>
      <c r="BA36" s="256">
        <v>0</v>
      </c>
      <c r="BB36" s="260" t="s">
        <v>454</v>
      </c>
      <c r="BC36" s="289" t="e">
        <f>MAX(BC32:BC33)+BC35</f>
        <v>#REF!</v>
      </c>
      <c r="BD36" s="262"/>
      <c r="BE36" s="274" t="s">
        <v>451</v>
      </c>
      <c r="BF36" s="287" t="e">
        <f>'[3]Storm Sewer -10yr'!#REF!</f>
        <v>#REF!</v>
      </c>
      <c r="BG36" s="457" t="s">
        <v>452</v>
      </c>
      <c r="BH36" s="457"/>
      <c r="BI36" s="288">
        <v>2.2599999999999998</v>
      </c>
      <c r="BK36" s="260" t="s">
        <v>453</v>
      </c>
      <c r="BL36" s="256">
        <v>90</v>
      </c>
      <c r="BM36" s="260" t="s">
        <v>454</v>
      </c>
      <c r="BN36" s="289" t="e">
        <f>MAX(BN32:BN33)+BN35</f>
        <v>#REF!</v>
      </c>
      <c r="BO36" s="262"/>
      <c r="BP36" s="274" t="s">
        <v>451</v>
      </c>
      <c r="BQ36" s="287" t="e">
        <f>'[3]Storm Sewer -10yr'!#REF!</f>
        <v>#REF!</v>
      </c>
      <c r="BR36" s="457" t="s">
        <v>452</v>
      </c>
      <c r="BS36" s="457"/>
      <c r="BT36" s="288">
        <v>2.48</v>
      </c>
      <c r="BV36" s="260" t="s">
        <v>453</v>
      </c>
      <c r="BW36" s="256">
        <v>0</v>
      </c>
      <c r="BX36" s="260" t="s">
        <v>454</v>
      </c>
      <c r="BY36" s="289" t="e">
        <f>MAX(BY32:BY33)+BY35</f>
        <v>#REF!</v>
      </c>
      <c r="BZ36" s="262"/>
      <c r="CA36" s="274" t="s">
        <v>451</v>
      </c>
      <c r="CB36" s="287" t="e">
        <f>'[3]Storm Sewer -10yr'!#REF!</f>
        <v>#REF!</v>
      </c>
      <c r="CC36" s="260" t="s">
        <v>452</v>
      </c>
      <c r="CD36" s="260"/>
      <c r="CE36" s="288">
        <v>5.88</v>
      </c>
      <c r="CG36" s="260" t="s">
        <v>453</v>
      </c>
      <c r="CH36" s="259">
        <v>0</v>
      </c>
      <c r="CI36" s="260" t="s">
        <v>454</v>
      </c>
      <c r="CJ36" s="289" t="e">
        <f>MAX(CJ32:CJ33)+CJ35</f>
        <v>#REF!</v>
      </c>
      <c r="CK36" s="262"/>
      <c r="CL36" s="274" t="s">
        <v>451</v>
      </c>
      <c r="CM36" s="287">
        <f>'[3]Storm Sewer -10yr'!N15</f>
        <v>18</v>
      </c>
      <c r="CN36" s="457" t="s">
        <v>452</v>
      </c>
      <c r="CO36" s="457"/>
      <c r="CP36" s="288">
        <v>6.28</v>
      </c>
      <c r="CR36" s="260" t="s">
        <v>453</v>
      </c>
      <c r="CS36" s="259">
        <v>0</v>
      </c>
      <c r="CT36" s="260" t="s">
        <v>454</v>
      </c>
      <c r="CU36" s="289">
        <f>MAX(CU32:CU33)+CU35</f>
        <v>9.3859200110711214</v>
      </c>
      <c r="CV36" s="262"/>
      <c r="CW36" s="274" t="s">
        <v>451</v>
      </c>
      <c r="CX36" s="287">
        <f>'[3]Storm Sewer -10yr'!N20</f>
        <v>15</v>
      </c>
      <c r="CY36" s="457" t="s">
        <v>452</v>
      </c>
      <c r="CZ36" s="457"/>
      <c r="DA36" s="288">
        <v>6.11</v>
      </c>
      <c r="DC36" s="260" t="s">
        <v>453</v>
      </c>
      <c r="DD36" s="256">
        <v>0</v>
      </c>
      <c r="DE36" s="260" t="s">
        <v>454</v>
      </c>
      <c r="DF36" s="289" t="e">
        <f>MAX(DF32:DF33)+DF35</f>
        <v>#REF!</v>
      </c>
      <c r="DG36" s="262"/>
      <c r="DH36" s="274" t="s">
        <v>451</v>
      </c>
      <c r="DI36" s="287">
        <f>'[3]Storm Sewer -10yr'!N29</f>
        <v>0</v>
      </c>
      <c r="DK36" s="260" t="s">
        <v>452</v>
      </c>
      <c r="DL36" s="288">
        <v>6.76</v>
      </c>
      <c r="DN36" s="260" t="s">
        <v>453</v>
      </c>
      <c r="DO36" s="259">
        <v>0</v>
      </c>
      <c r="DP36" s="260" t="s">
        <v>454</v>
      </c>
      <c r="DQ36" s="289" t="e">
        <f>MAX(DQ32:DQ33)+DQ35</f>
        <v>#DIV/0!</v>
      </c>
      <c r="DR36" s="262"/>
      <c r="DS36" s="274" t="s">
        <v>451</v>
      </c>
      <c r="DT36" s="287">
        <f>'[3]Storm Sewer -10yr'!N37</f>
        <v>0</v>
      </c>
      <c r="DV36" s="260" t="s">
        <v>452</v>
      </c>
      <c r="DW36" s="288">
        <v>11.8</v>
      </c>
      <c r="DY36" s="260" t="s">
        <v>453</v>
      </c>
      <c r="DZ36" s="256">
        <v>0</v>
      </c>
      <c r="EA36" s="260" t="s">
        <v>454</v>
      </c>
      <c r="EB36" s="289" t="e">
        <f>MAX(EB32:EB33)+EB35</f>
        <v>#DIV/0!</v>
      </c>
      <c r="EC36" s="262"/>
      <c r="ED36" s="274" t="s">
        <v>451</v>
      </c>
      <c r="EE36" s="287">
        <f>'[3]Storm Sewer -10yr'!N16</f>
        <v>18</v>
      </c>
      <c r="EG36" s="260" t="s">
        <v>452</v>
      </c>
      <c r="EH36" s="288">
        <v>73</v>
      </c>
      <c r="EJ36" s="260" t="s">
        <v>453</v>
      </c>
      <c r="EK36" s="259">
        <v>0</v>
      </c>
      <c r="EL36" s="260" t="s">
        <v>454</v>
      </c>
      <c r="EM36" s="289">
        <f>MAX(EM32:EM33)+EM35</f>
        <v>88.245549180993137</v>
      </c>
      <c r="EO36" s="260"/>
      <c r="EP36" s="279"/>
      <c r="ER36" s="260"/>
      <c r="ES36" s="259"/>
      <c r="EU36" s="259"/>
      <c r="EV36" s="259"/>
      <c r="EW36" s="260"/>
      <c r="EX36" s="262"/>
      <c r="FA36" s="259"/>
      <c r="FC36" s="260"/>
      <c r="FD36" s="262"/>
      <c r="FF36" s="260"/>
      <c r="FG36" s="259"/>
      <c r="FH36" s="260"/>
      <c r="FI36" s="262"/>
      <c r="FJ36" s="260"/>
      <c r="FK36" s="260"/>
      <c r="FL36" s="259"/>
      <c r="FN36" s="260"/>
      <c r="FO36" s="262"/>
      <c r="FQ36" s="260"/>
      <c r="FR36" s="259"/>
      <c r="FS36" s="260"/>
      <c r="FT36" s="262"/>
      <c r="FV36" s="260"/>
      <c r="FW36" s="259"/>
      <c r="FY36" s="260"/>
      <c r="FZ36" s="262"/>
      <c r="GB36" s="260"/>
      <c r="GC36" s="259"/>
      <c r="GD36" s="260"/>
      <c r="GE36" s="262"/>
      <c r="HC36" s="260"/>
      <c r="HD36" s="261"/>
      <c r="HE36" s="260"/>
      <c r="HF36" s="260"/>
      <c r="HG36" s="262"/>
      <c r="HI36" s="259"/>
      <c r="HJ36" s="259"/>
      <c r="HK36" s="260"/>
      <c r="HL36" s="262"/>
    </row>
    <row r="37" spans="2:220" ht="12" customHeight="1">
      <c r="B37" s="311"/>
      <c r="C37" s="311"/>
      <c r="D37" s="311"/>
      <c r="E37" s="311"/>
      <c r="F37" s="311"/>
      <c r="G37" s="307"/>
      <c r="H37" s="315"/>
      <c r="I37" s="311"/>
      <c r="J37" s="307"/>
      <c r="K37" s="312"/>
      <c r="M37" s="274"/>
      <c r="R37" s="260" t="s">
        <v>455</v>
      </c>
      <c r="S37" s="291" t="e">
        <f>0.33*(P38^2/(2*32.2))</f>
        <v>#REF!</v>
      </c>
      <c r="U37" s="260" t="s">
        <v>456</v>
      </c>
      <c r="V37" s="277" t="e">
        <f>Q35+('[3]Storm Sewer -10yr'!#REF!/12)</f>
        <v>#REF!</v>
      </c>
      <c r="X37" s="274"/>
      <c r="AC37" s="260" t="s">
        <v>455</v>
      </c>
      <c r="AD37" s="291" t="e">
        <f>0.33*(AA38^2/(2*32.2))</f>
        <v>#REF!</v>
      </c>
      <c r="AF37" s="260" t="s">
        <v>456</v>
      </c>
      <c r="AG37" s="277" t="e">
        <f>AB35+('[3]Storm Sewer -10yr'!#REF!/12)</f>
        <v>#REF!</v>
      </c>
      <c r="AI37" s="274"/>
      <c r="AN37" s="260" t="s">
        <v>455</v>
      </c>
      <c r="AO37" s="291" t="e">
        <f>0.33*(AL38^2/(2*32.2))</f>
        <v>#REF!</v>
      </c>
      <c r="AQ37" s="260" t="s">
        <v>456</v>
      </c>
      <c r="AR37" s="277" t="e">
        <f>AM35+('[3]Storm Sewer -10yr'!#REF!/12)</f>
        <v>#REF!</v>
      </c>
      <c r="AS37" s="262"/>
      <c r="AT37" s="274"/>
      <c r="AY37" s="260" t="s">
        <v>455</v>
      </c>
      <c r="AZ37" s="291" t="e">
        <f>0.33*(AW38^2/(2*32.2))</f>
        <v>#REF!</v>
      </c>
      <c r="BB37" s="260" t="s">
        <v>456</v>
      </c>
      <c r="BC37" s="277" t="e">
        <f>AX35+('[3]Storm Sewer -10yr'!#REF!/12)</f>
        <v>#REF!</v>
      </c>
      <c r="BD37" s="262"/>
      <c r="BE37" s="274"/>
      <c r="BJ37" s="260" t="s">
        <v>455</v>
      </c>
      <c r="BK37" s="291" t="e">
        <f>0.33*(BH38^2/(2*32.2))</f>
        <v>#REF!</v>
      </c>
      <c r="BM37" s="260" t="s">
        <v>456</v>
      </c>
      <c r="BN37" s="277" t="e">
        <f>BI35+('[3]Storm Sewer -10yr'!#REF!/12)</f>
        <v>#REF!</v>
      </c>
      <c r="BO37" s="262"/>
      <c r="BP37" s="274"/>
      <c r="BU37" s="260" t="s">
        <v>455</v>
      </c>
      <c r="BV37" s="291" t="e">
        <f>0.33*(BS38^2/(2*32.2))</f>
        <v>#REF!</v>
      </c>
      <c r="BX37" s="260" t="s">
        <v>456</v>
      </c>
      <c r="BY37" s="277" t="e">
        <f>BT35+('[3]Storm Sewer -10yr'!#REF!/12)</f>
        <v>#REF!</v>
      </c>
      <c r="BZ37" s="262"/>
      <c r="CA37" s="274"/>
      <c r="CF37" s="260" t="s">
        <v>455</v>
      </c>
      <c r="CG37" s="291" t="e">
        <f>0.33*(CD38^2/(2*32.2))</f>
        <v>#REF!</v>
      </c>
      <c r="CI37" s="260" t="s">
        <v>456</v>
      </c>
      <c r="CJ37" s="277" t="e">
        <f>CE35+('[3]Storm Sewer -10yr'!#REF!/12)</f>
        <v>#REF!</v>
      </c>
      <c r="CK37" s="262"/>
      <c r="CL37" s="274"/>
      <c r="CQ37" s="260" t="s">
        <v>455</v>
      </c>
      <c r="CR37" s="291">
        <f>0.33*(CO38^2/(2*32.2))</f>
        <v>2.90962187946579</v>
      </c>
      <c r="CT37" s="260" t="s">
        <v>456</v>
      </c>
      <c r="CU37" s="277">
        <f>CP35+('[3]Storm Sewer -10yr'!$W15/12)</f>
        <v>6.4249999999999998</v>
      </c>
      <c r="CV37" s="262"/>
      <c r="CW37" s="274"/>
      <c r="DB37" s="260" t="s">
        <v>455</v>
      </c>
      <c r="DC37" s="291">
        <f>0.33*(CZ38^2/(2*32.2))</f>
        <v>7.8092328378386852E-2</v>
      </c>
      <c r="DE37" s="260" t="s">
        <v>456</v>
      </c>
      <c r="DF37" s="277">
        <f>DA35+('[3]Storm Sewer -10yr'!$W20/12)</f>
        <v>6.1825000000000001</v>
      </c>
      <c r="DG37" s="262"/>
      <c r="DH37" s="274"/>
      <c r="DM37" s="260" t="s">
        <v>455</v>
      </c>
      <c r="DN37" s="291">
        <f>0.33*(DK38^2/(2*32.2))</f>
        <v>0</v>
      </c>
      <c r="DP37" s="260" t="s">
        <v>456</v>
      </c>
      <c r="DQ37" s="277">
        <f>DL35+('[3]Storm Sewer -10yr'!$W29/12)</f>
        <v>7</v>
      </c>
      <c r="DR37" s="262"/>
      <c r="DS37" s="274"/>
      <c r="DX37" s="260" t="s">
        <v>455</v>
      </c>
      <c r="DY37" s="291">
        <f>0.33*(DV38^2/(2*32.2))</f>
        <v>0</v>
      </c>
      <c r="EA37" s="260" t="s">
        <v>456</v>
      </c>
      <c r="EB37" s="277">
        <f>DW35+('[3]Storm Sewer -10yr'!$W37/12)</f>
        <v>12.72</v>
      </c>
      <c r="EC37" s="262"/>
      <c r="ED37" s="274"/>
      <c r="EI37" s="260" t="s">
        <v>455</v>
      </c>
      <c r="EJ37" s="291">
        <f>0.33*(EG38^2/(2*32.2))</f>
        <v>4.3990947204968949</v>
      </c>
      <c r="EL37" s="260" t="s">
        <v>456</v>
      </c>
      <c r="EM37" s="277">
        <f>EH35+('[3]Storm Sewer -10yr'!$W16/12)</f>
        <v>76.650000000000006</v>
      </c>
      <c r="EP37" s="259"/>
      <c r="ER37" s="260"/>
      <c r="ES37" s="262"/>
      <c r="EU37" s="260"/>
      <c r="EV37" s="316"/>
      <c r="EW37" s="260"/>
      <c r="EX37" s="262"/>
      <c r="EY37" s="259"/>
      <c r="FE37" s="260"/>
      <c r="FF37" s="290"/>
      <c r="FH37" s="260"/>
      <c r="FI37" s="262"/>
      <c r="FP37" s="260"/>
      <c r="FQ37" s="290"/>
      <c r="FS37" s="260"/>
      <c r="FT37" s="262"/>
      <c r="GA37" s="260"/>
      <c r="GB37" s="290"/>
      <c r="GD37" s="260"/>
      <c r="GE37" s="262"/>
      <c r="GQ37" s="260"/>
      <c r="GR37" s="279"/>
      <c r="GU37" s="262"/>
      <c r="GY37" s="260"/>
      <c r="GZ37" s="262"/>
      <c r="HD37" s="259"/>
      <c r="HE37" s="260"/>
      <c r="HF37" s="260"/>
      <c r="HG37" s="259"/>
      <c r="HI37" s="260"/>
      <c r="HK37" s="260"/>
      <c r="HL37" s="262"/>
    </row>
    <row r="38" spans="2:220" ht="12" customHeight="1">
      <c r="B38" s="307"/>
      <c r="C38" s="312"/>
      <c r="D38" s="307"/>
      <c r="E38" s="312"/>
      <c r="F38" s="311"/>
      <c r="G38" s="307"/>
      <c r="H38" s="315"/>
      <c r="I38" s="311"/>
      <c r="J38" s="311"/>
      <c r="K38" s="311"/>
      <c r="M38" s="283" t="s">
        <v>457</v>
      </c>
      <c r="N38" s="285" t="e">
        <f>'[3]Storm Sewer -10yr'!#REF!</f>
        <v>#REF!</v>
      </c>
      <c r="O38" s="260" t="s">
        <v>458</v>
      </c>
      <c r="P38" s="285" t="e">
        <f>'[3]Storm Sewer -10yr'!#REF!</f>
        <v>#REF!</v>
      </c>
      <c r="R38" s="260" t="s">
        <v>459</v>
      </c>
      <c r="S38" s="292" t="e">
        <f>(P38^2/(2*32.2))-(P39^2/(2*32.2))</f>
        <v>#REF!</v>
      </c>
      <c r="V38" s="293"/>
      <c r="X38" s="283" t="s">
        <v>457</v>
      </c>
      <c r="Y38" s="285" t="e">
        <f>'[3]Storm Sewer -10yr'!#REF!</f>
        <v>#REF!</v>
      </c>
      <c r="Z38" s="260" t="s">
        <v>458</v>
      </c>
      <c r="AA38" s="285" t="e">
        <f>'[3]Storm Sewer -10yr'!#REF!</f>
        <v>#REF!</v>
      </c>
      <c r="AC38" s="260" t="s">
        <v>459</v>
      </c>
      <c r="AD38" s="292" t="e">
        <f>(AA38^2/(2*32.2))-(AA39^2/(2*32.2))</f>
        <v>#REF!</v>
      </c>
      <c r="AG38" s="293"/>
      <c r="AI38" s="283" t="s">
        <v>457</v>
      </c>
      <c r="AJ38" s="285" t="e">
        <f>'[3]Storm Sewer -10yr'!#REF!</f>
        <v>#REF!</v>
      </c>
      <c r="AK38" s="260" t="s">
        <v>458</v>
      </c>
      <c r="AL38" s="285" t="e">
        <f>'[3]Storm Sewer -10yr'!#REF!</f>
        <v>#REF!</v>
      </c>
      <c r="AN38" s="260" t="s">
        <v>459</v>
      </c>
      <c r="AO38" s="292" t="e">
        <f>(AL38^2/(2*32.2))-(AL39^2/(2*32.2))</f>
        <v>#REF!</v>
      </c>
      <c r="AR38" s="293"/>
      <c r="AT38" s="283" t="s">
        <v>457</v>
      </c>
      <c r="AU38" s="285" t="e">
        <f>'[3]Storm Sewer -10yr'!#REF!</f>
        <v>#REF!</v>
      </c>
      <c r="AV38" s="260" t="s">
        <v>458</v>
      </c>
      <c r="AW38" s="285" t="e">
        <f>'[3]Storm Sewer -10yr'!#REF!</f>
        <v>#REF!</v>
      </c>
      <c r="AY38" s="260" t="s">
        <v>459</v>
      </c>
      <c r="AZ38" s="292" t="e">
        <f>(AW38^2/(2*32.2))-(AW39^2/(2*32.2))</f>
        <v>#REF!</v>
      </c>
      <c r="BC38" s="293"/>
      <c r="BE38" s="283" t="s">
        <v>457</v>
      </c>
      <c r="BF38" s="285" t="e">
        <f>'[3]Storm Sewer -10yr'!#REF!</f>
        <v>#REF!</v>
      </c>
      <c r="BG38" s="260" t="s">
        <v>458</v>
      </c>
      <c r="BH38" s="285" t="e">
        <f>'[3]Storm Sewer -10yr'!#REF!</f>
        <v>#REF!</v>
      </c>
      <c r="BJ38" s="260" t="s">
        <v>459</v>
      </c>
      <c r="BK38" s="292" t="e">
        <f>IF((BH38^2/(2*32.2))-(BH39^2/(2*32.2))&gt;0,(BH38^2/(2*32.2))-(BH39^2/(2*32.2)),0)</f>
        <v>#REF!</v>
      </c>
      <c r="BN38" s="293"/>
      <c r="BP38" s="283" t="s">
        <v>457</v>
      </c>
      <c r="BQ38" s="285" t="e">
        <f>'[3]Storm Sewer -10yr'!#REF!</f>
        <v>#REF!</v>
      </c>
      <c r="BR38" s="260" t="s">
        <v>458</v>
      </c>
      <c r="BS38" s="285" t="e">
        <f>'[3]Storm Sewer -10yr'!#REF!</f>
        <v>#REF!</v>
      </c>
      <c r="BU38" s="260" t="s">
        <v>459</v>
      </c>
      <c r="BV38" s="292" t="e">
        <f>(BS38^2/(2*32.2))-(BS39^2/(2*32.2))</f>
        <v>#REF!</v>
      </c>
      <c r="BY38" s="293"/>
      <c r="CA38" s="283" t="s">
        <v>457</v>
      </c>
      <c r="CB38" s="285" t="e">
        <f>'[3]Storm Sewer -10yr'!#REF!</f>
        <v>#REF!</v>
      </c>
      <c r="CC38" s="260" t="s">
        <v>458</v>
      </c>
      <c r="CD38" s="285" t="e">
        <f>'[3]Storm Sewer -10yr'!#REF!</f>
        <v>#REF!</v>
      </c>
      <c r="CF38" s="260" t="s">
        <v>459</v>
      </c>
      <c r="CG38" s="292" t="e">
        <f>(CD38^2/(2*32.2))-(CD39^2/(2*32.2))</f>
        <v>#REF!</v>
      </c>
      <c r="CJ38" s="293"/>
      <c r="CL38" s="283" t="s">
        <v>457</v>
      </c>
      <c r="CM38" s="285">
        <f>'[3]Storm Sewer -10yr'!M15</f>
        <v>0.90627999999999997</v>
      </c>
      <c r="CN38" s="260" t="s">
        <v>458</v>
      </c>
      <c r="CO38" s="285">
        <f>'[3]Storm Sewer -10yr'!T15</f>
        <v>23.82891349381562</v>
      </c>
      <c r="CQ38" s="260" t="s">
        <v>459</v>
      </c>
      <c r="CR38" s="292">
        <f>(CO38^2/(2*32.2))-(CO39^2/(2*32.2))</f>
        <v>0</v>
      </c>
      <c r="CU38" s="293"/>
      <c r="CW38" s="283" t="s">
        <v>457</v>
      </c>
      <c r="CX38" s="285">
        <f>'[3]Storm Sewer -10yr'!M20</f>
        <v>0.30800000000000005</v>
      </c>
      <c r="CY38" s="260" t="s">
        <v>458</v>
      </c>
      <c r="CZ38" s="285">
        <f>'[3]Storm Sewer -10yr'!T20</f>
        <v>3.9038232804203443</v>
      </c>
      <c r="DB38" s="260" t="s">
        <v>459</v>
      </c>
      <c r="DC38" s="292">
        <f>IF((CZ38^2/(2*32.2))-(CZ39^2/(2*32.2))&gt;0,(CZ38^2/(2*32.2))-(CZ39^2/(2*32.2)),0)</f>
        <v>0</v>
      </c>
      <c r="DF38" s="293"/>
      <c r="DH38" s="283" t="s">
        <v>457</v>
      </c>
      <c r="DI38" s="285">
        <f>'[3]Storm Sewer -10yr'!M29</f>
        <v>0</v>
      </c>
      <c r="DJ38" s="260" t="s">
        <v>458</v>
      </c>
      <c r="DK38" s="285">
        <f>'[3]Storm Sewer -10yr'!T29</f>
        <v>0</v>
      </c>
      <c r="DM38" s="260" t="s">
        <v>459</v>
      </c>
      <c r="DN38" s="292">
        <f>(DK38^2/(2*32.2))-(DK39^2/(2*32.2))</f>
        <v>0</v>
      </c>
      <c r="DQ38" s="293"/>
      <c r="DS38" s="283" t="s">
        <v>457</v>
      </c>
      <c r="DT38" s="285">
        <f>'[3]Storm Sewer -10yr'!M37</f>
        <v>0</v>
      </c>
      <c r="DU38" s="260" t="s">
        <v>458</v>
      </c>
      <c r="DV38" s="285">
        <f>'[3]Storm Sewer -10yr'!T37</f>
        <v>0</v>
      </c>
      <c r="DX38" s="260" t="s">
        <v>459</v>
      </c>
      <c r="DY38" s="292">
        <f>(DV38^2/(2*32.2))-(DV39^2/(2*32.2))</f>
        <v>0</v>
      </c>
      <c r="EB38" s="293"/>
      <c r="ED38" s="283" t="s">
        <v>457</v>
      </c>
      <c r="EE38" s="285">
        <f>'[3]Storm Sewer -10yr'!J16*8</f>
        <v>3.1487999999999996</v>
      </c>
      <c r="EF38" s="260" t="s">
        <v>458</v>
      </c>
      <c r="EG38" s="285">
        <v>29.3</v>
      </c>
      <c r="EI38" s="260" t="s">
        <v>459</v>
      </c>
      <c r="EJ38" s="292">
        <f>(EG38^2/(2*32.2))-(EG39^2/(2*32.2))</f>
        <v>0</v>
      </c>
      <c r="EM38" s="293"/>
      <c r="ET38" s="260"/>
      <c r="EU38" s="290"/>
      <c r="EW38" s="260"/>
      <c r="EX38" s="262"/>
      <c r="EZ38" s="260"/>
      <c r="FA38" s="262"/>
      <c r="FB38" s="260"/>
      <c r="FC38" s="262"/>
      <c r="FE38" s="260"/>
      <c r="FF38" s="290"/>
      <c r="FK38" s="260"/>
      <c r="FL38" s="262"/>
      <c r="FM38" s="260"/>
      <c r="FN38" s="262"/>
      <c r="FP38" s="260"/>
      <c r="FQ38" s="290"/>
      <c r="FV38" s="260"/>
      <c r="FW38" s="262"/>
      <c r="FX38" s="260"/>
      <c r="FY38" s="262"/>
      <c r="GA38" s="260"/>
      <c r="GB38" s="290"/>
      <c r="GQ38" s="260"/>
      <c r="GR38" s="259"/>
      <c r="GU38" s="262"/>
      <c r="GW38" s="260"/>
      <c r="GY38" s="260"/>
      <c r="GZ38" s="262"/>
      <c r="HH38" s="260"/>
      <c r="HI38" s="290"/>
      <c r="HK38" s="260"/>
      <c r="HL38" s="262"/>
    </row>
    <row r="39" spans="2:220" ht="12" customHeight="1">
      <c r="B39" s="307"/>
      <c r="C39" s="312"/>
      <c r="D39" s="307"/>
      <c r="E39" s="312"/>
      <c r="F39" s="311"/>
      <c r="G39" s="307"/>
      <c r="H39" s="315"/>
      <c r="I39" s="311"/>
      <c r="J39" s="317"/>
      <c r="K39" s="312"/>
      <c r="M39" s="283" t="s">
        <v>460</v>
      </c>
      <c r="N39" s="285" t="e">
        <f>'[3]Storm Sewer -10yr'!#REF!</f>
        <v>#REF!</v>
      </c>
      <c r="O39" s="260" t="s">
        <v>461</v>
      </c>
      <c r="P39" s="285" t="e">
        <f>'[3]Storm Sewer -10yr'!#REF!</f>
        <v>#REF!</v>
      </c>
      <c r="R39" s="260" t="s">
        <v>462</v>
      </c>
      <c r="S39" s="291">
        <f>IF(T36=0, 0, IF(T36&gt;45,0.22*(P38^2/(2*32.2))*2,IF(T36=45,0.22*(P38^2/(2*32.2)),0.22*(P38^2/(2*32.2))*(2/3))))</f>
        <v>0</v>
      </c>
      <c r="U39" s="294" t="s">
        <v>463</v>
      </c>
      <c r="V39" s="277" t="e">
        <f>MAX(V36:V37)</f>
        <v>#REF!</v>
      </c>
      <c r="X39" s="283" t="s">
        <v>460</v>
      </c>
      <c r="Y39" s="288" t="e">
        <f>'[3]Storm Sewer -10yr'!#REF!</f>
        <v>#REF!</v>
      </c>
      <c r="Z39" s="260" t="s">
        <v>461</v>
      </c>
      <c r="AA39" s="285" t="e">
        <f>'[3]Storm Sewer -10yr'!#REF!</f>
        <v>#REF!</v>
      </c>
      <c r="AC39" s="260" t="s">
        <v>462</v>
      </c>
      <c r="AD39" s="291">
        <f>IF(AE36=0, 0, IF(AE36&gt;45,0.22*(AA38^2/(2*32.2))*2,IF(AE36=45,0.22*(AA38^2/(2*32.2)),0.22*(AA38^2/(2*32.2))*(2/3))))</f>
        <v>0</v>
      </c>
      <c r="AF39" s="294" t="s">
        <v>463</v>
      </c>
      <c r="AG39" s="277" t="e">
        <f>MAX(AG36:AG37)</f>
        <v>#REF!</v>
      </c>
      <c r="AI39" s="283" t="s">
        <v>460</v>
      </c>
      <c r="AJ39" s="288" t="e">
        <f>'[3]Storm Sewer -10yr'!#REF!</f>
        <v>#REF!</v>
      </c>
      <c r="AK39" s="260" t="s">
        <v>461</v>
      </c>
      <c r="AL39" s="285" t="e">
        <f>'[3]Storm Sewer -10yr'!#REF!</f>
        <v>#REF!</v>
      </c>
      <c r="AN39" s="260" t="s">
        <v>462</v>
      </c>
      <c r="AO39" s="291" t="e">
        <f>IF(AP36=0, 0, IF(AP36&gt;45,0.22*(AL38^2/(2*32.2))*2,IF(AP36=45,0.22*(AL38^2/(2*32.2)),0.22*(AL38^2/(2*32.2))*(2/3))))</f>
        <v>#REF!</v>
      </c>
      <c r="AQ39" s="294" t="s">
        <v>463</v>
      </c>
      <c r="AR39" s="277" t="e">
        <f>MAX(AR36:AR37)</f>
        <v>#REF!</v>
      </c>
      <c r="AS39" s="262"/>
      <c r="AT39" s="283" t="s">
        <v>460</v>
      </c>
      <c r="AU39" s="288" t="e">
        <f>'[3]Storm Sewer -10yr'!#REF!</f>
        <v>#REF!</v>
      </c>
      <c r="AV39" s="260" t="s">
        <v>461</v>
      </c>
      <c r="AW39" s="285" t="e">
        <f>'[3]Storm Sewer -10yr'!#REF!</f>
        <v>#REF!</v>
      </c>
      <c r="AY39" s="260" t="s">
        <v>462</v>
      </c>
      <c r="AZ39" s="291">
        <f>IF(BA36=0, 0, IF(BA36&gt;45,0.22*(AW38^2/(2*32.2))*2,IF(BA36=45,0.22*(AW38^2/(2*32.2)),0.22*(AW38^2/(2*32.2))*(2/3))))</f>
        <v>0</v>
      </c>
      <c r="BB39" s="294" t="s">
        <v>463</v>
      </c>
      <c r="BC39" s="277" t="e">
        <f>MAX(BC36:BC37)</f>
        <v>#REF!</v>
      </c>
      <c r="BD39" s="262"/>
      <c r="BE39" s="283" t="s">
        <v>460</v>
      </c>
      <c r="BF39" s="288" t="e">
        <f>'[3]Storm Sewer -10yr'!#REF!</f>
        <v>#REF!</v>
      </c>
      <c r="BG39" s="260" t="s">
        <v>461</v>
      </c>
      <c r="BH39" s="285" t="e">
        <f>'[3]Storm Sewer -10yr'!#REF!</f>
        <v>#REF!</v>
      </c>
      <c r="BJ39" s="260" t="s">
        <v>462</v>
      </c>
      <c r="BK39" s="291" t="e">
        <f>IF(BL36=0, 0, IF(BL36&gt;45,0.22*(BH38^2/(2*32.2))*2,IF(BL36=45,0.22*(BH38^2/(2*32.2)),0.22*(BH38^2/(2*32.2))*(2/3))))</f>
        <v>#REF!</v>
      </c>
      <c r="BM39" s="294" t="s">
        <v>463</v>
      </c>
      <c r="BN39" s="277" t="e">
        <f>MAX(BN36:BN37)</f>
        <v>#REF!</v>
      </c>
      <c r="BO39" s="262"/>
      <c r="BP39" s="283" t="s">
        <v>460</v>
      </c>
      <c r="BQ39" s="288" t="e">
        <f>'[3]Storm Sewer -10yr'!#REF!</f>
        <v>#REF!</v>
      </c>
      <c r="BR39" s="260" t="s">
        <v>461</v>
      </c>
      <c r="BS39" s="285" t="e">
        <f>'[3]Storm Sewer -10yr'!#REF!</f>
        <v>#REF!</v>
      </c>
      <c r="BU39" s="260" t="s">
        <v>462</v>
      </c>
      <c r="BV39" s="291">
        <f>IF(BW36=0, 0, IF(BW36&gt;45,0.22*(BS38^2/(2*32.2))*2,IF(BW36=45,0.22*(BS38^2/(2*32.2)),0.22*(BS38^2/(2*32.2))*(2/3))))</f>
        <v>0</v>
      </c>
      <c r="BX39" s="294" t="s">
        <v>463</v>
      </c>
      <c r="BY39" s="277" t="e">
        <f>MAX(BY36:BY37)</f>
        <v>#REF!</v>
      </c>
      <c r="BZ39" s="262"/>
      <c r="CA39" s="283" t="s">
        <v>460</v>
      </c>
      <c r="CB39" s="288" t="e">
        <f>'[3]Storm Sewer -10yr'!#REF!</f>
        <v>#REF!</v>
      </c>
      <c r="CC39" s="260" t="s">
        <v>461</v>
      </c>
      <c r="CD39" s="285" t="e">
        <f>'[3]Storm Sewer -10yr'!#REF!</f>
        <v>#REF!</v>
      </c>
      <c r="CF39" s="260" t="s">
        <v>462</v>
      </c>
      <c r="CG39" s="291">
        <f>IF(CH36=0, 0, IF(CH36&gt;45,0.22*(CD38^2/(2*32.2))*2,IF(CH36=45,0.22*(CD38^2/(2*32.2)),0.22*(CD38^2/(2*32.2))*(2/3))))</f>
        <v>0</v>
      </c>
      <c r="CI39" s="294" t="s">
        <v>463</v>
      </c>
      <c r="CJ39" s="277" t="e">
        <f>MAX(CJ36:CJ37)</f>
        <v>#REF!</v>
      </c>
      <c r="CK39" s="262"/>
      <c r="CL39" s="283" t="s">
        <v>460</v>
      </c>
      <c r="CM39" s="288">
        <f>'[3]Storm Sewer -10yr'!M15</f>
        <v>0.90627999999999997</v>
      </c>
      <c r="CN39" s="260" t="s">
        <v>461</v>
      </c>
      <c r="CO39" s="285">
        <f>'[3]Storm Sewer -10yr'!T15</f>
        <v>23.82891349381562</v>
      </c>
      <c r="CQ39" s="260" t="s">
        <v>462</v>
      </c>
      <c r="CR39" s="291">
        <f>IF(CS36=0, 0, IF(CS36&gt;45,0.22*(CO38^2/(2*32.2))*2,IF(CS36=45,0.22*(CO38^2/(2*32.2)),0.22*(CO38^2/(2*32.2))*(2/3))))</f>
        <v>0</v>
      </c>
      <c r="CT39" s="294" t="s">
        <v>463</v>
      </c>
      <c r="CU39" s="277">
        <f>MAX(CU36:CU37)</f>
        <v>9.3859200110711214</v>
      </c>
      <c r="CV39" s="262"/>
      <c r="CW39" s="283" t="s">
        <v>460</v>
      </c>
      <c r="CX39" s="288">
        <f>'[3]Storm Sewer -10yr'!M20</f>
        <v>0.30800000000000005</v>
      </c>
      <c r="CY39" s="260" t="s">
        <v>461</v>
      </c>
      <c r="CZ39" s="285">
        <f>'[3]Storm Sewer -10yr'!T20</f>
        <v>3.9038232804203443</v>
      </c>
      <c r="DB39" s="260" t="s">
        <v>462</v>
      </c>
      <c r="DC39" s="291">
        <f>IF(DD36=0, 0, IF(DD36&gt;45,0.22*(CZ38^2/(2*32.2))*2,IF(DD36=45,0.22*(CZ38^2/(2*32.2)),0.22*(CZ38^2/(2*32.2))*(2/3))))</f>
        <v>0</v>
      </c>
      <c r="DE39" s="294" t="s">
        <v>463</v>
      </c>
      <c r="DF39" s="277" t="e">
        <f>MAX(DF36:DF37)</f>
        <v>#REF!</v>
      </c>
      <c r="DG39" s="262"/>
      <c r="DH39" s="283" t="s">
        <v>460</v>
      </c>
      <c r="DI39" s="285">
        <f>'[3]Storm Sewer -10yr'!M29</f>
        <v>0</v>
      </c>
      <c r="DJ39" s="260" t="s">
        <v>461</v>
      </c>
      <c r="DK39" s="285">
        <f>'[3]Storm Sewer -10yr'!T29</f>
        <v>0</v>
      </c>
      <c r="DM39" s="260" t="s">
        <v>462</v>
      </c>
      <c r="DN39" s="291">
        <f>IF(DO36=0, 0, IF(DO36&gt;45,0.22*(DK38^2/(2*32.2))*2,IF(DO36=45,0.22*(DK38^2/(2*32.2)),0.22*(DK38^2/(2*32.2))*(2/3))))</f>
        <v>0</v>
      </c>
      <c r="DP39" s="294" t="s">
        <v>463</v>
      </c>
      <c r="DQ39" s="277" t="e">
        <f>MAX(DQ36:DQ37)</f>
        <v>#DIV/0!</v>
      </c>
      <c r="DR39" s="262"/>
      <c r="DS39" s="283" t="s">
        <v>460</v>
      </c>
      <c r="DT39" s="285">
        <f>'[3]Storm Sewer -10yr'!M37</f>
        <v>0</v>
      </c>
      <c r="DU39" s="260" t="s">
        <v>461</v>
      </c>
      <c r="DV39" s="285">
        <f>'[3]Storm Sewer -10yr'!T37</f>
        <v>0</v>
      </c>
      <c r="DX39" s="260" t="s">
        <v>462</v>
      </c>
      <c r="DY39" s="291">
        <f>IF(DZ36=0, 0, IF(DZ36&gt;45,0.22*(DV38^2/(2*32.2))*2,IF(DZ36=45,0.22*(DV38^2/(2*32.2)),0.22*(DV38^2/(2*32.2))*(2/3))))</f>
        <v>0</v>
      </c>
      <c r="EA39" s="294" t="s">
        <v>463</v>
      </c>
      <c r="EB39" s="277" t="e">
        <f>MAX(EB36:EB37)</f>
        <v>#DIV/0!</v>
      </c>
      <c r="EC39" s="262"/>
      <c r="ED39" s="283" t="s">
        <v>460</v>
      </c>
      <c r="EE39" s="285">
        <f>'[3]Storm Sewer -10yr'!J16*8</f>
        <v>3.1487999999999996</v>
      </c>
      <c r="EF39" s="260" t="s">
        <v>461</v>
      </c>
      <c r="EG39" s="285">
        <v>29.3</v>
      </c>
      <c r="EI39" s="260" t="s">
        <v>462</v>
      </c>
      <c r="EJ39" s="291">
        <f>IF(EK36=0, 0, IF(EK36&gt;45,0.22*(EG38^2/(2*32.2))*2,IF(EK36=45,0.22*(EG38^2/(2*32.2)),0.22*(EG38^2/(2*32.2))*(2/3))))</f>
        <v>0</v>
      </c>
      <c r="EL39" s="294" t="s">
        <v>463</v>
      </c>
      <c r="EM39" s="277">
        <f>MAX(EM36:EM37)</f>
        <v>88.245549180993137</v>
      </c>
      <c r="EO39" s="260"/>
      <c r="EP39" s="262"/>
      <c r="EQ39" s="260"/>
      <c r="ER39" s="262"/>
      <c r="ET39" s="260"/>
      <c r="EU39" s="290"/>
      <c r="EZ39" s="260"/>
      <c r="FA39" s="262"/>
      <c r="FB39" s="260"/>
      <c r="FC39" s="262"/>
      <c r="FE39" s="260"/>
      <c r="FF39" s="290"/>
      <c r="FH39" s="294"/>
      <c r="FI39" s="262"/>
      <c r="FK39" s="260"/>
      <c r="FL39" s="262"/>
      <c r="FM39" s="260"/>
      <c r="FN39" s="262"/>
      <c r="FP39" s="260"/>
      <c r="FQ39" s="290"/>
      <c r="FS39" s="294"/>
      <c r="FT39" s="262"/>
      <c r="FV39" s="260"/>
      <c r="FW39" s="262"/>
      <c r="FX39" s="260"/>
      <c r="FY39" s="262"/>
      <c r="GA39" s="260"/>
      <c r="GB39" s="290"/>
      <c r="GD39" s="294"/>
      <c r="GE39" s="262"/>
      <c r="GV39" s="260"/>
      <c r="GW39" s="290"/>
      <c r="GY39" s="260"/>
      <c r="GZ39" s="262"/>
      <c r="HC39" s="260"/>
      <c r="HD39" s="262"/>
      <c r="HE39" s="260"/>
      <c r="HF39" s="262"/>
      <c r="HH39" s="260"/>
      <c r="HI39" s="290"/>
    </row>
    <row r="40" spans="2:220" ht="12" customHeight="1">
      <c r="B40" s="307"/>
      <c r="C40" s="312"/>
      <c r="D40" s="307"/>
      <c r="E40" s="312"/>
      <c r="F40" s="311"/>
      <c r="G40" s="307"/>
      <c r="H40" s="315"/>
      <c r="I40" s="311"/>
      <c r="J40" s="307"/>
      <c r="K40" s="312"/>
      <c r="M40" s="283" t="s">
        <v>464</v>
      </c>
      <c r="N40" s="288"/>
      <c r="O40" s="260" t="s">
        <v>465</v>
      </c>
      <c r="P40" s="285"/>
      <c r="R40" s="260" t="s">
        <v>466</v>
      </c>
      <c r="S40" s="292" t="e">
        <f>P39^2/(2*32.2)*(1-(N39/(N39+N40)))</f>
        <v>#REF!</v>
      </c>
      <c r="U40" s="260" t="s">
        <v>467</v>
      </c>
      <c r="V40" s="277">
        <v>0</v>
      </c>
      <c r="X40" s="283" t="s">
        <v>464</v>
      </c>
      <c r="Y40" s="288"/>
      <c r="Z40" s="260" t="s">
        <v>465</v>
      </c>
      <c r="AA40" s="285"/>
      <c r="AC40" s="260" t="s">
        <v>466</v>
      </c>
      <c r="AD40" s="292" t="e">
        <f>AA39^2/(2*32.2)*(1-(Y39/(Y39+Y40)))</f>
        <v>#REF!</v>
      </c>
      <c r="AF40" s="260" t="s">
        <v>467</v>
      </c>
      <c r="AG40" s="277">
        <v>0</v>
      </c>
      <c r="AI40" s="283" t="s">
        <v>464</v>
      </c>
      <c r="AJ40" s="288"/>
      <c r="AK40" s="260" t="s">
        <v>465</v>
      </c>
      <c r="AL40" s="285"/>
      <c r="AN40" s="260" t="s">
        <v>466</v>
      </c>
      <c r="AO40" s="292" t="e">
        <f>AL39^2/(2*32.2)*(1-(AJ39/(AJ39+AJ40)))</f>
        <v>#REF!</v>
      </c>
      <c r="AQ40" s="260" t="s">
        <v>467</v>
      </c>
      <c r="AR40" s="277" t="e">
        <f>AO41</f>
        <v>#REF!</v>
      </c>
      <c r="AS40" s="262"/>
      <c r="AT40" s="283" t="s">
        <v>464</v>
      </c>
      <c r="AU40" s="288"/>
      <c r="AV40" s="260" t="s">
        <v>465</v>
      </c>
      <c r="AW40" s="285"/>
      <c r="AY40" s="260" t="s">
        <v>466</v>
      </c>
      <c r="AZ40" s="292" t="e">
        <f>AW39^2/(2*32.2)*(1-(AU39/(AU39+AU40)))</f>
        <v>#REF!</v>
      </c>
      <c r="BB40" s="260" t="s">
        <v>467</v>
      </c>
      <c r="BC40" s="277">
        <v>0</v>
      </c>
      <c r="BD40" s="262"/>
      <c r="BE40" s="283" t="s">
        <v>464</v>
      </c>
      <c r="BF40" s="288"/>
      <c r="BG40" s="260" t="s">
        <v>465</v>
      </c>
      <c r="BH40" s="285"/>
      <c r="BJ40" s="260" t="s">
        <v>466</v>
      </c>
      <c r="BK40" s="292" t="e">
        <f>BH39^2/(2*32.2)*(1-(BF39/(BF39+BF40)))</f>
        <v>#REF!</v>
      </c>
      <c r="BM40" s="260" t="s">
        <v>467</v>
      </c>
      <c r="BN40" s="277" t="e">
        <f>BK41</f>
        <v>#REF!</v>
      </c>
      <c r="BO40" s="262"/>
      <c r="BP40" s="283" t="s">
        <v>464</v>
      </c>
      <c r="BQ40" s="288"/>
      <c r="BR40" s="260" t="s">
        <v>465</v>
      </c>
      <c r="BS40" s="285"/>
      <c r="BU40" s="260" t="s">
        <v>466</v>
      </c>
      <c r="BV40" s="292" t="e">
        <f>BS39^2/(2*32.2)*(1-(BQ39/(BQ39+BQ40)))</f>
        <v>#REF!</v>
      </c>
      <c r="BX40" s="260" t="s">
        <v>467</v>
      </c>
      <c r="BY40" s="277">
        <v>0</v>
      </c>
      <c r="BZ40" s="262"/>
      <c r="CA40" s="283" t="s">
        <v>464</v>
      </c>
      <c r="CB40" s="288"/>
      <c r="CC40" s="260" t="s">
        <v>465</v>
      </c>
      <c r="CD40" s="285"/>
      <c r="CF40" s="260" t="s">
        <v>466</v>
      </c>
      <c r="CG40" s="292" t="e">
        <f>CD39^2/(2*32.2)*(1-(CB39/(CB39+CB40)))</f>
        <v>#REF!</v>
      </c>
      <c r="CI40" s="260" t="s">
        <v>467</v>
      </c>
      <c r="CJ40" s="277">
        <v>0</v>
      </c>
      <c r="CK40" s="262"/>
      <c r="CL40" s="283" t="s">
        <v>464</v>
      </c>
      <c r="CM40" s="288"/>
      <c r="CN40" s="260" t="s">
        <v>465</v>
      </c>
      <c r="CO40" s="285"/>
      <c r="CQ40" s="260" t="s">
        <v>466</v>
      </c>
      <c r="CR40" s="292">
        <f>CO39^2/(2*32.2)*(1-(CM39/(CM39+CM40)))</f>
        <v>0</v>
      </c>
      <c r="CT40" s="260" t="s">
        <v>467</v>
      </c>
      <c r="CU40" s="277">
        <v>0</v>
      </c>
      <c r="CV40" s="262"/>
      <c r="CW40" s="283" t="s">
        <v>464</v>
      </c>
      <c r="CX40" s="288"/>
      <c r="CY40" s="260" t="s">
        <v>465</v>
      </c>
      <c r="CZ40" s="285"/>
      <c r="DB40" s="260" t="s">
        <v>466</v>
      </c>
      <c r="DC40" s="292">
        <f>CZ39^2/(2*32.2)*(1-(CX39/(CX39+CX40)))</f>
        <v>0</v>
      </c>
      <c r="DE40" s="260" t="s">
        <v>467</v>
      </c>
      <c r="DF40" s="277">
        <v>0</v>
      </c>
      <c r="DG40" s="262"/>
      <c r="DH40" s="283" t="s">
        <v>464</v>
      </c>
      <c r="DI40" s="288"/>
      <c r="DJ40" s="260" t="s">
        <v>465</v>
      </c>
      <c r="DK40" s="285"/>
      <c r="DM40" s="260" t="s">
        <v>466</v>
      </c>
      <c r="DN40" s="292" t="e">
        <f>DK39^2/(2*32.2)*(1-(DI39/(DI39+DI40)))</f>
        <v>#DIV/0!</v>
      </c>
      <c r="DP40" s="260" t="s">
        <v>467</v>
      </c>
      <c r="DQ40" s="277">
        <v>0</v>
      </c>
      <c r="DR40" s="262"/>
      <c r="DS40" s="283" t="s">
        <v>464</v>
      </c>
      <c r="DT40" s="288"/>
      <c r="DU40" s="260" t="s">
        <v>465</v>
      </c>
      <c r="DV40" s="285"/>
      <c r="DX40" s="260" t="s">
        <v>466</v>
      </c>
      <c r="DY40" s="292" t="e">
        <f>DV39^2/(2*32.2)*(1-(DT39/(DT39+DT40)))</f>
        <v>#DIV/0!</v>
      </c>
      <c r="EA40" s="260" t="s">
        <v>467</v>
      </c>
      <c r="EB40" s="277">
        <v>0</v>
      </c>
      <c r="EC40" s="262"/>
      <c r="ED40" s="283" t="s">
        <v>464</v>
      </c>
      <c r="EE40" s="288"/>
      <c r="EF40" s="260" t="s">
        <v>465</v>
      </c>
      <c r="EG40" s="285"/>
      <c r="EI40" s="260" t="s">
        <v>466</v>
      </c>
      <c r="EJ40" s="292">
        <f>EG39^2/(2*32.2)*(1-(EE39/(EE39+EE40)))</f>
        <v>0</v>
      </c>
      <c r="EL40" s="260" t="s">
        <v>467</v>
      </c>
      <c r="EM40" s="277">
        <v>0</v>
      </c>
      <c r="EO40" s="260"/>
      <c r="EP40" s="262"/>
      <c r="EQ40" s="260"/>
      <c r="ER40" s="262"/>
      <c r="ET40" s="260"/>
      <c r="EU40" s="290"/>
      <c r="EW40" s="294"/>
      <c r="EX40" s="262"/>
      <c r="EZ40" s="260"/>
      <c r="FA40" s="262"/>
      <c r="FB40" s="260"/>
      <c r="FC40" s="262"/>
      <c r="FE40" s="260"/>
      <c r="FF40" s="290"/>
      <c r="FH40" s="260"/>
      <c r="FI40" s="262"/>
      <c r="FJ40" s="260"/>
      <c r="FK40" s="260"/>
      <c r="FL40" s="262"/>
      <c r="FM40" s="260"/>
      <c r="FN40" s="262"/>
      <c r="FP40" s="260"/>
      <c r="FQ40" s="290"/>
      <c r="FS40" s="260"/>
      <c r="FT40" s="262"/>
      <c r="FV40" s="260"/>
      <c r="FW40" s="262"/>
      <c r="FX40" s="260"/>
      <c r="FY40" s="262"/>
      <c r="GA40" s="260"/>
      <c r="GB40" s="290"/>
      <c r="GD40" s="260"/>
      <c r="GE40" s="262"/>
      <c r="GQ40" s="260"/>
      <c r="GR40" s="262"/>
      <c r="GS40" s="260"/>
      <c r="GT40" s="262"/>
      <c r="GV40" s="260"/>
      <c r="GW40" s="290"/>
      <c r="HC40" s="260"/>
      <c r="HD40" s="262"/>
      <c r="HE40" s="260"/>
      <c r="HF40" s="262"/>
      <c r="HH40" s="260"/>
      <c r="HI40" s="290"/>
      <c r="HK40" s="294"/>
      <c r="HL40" s="262"/>
    </row>
    <row r="41" spans="2:220" ht="12" customHeight="1">
      <c r="B41" s="307"/>
      <c r="C41" s="312"/>
      <c r="D41" s="307"/>
      <c r="E41" s="312"/>
      <c r="F41" s="311"/>
      <c r="G41" s="307"/>
      <c r="H41" s="315"/>
      <c r="I41" s="311"/>
      <c r="J41" s="311"/>
      <c r="K41" s="311"/>
      <c r="M41" s="283" t="s">
        <v>468</v>
      </c>
      <c r="N41" s="285"/>
      <c r="O41" s="260" t="s">
        <v>469</v>
      </c>
      <c r="P41" s="285"/>
      <c r="R41" s="260" t="s">
        <v>470</v>
      </c>
      <c r="S41" s="295" t="e">
        <f>SUM(S37:S40)</f>
        <v>#REF!</v>
      </c>
      <c r="V41" s="293"/>
      <c r="X41" s="283" t="s">
        <v>468</v>
      </c>
      <c r="Y41" s="285"/>
      <c r="Z41" s="260" t="s">
        <v>469</v>
      </c>
      <c r="AA41" s="285"/>
      <c r="AC41" s="260" t="s">
        <v>470</v>
      </c>
      <c r="AD41" s="295" t="e">
        <f>SUM(AD37:AD40)</f>
        <v>#REF!</v>
      </c>
      <c r="AG41" s="293"/>
      <c r="AI41" s="283" t="s">
        <v>468</v>
      </c>
      <c r="AJ41" s="285"/>
      <c r="AK41" s="260" t="s">
        <v>469</v>
      </c>
      <c r="AL41" s="285"/>
      <c r="AN41" s="260" t="s">
        <v>470</v>
      </c>
      <c r="AO41" s="295" t="e">
        <f>SUM(AO37:AO40)</f>
        <v>#REF!</v>
      </c>
      <c r="AR41" s="293"/>
      <c r="AT41" s="283" t="s">
        <v>468</v>
      </c>
      <c r="AU41" s="285"/>
      <c r="AV41" s="260" t="s">
        <v>469</v>
      </c>
      <c r="AW41" s="285"/>
      <c r="AY41" s="260" t="s">
        <v>470</v>
      </c>
      <c r="AZ41" s="295" t="e">
        <f>SUM(AZ37:AZ40)</f>
        <v>#REF!</v>
      </c>
      <c r="BC41" s="293"/>
      <c r="BE41" s="283" t="s">
        <v>468</v>
      </c>
      <c r="BF41" s="285"/>
      <c r="BG41" s="260" t="s">
        <v>469</v>
      </c>
      <c r="BH41" s="285"/>
      <c r="BJ41" s="260" t="s">
        <v>470</v>
      </c>
      <c r="BK41" s="295" t="e">
        <f>SUM(BK37:BK40)</f>
        <v>#REF!</v>
      </c>
      <c r="BN41" s="293"/>
      <c r="BP41" s="283" t="s">
        <v>468</v>
      </c>
      <c r="BQ41" s="285"/>
      <c r="BR41" s="260" t="s">
        <v>469</v>
      </c>
      <c r="BS41" s="285"/>
      <c r="BU41" s="260" t="s">
        <v>470</v>
      </c>
      <c r="BV41" s="295" t="e">
        <f>SUM(BV37:BV40)</f>
        <v>#REF!</v>
      </c>
      <c r="BY41" s="293"/>
      <c r="CA41" s="283" t="s">
        <v>468</v>
      </c>
      <c r="CB41" s="285"/>
      <c r="CC41" s="260" t="s">
        <v>469</v>
      </c>
      <c r="CD41" s="285"/>
      <c r="CF41" s="260" t="s">
        <v>470</v>
      </c>
      <c r="CG41" s="295" t="e">
        <f>SUM(CG37:CG40)</f>
        <v>#REF!</v>
      </c>
      <c r="CJ41" s="293"/>
      <c r="CL41" s="283" t="s">
        <v>468</v>
      </c>
      <c r="CM41" s="285"/>
      <c r="CN41" s="260" t="s">
        <v>469</v>
      </c>
      <c r="CO41" s="285"/>
      <c r="CQ41" s="260" t="s">
        <v>470</v>
      </c>
      <c r="CR41" s="295">
        <f>SUM(CR37:CR40)</f>
        <v>2.90962187946579</v>
      </c>
      <c r="CU41" s="293"/>
      <c r="CW41" s="283" t="s">
        <v>468</v>
      </c>
      <c r="CX41" s="285"/>
      <c r="CY41" s="260" t="s">
        <v>469</v>
      </c>
      <c r="CZ41" s="285"/>
      <c r="DB41" s="260" t="s">
        <v>470</v>
      </c>
      <c r="DC41" s="295">
        <f>SUM(DC37:DC40)</f>
        <v>7.8092328378386852E-2</v>
      </c>
      <c r="DF41" s="293"/>
      <c r="DH41" s="283" t="s">
        <v>468</v>
      </c>
      <c r="DI41" s="285"/>
      <c r="DJ41" s="260" t="s">
        <v>469</v>
      </c>
      <c r="DK41" s="285"/>
      <c r="DM41" s="260" t="s">
        <v>470</v>
      </c>
      <c r="DN41" s="295" t="e">
        <f>SUM(DN37:DN40)</f>
        <v>#DIV/0!</v>
      </c>
      <c r="DQ41" s="293"/>
      <c r="DS41" s="283" t="s">
        <v>468</v>
      </c>
      <c r="DT41" s="285"/>
      <c r="DU41" s="260" t="s">
        <v>469</v>
      </c>
      <c r="DV41" s="285"/>
      <c r="DX41" s="260" t="s">
        <v>470</v>
      </c>
      <c r="DY41" s="295" t="e">
        <f>SUM(DY37:DY40)</f>
        <v>#DIV/0!</v>
      </c>
      <c r="EB41" s="293"/>
      <c r="ED41" s="283" t="s">
        <v>468</v>
      </c>
      <c r="EE41" s="285"/>
      <c r="EF41" s="260" t="s">
        <v>469</v>
      </c>
      <c r="EG41" s="285"/>
      <c r="EI41" s="260" t="s">
        <v>470</v>
      </c>
      <c r="EJ41" s="295">
        <f>SUM(EJ37:EJ40)</f>
        <v>4.3990947204968949</v>
      </c>
      <c r="EM41" s="293"/>
      <c r="EO41" s="260"/>
      <c r="EP41" s="262"/>
      <c r="EQ41" s="260"/>
      <c r="ER41" s="262"/>
      <c r="ET41" s="260"/>
      <c r="EU41" s="290"/>
      <c r="EW41" s="260"/>
      <c r="EX41" s="262"/>
      <c r="EZ41" s="260"/>
      <c r="FA41" s="262"/>
      <c r="FB41" s="260"/>
      <c r="FC41" s="262"/>
      <c r="FE41" s="260"/>
      <c r="FF41" s="290"/>
      <c r="FJ41" s="260"/>
      <c r="FK41" s="260"/>
      <c r="FL41" s="262"/>
      <c r="FM41" s="260"/>
      <c r="FN41" s="262"/>
      <c r="FP41" s="260"/>
      <c r="FQ41" s="290"/>
      <c r="FV41" s="260"/>
      <c r="FW41" s="262"/>
      <c r="FX41" s="260"/>
      <c r="FY41" s="262"/>
      <c r="GA41" s="260"/>
      <c r="GB41" s="290"/>
      <c r="GQ41" s="260"/>
      <c r="GR41" s="262"/>
      <c r="GS41" s="260"/>
      <c r="GT41" s="262"/>
      <c r="GV41" s="260"/>
      <c r="GW41" s="290"/>
      <c r="GY41" s="294"/>
      <c r="GZ41" s="262"/>
      <c r="HC41" s="260"/>
      <c r="HD41" s="262"/>
      <c r="HE41" s="260"/>
      <c r="HF41" s="262"/>
      <c r="HH41" s="260"/>
      <c r="HI41" s="290"/>
      <c r="HK41" s="260"/>
      <c r="HL41" s="262"/>
    </row>
    <row r="42" spans="2:220" ht="12" customHeight="1" thickBot="1">
      <c r="B42" s="311"/>
      <c r="C42" s="311"/>
      <c r="D42" s="311"/>
      <c r="E42" s="311"/>
      <c r="F42" s="311"/>
      <c r="G42" s="311"/>
      <c r="H42" s="311"/>
      <c r="I42" s="311"/>
      <c r="J42" s="307"/>
      <c r="K42" s="318"/>
      <c r="M42" s="302"/>
      <c r="N42" s="299"/>
      <c r="O42" s="299"/>
      <c r="P42" s="299"/>
      <c r="Q42" s="299"/>
      <c r="R42" s="299"/>
      <c r="S42" s="299"/>
      <c r="T42" s="299"/>
      <c r="U42" s="300" t="s">
        <v>471</v>
      </c>
      <c r="V42" s="301" t="e">
        <f>V39+V40</f>
        <v>#REF!</v>
      </c>
      <c r="X42" s="302"/>
      <c r="Y42" s="299"/>
      <c r="Z42" s="299"/>
      <c r="AA42" s="299"/>
      <c r="AB42" s="299"/>
      <c r="AC42" s="299"/>
      <c r="AD42" s="299"/>
      <c r="AE42" s="299"/>
      <c r="AF42" s="300" t="s">
        <v>471</v>
      </c>
      <c r="AG42" s="301" t="e">
        <f>AG39+AG40</f>
        <v>#REF!</v>
      </c>
      <c r="AI42" s="302"/>
      <c r="AJ42" s="299"/>
      <c r="AK42" s="299"/>
      <c r="AL42" s="299"/>
      <c r="AM42" s="299"/>
      <c r="AN42" s="299"/>
      <c r="AO42" s="299"/>
      <c r="AP42" s="299"/>
      <c r="AQ42" s="300" t="s">
        <v>471</v>
      </c>
      <c r="AR42" s="301" t="e">
        <f>AR39+AR40</f>
        <v>#REF!</v>
      </c>
      <c r="AS42" s="296"/>
      <c r="AT42" s="302"/>
      <c r="AU42" s="299"/>
      <c r="AV42" s="299"/>
      <c r="AW42" s="299"/>
      <c r="AX42" s="299"/>
      <c r="AY42" s="299"/>
      <c r="AZ42" s="299"/>
      <c r="BA42" s="299"/>
      <c r="BB42" s="300" t="s">
        <v>471</v>
      </c>
      <c r="BC42" s="301" t="e">
        <f>BC39+BC40</f>
        <v>#REF!</v>
      </c>
      <c r="BD42" s="296"/>
      <c r="BE42" s="302"/>
      <c r="BF42" s="299"/>
      <c r="BG42" s="299"/>
      <c r="BH42" s="299"/>
      <c r="BI42" s="299"/>
      <c r="BJ42" s="299"/>
      <c r="BK42" s="299"/>
      <c r="BL42" s="299"/>
      <c r="BM42" s="300" t="s">
        <v>471</v>
      </c>
      <c r="BN42" s="301" t="e">
        <f>BN39+BN40</f>
        <v>#REF!</v>
      </c>
      <c r="BO42" s="296"/>
      <c r="BP42" s="302"/>
      <c r="BQ42" s="299"/>
      <c r="BR42" s="299"/>
      <c r="BS42" s="299"/>
      <c r="BT42" s="299"/>
      <c r="BU42" s="299"/>
      <c r="BV42" s="299"/>
      <c r="BW42" s="299"/>
      <c r="BX42" s="300" t="s">
        <v>471</v>
      </c>
      <c r="BY42" s="301" t="e">
        <f>BY39+BY40</f>
        <v>#REF!</v>
      </c>
      <c r="BZ42" s="296"/>
      <c r="CA42" s="302"/>
      <c r="CB42" s="299"/>
      <c r="CC42" s="299"/>
      <c r="CD42" s="299"/>
      <c r="CE42" s="299"/>
      <c r="CF42" s="299"/>
      <c r="CG42" s="299"/>
      <c r="CH42" s="299"/>
      <c r="CI42" s="300" t="s">
        <v>471</v>
      </c>
      <c r="CJ42" s="301" t="e">
        <f>CJ39+CJ40</f>
        <v>#REF!</v>
      </c>
      <c r="CK42" s="296"/>
      <c r="CL42" s="302"/>
      <c r="CM42" s="299"/>
      <c r="CN42" s="299"/>
      <c r="CO42" s="299"/>
      <c r="CP42" s="299"/>
      <c r="CQ42" s="299"/>
      <c r="CR42" s="299"/>
      <c r="CS42" s="299"/>
      <c r="CT42" s="300" t="s">
        <v>471</v>
      </c>
      <c r="CU42" s="301">
        <f>CU39+CU40</f>
        <v>9.3859200110711214</v>
      </c>
      <c r="CV42" s="296"/>
      <c r="CW42" s="302"/>
      <c r="CX42" s="299"/>
      <c r="CY42" s="299"/>
      <c r="CZ42" s="299"/>
      <c r="DA42" s="299"/>
      <c r="DB42" s="299"/>
      <c r="DC42" s="299"/>
      <c r="DD42" s="299"/>
      <c r="DE42" s="300" t="s">
        <v>471</v>
      </c>
      <c r="DF42" s="301" t="e">
        <f>DF39+DF40</f>
        <v>#REF!</v>
      </c>
      <c r="DG42" s="296"/>
      <c r="DH42" s="302"/>
      <c r="DI42" s="299"/>
      <c r="DJ42" s="299"/>
      <c r="DK42" s="299"/>
      <c r="DL42" s="299"/>
      <c r="DM42" s="299"/>
      <c r="DN42" s="299"/>
      <c r="DO42" s="299"/>
      <c r="DP42" s="300" t="s">
        <v>471</v>
      </c>
      <c r="DQ42" s="301" t="e">
        <f>DQ39+DQ40</f>
        <v>#DIV/0!</v>
      </c>
      <c r="DR42" s="296"/>
      <c r="DS42" s="302"/>
      <c r="DT42" s="299"/>
      <c r="DU42" s="299"/>
      <c r="DV42" s="299"/>
      <c r="DW42" s="299"/>
      <c r="DX42" s="299"/>
      <c r="DY42" s="299"/>
      <c r="DZ42" s="299"/>
      <c r="EA42" s="300" t="s">
        <v>471</v>
      </c>
      <c r="EB42" s="301" t="e">
        <f>EB39+EB40</f>
        <v>#DIV/0!</v>
      </c>
      <c r="EC42" s="296"/>
      <c r="ED42" s="302"/>
      <c r="EE42" s="299"/>
      <c r="EF42" s="299"/>
      <c r="EG42" s="299"/>
      <c r="EH42" s="299"/>
      <c r="EI42" s="299"/>
      <c r="EJ42" s="299"/>
      <c r="EK42" s="299"/>
      <c r="EL42" s="300" t="s">
        <v>471</v>
      </c>
      <c r="EM42" s="301">
        <f>EM39+EM40</f>
        <v>88.245549180993137</v>
      </c>
      <c r="EO42" s="260"/>
      <c r="EP42" s="262"/>
      <c r="EQ42" s="260"/>
      <c r="ER42" s="262"/>
      <c r="ET42" s="260"/>
      <c r="EU42" s="290"/>
      <c r="FH42" s="260"/>
      <c r="FI42" s="296"/>
      <c r="FJ42" s="260"/>
      <c r="FS42" s="260"/>
      <c r="FT42" s="296"/>
      <c r="GD42" s="260"/>
      <c r="GE42" s="296"/>
      <c r="GQ42" s="260"/>
      <c r="GR42" s="262"/>
      <c r="GS42" s="260"/>
      <c r="GT42" s="262"/>
      <c r="GV42" s="260"/>
      <c r="GW42" s="290"/>
      <c r="GY42" s="260"/>
      <c r="GZ42" s="262"/>
      <c r="HC42" s="260"/>
      <c r="HD42" s="262"/>
      <c r="HE42" s="260"/>
      <c r="HF42" s="262"/>
      <c r="HH42" s="260"/>
      <c r="HI42" s="290"/>
    </row>
    <row r="43" spans="2:220" ht="12" customHeight="1">
      <c r="J43" s="260"/>
      <c r="K43" s="296"/>
      <c r="U43" s="260"/>
      <c r="V43" s="296"/>
      <c r="AF43" s="260"/>
      <c r="AG43" s="296"/>
      <c r="AQ43" s="260"/>
      <c r="AR43" s="296"/>
      <c r="AS43" s="296"/>
      <c r="BD43" s="296"/>
      <c r="BM43" s="260"/>
      <c r="BN43" s="296"/>
      <c r="BO43" s="296"/>
      <c r="BY43" s="260"/>
      <c r="BZ43" s="296"/>
      <c r="CK43" s="296"/>
      <c r="CU43" s="260"/>
      <c r="CV43" s="296"/>
      <c r="DE43" s="260"/>
      <c r="DF43" s="296"/>
      <c r="DG43" s="296"/>
      <c r="DR43" s="296"/>
      <c r="EB43" s="260"/>
      <c r="EC43" s="296"/>
      <c r="EN43" s="296"/>
      <c r="EW43" s="260"/>
      <c r="EX43" s="296"/>
      <c r="FJ43" s="260"/>
      <c r="FK43" s="290"/>
      <c r="FM43" s="260"/>
      <c r="FN43" s="262"/>
      <c r="GQ43" s="260"/>
      <c r="GR43" s="262"/>
      <c r="GS43" s="260"/>
      <c r="GT43" s="262"/>
      <c r="GV43" s="260"/>
      <c r="GW43" s="290"/>
      <c r="HK43" s="260"/>
      <c r="HL43" s="296"/>
    </row>
    <row r="44" spans="2:220" ht="12" customHeight="1" thickBot="1">
      <c r="M44" s="256" t="s">
        <v>425</v>
      </c>
      <c r="N44" s="256" t="s">
        <v>495</v>
      </c>
      <c r="X44" s="256" t="s">
        <v>425</v>
      </c>
      <c r="Y44" s="256" t="s">
        <v>496</v>
      </c>
      <c r="AI44" s="256" t="s">
        <v>425</v>
      </c>
      <c r="AJ44" s="256" t="s">
        <v>497</v>
      </c>
      <c r="BE44" s="256" t="s">
        <v>425</v>
      </c>
      <c r="BF44" s="256" t="s">
        <v>498</v>
      </c>
      <c r="BP44" s="459" t="s">
        <v>499</v>
      </c>
      <c r="BQ44" s="460"/>
      <c r="BR44" s="460"/>
      <c r="BS44" s="460"/>
      <c r="BT44" s="460"/>
      <c r="BU44" s="460"/>
      <c r="BV44" s="460"/>
      <c r="BW44" s="460"/>
      <c r="BX44" s="460"/>
      <c r="BY44" s="461"/>
      <c r="CA44" s="256" t="s">
        <v>425</v>
      </c>
      <c r="CB44" s="256" t="s">
        <v>500</v>
      </c>
      <c r="CL44" s="256" t="s">
        <v>425</v>
      </c>
      <c r="CM44" s="256" t="s">
        <v>501</v>
      </c>
      <c r="CW44" s="256" t="s">
        <v>425</v>
      </c>
      <c r="CX44" s="256" t="s">
        <v>502</v>
      </c>
      <c r="DH44" s="256" t="s">
        <v>425</v>
      </c>
      <c r="DI44" s="256" t="s">
        <v>503</v>
      </c>
      <c r="DS44" s="256" t="s">
        <v>425</v>
      </c>
      <c r="DT44" s="256" t="s">
        <v>504</v>
      </c>
      <c r="ED44" s="255" t="s">
        <v>425</v>
      </c>
      <c r="EE44" s="258" t="s">
        <v>495</v>
      </c>
      <c r="EZ44" s="462"/>
      <c r="FA44" s="462"/>
      <c r="FB44" s="462"/>
      <c r="FC44" s="462"/>
      <c r="FD44" s="462"/>
      <c r="FE44" s="462"/>
      <c r="FF44" s="462"/>
      <c r="FG44" s="462"/>
      <c r="FH44" s="462"/>
      <c r="FI44" s="462"/>
    </row>
    <row r="45" spans="2:220" ht="12" customHeight="1" thickBot="1">
      <c r="M45" s="263" t="s">
        <v>438</v>
      </c>
      <c r="N45" s="264" t="e">
        <f>'[3]Storm Sewer -10yr'!#REF!</f>
        <v>#REF!</v>
      </c>
      <c r="O45" s="265" t="s">
        <v>439</v>
      </c>
      <c r="P45" s="264" t="e">
        <f>'[3]Storm Sewer -10yr'!#REF!</f>
        <v>#REF!</v>
      </c>
      <c r="Q45" s="266" t="s">
        <v>48</v>
      </c>
      <c r="R45" s="267"/>
      <c r="S45" s="266" t="s">
        <v>440</v>
      </c>
      <c r="T45" s="268"/>
      <c r="U45" s="265" t="s">
        <v>442</v>
      </c>
      <c r="V45" s="270">
        <v>3.85</v>
      </c>
      <c r="X45" s="263" t="s">
        <v>438</v>
      </c>
      <c r="Y45" s="264" t="e">
        <f>'[3]Storm Sewer -10yr'!#REF!</f>
        <v>#REF!</v>
      </c>
      <c r="Z45" s="265" t="s">
        <v>439</v>
      </c>
      <c r="AA45" s="264" t="e">
        <f>'[3]Storm Sewer -10yr'!#REF!</f>
        <v>#REF!</v>
      </c>
      <c r="AB45" s="266" t="s">
        <v>48</v>
      </c>
      <c r="AC45" s="267"/>
      <c r="AD45" s="266" t="s">
        <v>440</v>
      </c>
      <c r="AE45" s="268"/>
      <c r="AF45" s="265" t="s">
        <v>442</v>
      </c>
      <c r="AG45" s="270">
        <v>4.42</v>
      </c>
      <c r="AI45" s="263" t="s">
        <v>438</v>
      </c>
      <c r="AJ45" s="264" t="e">
        <f>'[3]Storm Sewer -10yr'!#REF!</f>
        <v>#REF!</v>
      </c>
      <c r="AK45" s="265" t="s">
        <v>439</v>
      </c>
      <c r="AL45" s="264" t="e">
        <f>'[3]Storm Sewer -10yr'!#REF!</f>
        <v>#REF!</v>
      </c>
      <c r="AM45" s="266" t="s">
        <v>48</v>
      </c>
      <c r="AN45" s="267"/>
      <c r="AO45" s="266" t="s">
        <v>440</v>
      </c>
      <c r="AP45" s="268"/>
      <c r="AQ45" s="265" t="s">
        <v>442</v>
      </c>
      <c r="AR45" s="270" t="e">
        <f>AR42</f>
        <v>#REF!</v>
      </c>
      <c r="AS45" s="262"/>
      <c r="AU45" s="260"/>
      <c r="AW45" s="260"/>
      <c r="AY45" s="261"/>
      <c r="AZ45" s="259"/>
      <c r="BA45" s="261"/>
      <c r="BC45" s="260"/>
      <c r="BD45" s="262"/>
      <c r="BE45" s="263" t="s">
        <v>438</v>
      </c>
      <c r="BF45" s="264" t="e">
        <f>'[3]Storm Sewer -10yr'!#REF!</f>
        <v>#REF!</v>
      </c>
      <c r="BG45" s="265" t="s">
        <v>439</v>
      </c>
      <c r="BH45" s="264" t="e">
        <f>'[3]Storm Sewer -10yr'!#REF!</f>
        <v>#REF!</v>
      </c>
      <c r="BI45" s="266" t="s">
        <v>48</v>
      </c>
      <c r="BJ45" s="267"/>
      <c r="BK45" s="266" t="s">
        <v>440</v>
      </c>
      <c r="BL45" s="268"/>
      <c r="BM45" s="265" t="s">
        <v>442</v>
      </c>
      <c r="BN45" s="270" t="e">
        <f>BN42</f>
        <v>#REF!</v>
      </c>
      <c r="BO45" s="262"/>
      <c r="BP45" s="256" t="s">
        <v>425</v>
      </c>
      <c r="BQ45" s="256" t="s">
        <v>505</v>
      </c>
      <c r="BZ45" s="262"/>
      <c r="CA45" s="263" t="s">
        <v>438</v>
      </c>
      <c r="CB45" s="264" t="e">
        <f>'[3]Storm Sewer -10yr'!#REF!</f>
        <v>#REF!</v>
      </c>
      <c r="CC45" s="265" t="s">
        <v>439</v>
      </c>
      <c r="CD45" s="264" t="e">
        <f>'[3]Storm Sewer -10yr'!#REF!</f>
        <v>#REF!</v>
      </c>
      <c r="CE45" s="266" t="s">
        <v>48</v>
      </c>
      <c r="CF45" s="267"/>
      <c r="CG45" s="266" t="s">
        <v>440</v>
      </c>
      <c r="CH45" s="268"/>
      <c r="CI45" s="265" t="s">
        <v>442</v>
      </c>
      <c r="CJ45" s="270">
        <v>8.75</v>
      </c>
      <c r="CK45" s="262"/>
      <c r="CL45" s="263" t="s">
        <v>438</v>
      </c>
      <c r="CM45" s="264" t="str">
        <f>'[3]Storm Sewer -10yr'!C17</f>
        <v>I-02</v>
      </c>
      <c r="CN45" s="265" t="s">
        <v>439</v>
      </c>
      <c r="CO45" s="264" t="str">
        <f>'[3]Storm Sewer -10yr'!B17</f>
        <v xml:space="preserve">MH-02 </v>
      </c>
      <c r="CP45" s="266" t="s">
        <v>48</v>
      </c>
      <c r="CQ45" s="267"/>
      <c r="CR45" s="266" t="s">
        <v>440</v>
      </c>
      <c r="CS45" s="268"/>
      <c r="CT45" s="265" t="s">
        <v>442</v>
      </c>
      <c r="CU45" s="270">
        <f>CU16</f>
        <v>10.624626584355802</v>
      </c>
      <c r="CV45" s="262"/>
      <c r="CW45" s="263" t="s">
        <v>438</v>
      </c>
      <c r="CX45" s="264" t="str">
        <f>'[3]Storm Sewer -10yr'!C23</f>
        <v>HW-01</v>
      </c>
      <c r="CY45" s="265" t="s">
        <v>439</v>
      </c>
      <c r="CZ45" s="264" t="str">
        <f>'[3]Storm Sewer -10yr'!B23</f>
        <v>I-04</v>
      </c>
      <c r="DA45" s="266" t="s">
        <v>48</v>
      </c>
      <c r="DB45" s="267"/>
      <c r="DC45" s="266" t="s">
        <v>440</v>
      </c>
      <c r="DD45" s="268"/>
      <c r="DE45" s="265" t="s">
        <v>442</v>
      </c>
      <c r="DF45" s="270">
        <v>7.03</v>
      </c>
      <c r="DG45" s="262"/>
      <c r="DH45" s="263" t="s">
        <v>438</v>
      </c>
      <c r="DI45" s="264">
        <f>'[3]Storm Sewer -10yr'!C31</f>
        <v>0</v>
      </c>
      <c r="DJ45" s="265" t="s">
        <v>439</v>
      </c>
      <c r="DK45" s="264">
        <f>'[3]Storm Sewer -10yr'!B31</f>
        <v>0</v>
      </c>
      <c r="DL45" s="266" t="s">
        <v>48</v>
      </c>
      <c r="DM45" s="267"/>
      <c r="DN45" s="266" t="s">
        <v>440</v>
      </c>
      <c r="DO45" s="268"/>
      <c r="DP45" s="265" t="s">
        <v>442</v>
      </c>
      <c r="DQ45" s="270">
        <v>9.0399999999999991</v>
      </c>
      <c r="DR45" s="262"/>
      <c r="DS45" s="263" t="s">
        <v>438</v>
      </c>
      <c r="DT45" s="264">
        <f>'[3]Storm Sewer -10yr'!C39</f>
        <v>0</v>
      </c>
      <c r="DU45" s="265" t="s">
        <v>439</v>
      </c>
      <c r="DV45" s="264">
        <f>'[3]Storm Sewer -10yr'!B39</f>
        <v>0</v>
      </c>
      <c r="DW45" s="266" t="s">
        <v>48</v>
      </c>
      <c r="DX45" s="267"/>
      <c r="DY45" s="266" t="s">
        <v>440</v>
      </c>
      <c r="DZ45" s="268"/>
      <c r="EA45" s="265" t="s">
        <v>442</v>
      </c>
      <c r="EB45" s="270">
        <v>14.11</v>
      </c>
      <c r="EC45" s="262"/>
      <c r="ED45" s="263" t="s">
        <v>438</v>
      </c>
      <c r="EE45" s="264" t="s">
        <v>506</v>
      </c>
      <c r="EF45" s="265" t="s">
        <v>439</v>
      </c>
      <c r="EG45" s="264" t="s">
        <v>507</v>
      </c>
      <c r="EH45" s="266" t="s">
        <v>48</v>
      </c>
      <c r="EI45" s="267"/>
      <c r="EJ45" s="266" t="s">
        <v>440</v>
      </c>
      <c r="EK45" s="268"/>
      <c r="EL45" s="265" t="s">
        <v>442</v>
      </c>
      <c r="EM45" s="270">
        <f>EM42</f>
        <v>88.245549180993137</v>
      </c>
      <c r="EN45" s="262"/>
      <c r="FK45" s="260"/>
      <c r="FL45" s="271"/>
      <c r="FM45" s="260"/>
      <c r="FN45" s="271"/>
      <c r="FO45" s="261"/>
      <c r="FP45" s="259"/>
      <c r="FQ45" s="261"/>
      <c r="FS45" s="260"/>
      <c r="FT45" s="262"/>
    </row>
    <row r="46" spans="2:220" ht="12" customHeight="1">
      <c r="M46" s="274"/>
      <c r="N46" s="260" t="s">
        <v>443</v>
      </c>
      <c r="O46" s="275" t="e">
        <f>P45</f>
        <v>#REF!</v>
      </c>
      <c r="Q46" s="272" t="e">
        <f>'[3]Storm Sewer -10yr'!#REF!</f>
        <v>#REF!</v>
      </c>
      <c r="R46" s="260" t="s">
        <v>444</v>
      </c>
      <c r="S46" s="273" t="e">
        <f>'[3]Storm Sewer -10yr'!#REF!</f>
        <v>#REF!</v>
      </c>
      <c r="U46" s="260" t="s">
        <v>445</v>
      </c>
      <c r="V46" s="277" t="e">
        <f>Q49+(N49/12)</f>
        <v>#REF!</v>
      </c>
      <c r="X46" s="274"/>
      <c r="Y46" s="260" t="s">
        <v>443</v>
      </c>
      <c r="Z46" s="275" t="e">
        <f>AA45</f>
        <v>#REF!</v>
      </c>
      <c r="AB46" s="272" t="e">
        <f>'[3]Storm Sewer -10yr'!#REF!</f>
        <v>#REF!</v>
      </c>
      <c r="AC46" s="260" t="s">
        <v>444</v>
      </c>
      <c r="AD46" s="273" t="e">
        <f>'[3]Storm Sewer -10yr'!#REF!</f>
        <v>#REF!</v>
      </c>
      <c r="AF46" s="260" t="s">
        <v>445</v>
      </c>
      <c r="AG46" s="277" t="e">
        <f>AB49+(Y49/12)</f>
        <v>#REF!</v>
      </c>
      <c r="AI46" s="274"/>
      <c r="AJ46" s="260" t="s">
        <v>443</v>
      </c>
      <c r="AK46" s="275" t="e">
        <f>AL45</f>
        <v>#REF!</v>
      </c>
      <c r="AM46" s="272" t="e">
        <f>'[3]Storm Sewer -10yr'!#REF!</f>
        <v>#REF!</v>
      </c>
      <c r="AN46" s="260" t="s">
        <v>444</v>
      </c>
      <c r="AO46" s="273" t="e">
        <f>'[3]Storm Sewer -10yr'!#REF!</f>
        <v>#REF!</v>
      </c>
      <c r="AQ46" s="260" t="s">
        <v>445</v>
      </c>
      <c r="AR46" s="277" t="e">
        <f>AM49+(AJ49/12)</f>
        <v>#REF!</v>
      </c>
      <c r="AS46" s="262"/>
      <c r="AT46" s="260"/>
      <c r="AV46" s="260"/>
      <c r="AY46" s="272"/>
      <c r="AZ46" s="260"/>
      <c r="BA46" s="319"/>
      <c r="BC46" s="260"/>
      <c r="BD46" s="262"/>
      <c r="BE46" s="274"/>
      <c r="BF46" s="260" t="s">
        <v>443</v>
      </c>
      <c r="BG46" s="275" t="e">
        <f>BH45</f>
        <v>#REF!</v>
      </c>
      <c r="BI46" s="272" t="e">
        <f>'[3]Storm Sewer -10yr'!#REF!</f>
        <v>#REF!</v>
      </c>
      <c r="BJ46" s="260" t="s">
        <v>444</v>
      </c>
      <c r="BK46" s="273" t="e">
        <f>'[3]Storm Sewer -10yr'!#REF!</f>
        <v>#REF!</v>
      </c>
      <c r="BM46" s="260" t="s">
        <v>445</v>
      </c>
      <c r="BN46" s="277" t="e">
        <f>BI49+(BF49/12)</f>
        <v>#REF!</v>
      </c>
      <c r="BO46" s="262"/>
      <c r="BP46" s="263" t="s">
        <v>438</v>
      </c>
      <c r="BQ46" s="264" t="e">
        <f>'[3]Storm Sewer -10yr'!#REF!</f>
        <v>#REF!</v>
      </c>
      <c r="BR46" s="265" t="s">
        <v>439</v>
      </c>
      <c r="BS46" s="264" t="e">
        <f>'[3]Storm Sewer -10yr'!#REF!</f>
        <v>#REF!</v>
      </c>
      <c r="BT46" s="266" t="s">
        <v>48</v>
      </c>
      <c r="BU46" s="267"/>
      <c r="BV46" s="266" t="s">
        <v>440</v>
      </c>
      <c r="BW46" s="268"/>
      <c r="BX46" s="265" t="s">
        <v>442</v>
      </c>
      <c r="BY46" s="270">
        <v>7</v>
      </c>
      <c r="BZ46" s="262"/>
      <c r="CA46" s="274"/>
      <c r="CB46" s="260" t="s">
        <v>443</v>
      </c>
      <c r="CC46" s="275" t="e">
        <f>CD45</f>
        <v>#REF!</v>
      </c>
      <c r="CE46" s="272" t="e">
        <f>'[3]Storm Sewer -10yr'!#REF!</f>
        <v>#REF!</v>
      </c>
      <c r="CF46" s="260" t="s">
        <v>444</v>
      </c>
      <c r="CG46" s="273" t="e">
        <f>'[3]Storm Sewer -10yr'!#REF!</f>
        <v>#REF!</v>
      </c>
      <c r="CI46" s="260" t="s">
        <v>445</v>
      </c>
      <c r="CJ46" s="277" t="e">
        <f>CE49+(CB49/12)</f>
        <v>#REF!</v>
      </c>
      <c r="CK46" s="262"/>
      <c r="CL46" s="274"/>
      <c r="CM46" s="260" t="s">
        <v>443</v>
      </c>
      <c r="CN46" s="275" t="str">
        <f>CO45</f>
        <v xml:space="preserve">MH-02 </v>
      </c>
      <c r="CP46" s="272">
        <f>'[3]Storm Sewer -10yr'!R17</f>
        <v>19</v>
      </c>
      <c r="CQ46" s="260" t="s">
        <v>444</v>
      </c>
      <c r="CR46" s="273">
        <f>'[3]Storm Sewer -10yr'!AM17</f>
        <v>6.5880049833359452E-4</v>
      </c>
      <c r="CT46" s="260" t="s">
        <v>445</v>
      </c>
      <c r="CU46" s="277">
        <f>CP49+(CM49/12)</f>
        <v>6.15</v>
      </c>
      <c r="CV46" s="262"/>
      <c r="CW46" s="274"/>
      <c r="CX46" s="260" t="s">
        <v>443</v>
      </c>
      <c r="CY46" s="275" t="str">
        <f>CZ45</f>
        <v>I-04</v>
      </c>
      <c r="DA46" s="272">
        <f>'[3]Storm Sewer -10yr'!R23</f>
        <v>32</v>
      </c>
      <c r="DB46" s="260" t="s">
        <v>444</v>
      </c>
      <c r="DC46" s="273">
        <f>'[3]Storm Sewer -10yr'!AM23</f>
        <v>6.9216909591622699E-3</v>
      </c>
      <c r="DE46" s="260" t="s">
        <v>445</v>
      </c>
      <c r="DF46" s="277">
        <f>DA49+(CX49/12)</f>
        <v>6.52</v>
      </c>
      <c r="DG46" s="262"/>
      <c r="DH46" s="274"/>
      <c r="DI46" s="260" t="s">
        <v>443</v>
      </c>
      <c r="DJ46" s="275">
        <f>DK45</f>
        <v>0</v>
      </c>
      <c r="DL46" s="272">
        <f>'[3]Storm Sewer -10yr'!R31</f>
        <v>0</v>
      </c>
      <c r="DM46" s="260" t="s">
        <v>444</v>
      </c>
      <c r="DN46" s="273" t="e">
        <f>'[3]Storm Sewer -10yr'!AM31</f>
        <v>#DIV/0!</v>
      </c>
      <c r="DP46" s="260" t="s">
        <v>445</v>
      </c>
      <c r="DQ46" s="277">
        <f>DL49+(DI49/12)</f>
        <v>6.51</v>
      </c>
      <c r="DR46" s="262"/>
      <c r="DS46" s="274"/>
      <c r="DT46" s="260" t="s">
        <v>443</v>
      </c>
      <c r="DU46" s="275">
        <f>DV45</f>
        <v>0</v>
      </c>
      <c r="DW46" s="272">
        <f>'[3]Storm Sewer -10yr'!R39</f>
        <v>0</v>
      </c>
      <c r="DX46" s="260" t="s">
        <v>444</v>
      </c>
      <c r="DY46" s="273" t="e">
        <f>'[3]Storm Sewer -10yr'!AM39</f>
        <v>#DIV/0!</v>
      </c>
      <c r="EA46" s="260" t="s">
        <v>445</v>
      </c>
      <c r="EB46" s="277">
        <f>DW49+(DT49/12)</f>
        <v>11.81</v>
      </c>
      <c r="EC46" s="262"/>
      <c r="ED46" s="274"/>
      <c r="EE46" s="260" t="s">
        <v>443</v>
      </c>
      <c r="EF46" s="275" t="s">
        <v>507</v>
      </c>
      <c r="EH46" s="272">
        <f>'[3]Storm Sewer -10yr'!R15</f>
        <v>9</v>
      </c>
      <c r="EI46" s="260" t="s">
        <v>444</v>
      </c>
      <c r="EJ46" s="273">
        <f>'[3]Storm Sewer -10yr'!AM15</f>
        <v>7.4436747503797376E-5</v>
      </c>
      <c r="EL46" s="260" t="s">
        <v>445</v>
      </c>
      <c r="EM46" s="277">
        <f>EH49+(EE49/12)</f>
        <v>84.1</v>
      </c>
      <c r="EN46" s="262"/>
      <c r="EO46" s="260"/>
      <c r="EP46" s="271"/>
      <c r="EQ46" s="260"/>
      <c r="ER46" s="271"/>
      <c r="ES46" s="261"/>
      <c r="ET46" s="259"/>
      <c r="EU46" s="261"/>
      <c r="EW46" s="260"/>
      <c r="EX46" s="262"/>
      <c r="EZ46" s="260"/>
      <c r="FA46" s="271"/>
      <c r="FB46" s="260"/>
      <c r="FC46" s="271"/>
      <c r="FD46" s="261"/>
      <c r="FE46" s="259"/>
      <c r="FF46" s="261"/>
      <c r="FH46" s="260"/>
      <c r="FI46" s="262"/>
      <c r="FL46" s="260"/>
      <c r="FO46" s="272"/>
      <c r="FP46" s="260"/>
      <c r="FQ46" s="273"/>
      <c r="FS46" s="260"/>
      <c r="FT46" s="262"/>
    </row>
    <row r="47" spans="2:220" ht="12" customHeight="1">
      <c r="M47" s="274"/>
      <c r="V47" s="278"/>
      <c r="X47" s="274"/>
      <c r="AG47" s="278"/>
      <c r="AI47" s="274"/>
      <c r="AR47" s="278"/>
      <c r="BE47" s="274"/>
      <c r="BN47" s="278"/>
      <c r="BP47" s="274"/>
      <c r="BQ47" s="260" t="s">
        <v>443</v>
      </c>
      <c r="BR47" s="275" t="e">
        <f>BS46</f>
        <v>#REF!</v>
      </c>
      <c r="BT47" s="272" t="e">
        <f>'[3]Storm Sewer -10yr'!#REF!</f>
        <v>#REF!</v>
      </c>
      <c r="BU47" s="260" t="s">
        <v>444</v>
      </c>
      <c r="BV47" s="273" t="e">
        <f>'[3]Storm Sewer -10yr'!#REF!</f>
        <v>#REF!</v>
      </c>
      <c r="BX47" s="260" t="s">
        <v>445</v>
      </c>
      <c r="BY47" s="277" t="e">
        <f>BT50+(BQ50/12)</f>
        <v>#REF!</v>
      </c>
      <c r="CA47" s="274"/>
      <c r="CJ47" s="278"/>
      <c r="CL47" s="274"/>
      <c r="CU47" s="278"/>
      <c r="CW47" s="274"/>
      <c r="DF47" s="278"/>
      <c r="DH47" s="274"/>
      <c r="DQ47" s="278"/>
      <c r="DS47" s="274"/>
      <c r="EB47" s="278"/>
      <c r="ED47" s="274"/>
      <c r="EM47" s="278"/>
      <c r="EP47" s="260"/>
      <c r="ES47" s="272"/>
      <c r="ET47" s="260"/>
      <c r="EU47" s="273"/>
      <c r="EW47" s="260"/>
      <c r="EX47" s="262"/>
      <c r="FA47" s="260"/>
      <c r="FD47" s="272"/>
      <c r="FE47" s="260"/>
      <c r="FF47" s="273"/>
      <c r="FH47" s="260"/>
      <c r="FI47" s="262"/>
    </row>
    <row r="48" spans="2:220" ht="12" customHeight="1">
      <c r="M48" s="283" t="s">
        <v>446</v>
      </c>
      <c r="N48" s="284">
        <v>9.33</v>
      </c>
      <c r="P48" s="260" t="s">
        <v>447</v>
      </c>
      <c r="Q48" s="285">
        <v>5</v>
      </c>
      <c r="S48" s="259" t="s">
        <v>448</v>
      </c>
      <c r="T48" s="259"/>
      <c r="U48" s="260" t="s">
        <v>449</v>
      </c>
      <c r="V48" s="277" t="e">
        <f>Q46*S46</f>
        <v>#REF!</v>
      </c>
      <c r="X48" s="283" t="s">
        <v>446</v>
      </c>
      <c r="Y48" s="281">
        <v>7.6</v>
      </c>
      <c r="AA48" s="260" t="s">
        <v>447</v>
      </c>
      <c r="AB48" s="282">
        <v>3.27</v>
      </c>
      <c r="AD48" s="259" t="s">
        <v>448</v>
      </c>
      <c r="AE48" s="259"/>
      <c r="AF48" s="260" t="s">
        <v>449</v>
      </c>
      <c r="AG48" s="277" t="e">
        <f>AB46*AD46</f>
        <v>#REF!</v>
      </c>
      <c r="AI48" s="283" t="s">
        <v>446</v>
      </c>
      <c r="AJ48" s="284">
        <v>8.82</v>
      </c>
      <c r="AK48" s="457" t="s">
        <v>447</v>
      </c>
      <c r="AL48" s="457"/>
      <c r="AM48" s="285">
        <v>4.6500000000000004</v>
      </c>
      <c r="AO48" s="458" t="s">
        <v>448</v>
      </c>
      <c r="AP48" s="458"/>
      <c r="AQ48" s="260" t="s">
        <v>449</v>
      </c>
      <c r="AR48" s="277" t="e">
        <f>AM46*AO46</f>
        <v>#REF!</v>
      </c>
      <c r="AS48" s="262"/>
      <c r="AT48" s="279"/>
      <c r="AU48" s="260"/>
      <c r="AV48" s="279"/>
      <c r="AY48" s="262"/>
      <c r="BC48" s="260"/>
      <c r="BD48" s="262"/>
      <c r="BE48" s="283" t="s">
        <v>446</v>
      </c>
      <c r="BF48" s="284">
        <v>7.85</v>
      </c>
      <c r="BG48" s="457" t="s">
        <v>447</v>
      </c>
      <c r="BH48" s="457"/>
      <c r="BI48" s="285">
        <v>3.52</v>
      </c>
      <c r="BK48" s="259" t="s">
        <v>448</v>
      </c>
      <c r="BL48" s="259"/>
      <c r="BM48" s="260" t="s">
        <v>449</v>
      </c>
      <c r="BN48" s="277" t="e">
        <f>BI46*BK46</f>
        <v>#REF!</v>
      </c>
      <c r="BO48" s="262"/>
      <c r="BP48" s="274"/>
      <c r="BY48" s="278"/>
      <c r="BZ48" s="262"/>
      <c r="CA48" s="283" t="s">
        <v>446</v>
      </c>
      <c r="CB48" s="281">
        <v>12.3</v>
      </c>
      <c r="CC48" s="457" t="s">
        <v>447</v>
      </c>
      <c r="CD48" s="457"/>
      <c r="CE48" s="285">
        <v>6.5</v>
      </c>
      <c r="CG48" s="458" t="s">
        <v>448</v>
      </c>
      <c r="CH48" s="458"/>
      <c r="CI48" s="260" t="s">
        <v>449</v>
      </c>
      <c r="CJ48" s="277" t="e">
        <f>CE46*CG46</f>
        <v>#REF!</v>
      </c>
      <c r="CK48" s="262"/>
      <c r="CL48" s="283" t="s">
        <v>446</v>
      </c>
      <c r="CM48" s="281">
        <v>10.72</v>
      </c>
      <c r="CN48" s="457" t="s">
        <v>447</v>
      </c>
      <c r="CO48" s="457"/>
      <c r="CP48" s="285">
        <v>4.87</v>
      </c>
      <c r="CR48" s="458" t="s">
        <v>448</v>
      </c>
      <c r="CS48" s="458"/>
      <c r="CT48" s="260" t="s">
        <v>449</v>
      </c>
      <c r="CU48" s="277">
        <f>CP46*CR46</f>
        <v>1.2517209468338297E-2</v>
      </c>
      <c r="CV48" s="262"/>
      <c r="CW48" s="283" t="s">
        <v>446</v>
      </c>
      <c r="CX48" s="281">
        <v>10.55</v>
      </c>
      <c r="CY48" s="457" t="s">
        <v>447</v>
      </c>
      <c r="CZ48" s="457"/>
      <c r="DA48" s="285">
        <v>6.17</v>
      </c>
      <c r="DC48" s="259" t="s">
        <v>448</v>
      </c>
      <c r="DD48" s="259"/>
      <c r="DE48" s="260" t="s">
        <v>449</v>
      </c>
      <c r="DF48" s="277">
        <f>DA46*DC46</f>
        <v>0.22149411069319264</v>
      </c>
      <c r="DG48" s="262"/>
      <c r="DH48" s="283" t="s">
        <v>446</v>
      </c>
      <c r="DI48" s="281">
        <v>11.9</v>
      </c>
      <c r="DK48" s="260" t="s">
        <v>447</v>
      </c>
      <c r="DL48" s="282">
        <v>7.03</v>
      </c>
      <c r="DN48" s="259" t="s">
        <v>448</v>
      </c>
      <c r="DO48" s="259"/>
      <c r="DP48" s="260" t="s">
        <v>449</v>
      </c>
      <c r="DQ48" s="277" t="e">
        <f>DL46*DN46</f>
        <v>#DIV/0!</v>
      </c>
      <c r="DR48" s="262"/>
      <c r="DS48" s="283" t="s">
        <v>446</v>
      </c>
      <c r="DT48" s="281">
        <v>17.14</v>
      </c>
      <c r="DV48" s="260" t="s">
        <v>447</v>
      </c>
      <c r="DW48" s="282">
        <v>12.75</v>
      </c>
      <c r="DY48" s="259" t="s">
        <v>448</v>
      </c>
      <c r="DZ48" s="259"/>
      <c r="EA48" s="260" t="s">
        <v>449</v>
      </c>
      <c r="EB48" s="277" t="e">
        <f>DW46*DY46</f>
        <v>#DIV/0!</v>
      </c>
      <c r="EC48" s="262"/>
      <c r="ED48" s="283" t="s">
        <v>446</v>
      </c>
      <c r="EE48" s="281">
        <v>90.1</v>
      </c>
      <c r="EG48" s="260" t="s">
        <v>447</v>
      </c>
      <c r="EH48" s="285">
        <v>84.1</v>
      </c>
      <c r="EJ48" s="259" t="s">
        <v>448</v>
      </c>
      <c r="EK48" s="259"/>
      <c r="EL48" s="260" t="s">
        <v>449</v>
      </c>
      <c r="EM48" s="277">
        <f>EH46*EJ46</f>
        <v>6.6993072753417635E-4</v>
      </c>
      <c r="EN48" s="262"/>
      <c r="FJ48" s="259"/>
      <c r="FK48" s="260"/>
      <c r="FL48" s="279"/>
      <c r="FN48" s="260"/>
      <c r="FO48" s="259"/>
      <c r="FQ48" s="259"/>
      <c r="FR48" s="259"/>
      <c r="FS48" s="260"/>
      <c r="FT48" s="262"/>
    </row>
    <row r="49" spans="2:176" ht="12" customHeight="1">
      <c r="M49" s="274" t="s">
        <v>451</v>
      </c>
      <c r="N49" s="287" t="e">
        <f>'[3]Storm Sewer -10yr'!#REF!</f>
        <v>#REF!</v>
      </c>
      <c r="P49" s="260" t="s">
        <v>452</v>
      </c>
      <c r="Q49" s="288">
        <v>3</v>
      </c>
      <c r="S49" s="260" t="s">
        <v>453</v>
      </c>
      <c r="T49" s="256">
        <v>0</v>
      </c>
      <c r="U49" s="260" t="s">
        <v>454</v>
      </c>
      <c r="V49" s="289" t="e">
        <f>MAX(V45:V46)+V48</f>
        <v>#REF!</v>
      </c>
      <c r="X49" s="274" t="s">
        <v>451</v>
      </c>
      <c r="Y49" s="287" t="e">
        <f>'[3]Storm Sewer -10yr'!#REF!</f>
        <v>#REF!</v>
      </c>
      <c r="AA49" s="260" t="s">
        <v>452</v>
      </c>
      <c r="AB49" s="288">
        <v>3.15</v>
      </c>
      <c r="AD49" s="260" t="s">
        <v>453</v>
      </c>
      <c r="AE49" s="256">
        <v>0</v>
      </c>
      <c r="AF49" s="260" t="s">
        <v>454</v>
      </c>
      <c r="AG49" s="289" t="e">
        <f>MAX(AG45:AG46)+AG48</f>
        <v>#REF!</v>
      </c>
      <c r="AI49" s="274" t="s">
        <v>451</v>
      </c>
      <c r="AJ49" s="287" t="e">
        <f>'[3]Storm Sewer -10yr'!#REF!</f>
        <v>#REF!</v>
      </c>
      <c r="AK49" s="457" t="s">
        <v>452</v>
      </c>
      <c r="AL49" s="457"/>
      <c r="AM49" s="288">
        <v>4.59</v>
      </c>
      <c r="AO49" s="260" t="s">
        <v>453</v>
      </c>
      <c r="AP49" s="256">
        <v>0</v>
      </c>
      <c r="AQ49" s="260" t="s">
        <v>454</v>
      </c>
      <c r="AR49" s="289" t="e">
        <f>MAX(AR45:AR46)+AR48</f>
        <v>#REF!</v>
      </c>
      <c r="AS49" s="262"/>
      <c r="AT49" s="259"/>
      <c r="AV49" s="259"/>
      <c r="AY49" s="262"/>
      <c r="BA49" s="260"/>
      <c r="BC49" s="260"/>
      <c r="BD49" s="262"/>
      <c r="BE49" s="274" t="s">
        <v>451</v>
      </c>
      <c r="BF49" s="287" t="e">
        <f>'[3]Storm Sewer -10yr'!#REF!</f>
        <v>#REF!</v>
      </c>
      <c r="BG49" s="457" t="s">
        <v>452</v>
      </c>
      <c r="BH49" s="457"/>
      <c r="BI49" s="288">
        <v>3.3</v>
      </c>
      <c r="BK49" s="260" t="s">
        <v>453</v>
      </c>
      <c r="BL49" s="256">
        <v>0</v>
      </c>
      <c r="BM49" s="260" t="s">
        <v>454</v>
      </c>
      <c r="BN49" s="289" t="e">
        <f>MAX(BN45:BN46)+BN48</f>
        <v>#REF!</v>
      </c>
      <c r="BO49" s="262"/>
      <c r="BP49" s="283" t="s">
        <v>450</v>
      </c>
      <c r="BQ49" s="281">
        <v>12.1</v>
      </c>
      <c r="BR49" s="457" t="s">
        <v>447</v>
      </c>
      <c r="BS49" s="457"/>
      <c r="BT49" s="285">
        <v>5.16</v>
      </c>
      <c r="BV49" s="259" t="s">
        <v>448</v>
      </c>
      <c r="BW49" s="259"/>
      <c r="BX49" s="260" t="s">
        <v>449</v>
      </c>
      <c r="BY49" s="277" t="e">
        <f>BT47*BV47</f>
        <v>#REF!</v>
      </c>
      <c r="BZ49" s="262"/>
      <c r="CA49" s="274" t="s">
        <v>451</v>
      </c>
      <c r="CB49" s="287" t="e">
        <f>'[3]Storm Sewer -10yr'!#REF!</f>
        <v>#REF!</v>
      </c>
      <c r="CC49" s="457" t="s">
        <v>452</v>
      </c>
      <c r="CD49" s="457"/>
      <c r="CE49" s="288">
        <v>5.96</v>
      </c>
      <c r="CG49" s="260" t="s">
        <v>453</v>
      </c>
      <c r="CH49" s="259">
        <v>0</v>
      </c>
      <c r="CI49" s="260" t="s">
        <v>454</v>
      </c>
      <c r="CJ49" s="289" t="e">
        <f>MAX(CJ45:CJ46)+CJ48</f>
        <v>#REF!</v>
      </c>
      <c r="CK49" s="262"/>
      <c r="CL49" s="274" t="s">
        <v>451</v>
      </c>
      <c r="CM49" s="287">
        <f>'[3]Storm Sewer -10yr'!N17</f>
        <v>18</v>
      </c>
      <c r="CN49" s="457" t="s">
        <v>452</v>
      </c>
      <c r="CO49" s="457"/>
      <c r="CP49" s="288">
        <v>4.6500000000000004</v>
      </c>
      <c r="CR49" s="260" t="s">
        <v>453</v>
      </c>
      <c r="CS49" s="256">
        <v>90</v>
      </c>
      <c r="CT49" s="260" t="s">
        <v>454</v>
      </c>
      <c r="CU49" s="289">
        <f>MAX(CU45:CU46)+CU48</f>
        <v>10.637143793824141</v>
      </c>
      <c r="CV49" s="262"/>
      <c r="CW49" s="274" t="s">
        <v>451</v>
      </c>
      <c r="CX49" s="287">
        <f>'[3]Storm Sewer -10yr'!N23</f>
        <v>15</v>
      </c>
      <c r="CY49" s="457" t="s">
        <v>452</v>
      </c>
      <c r="CZ49" s="457"/>
      <c r="DA49" s="288">
        <v>5.27</v>
      </c>
      <c r="DC49" s="260" t="s">
        <v>453</v>
      </c>
      <c r="DD49" s="316">
        <v>22.5</v>
      </c>
      <c r="DE49" s="260" t="s">
        <v>454</v>
      </c>
      <c r="DF49" s="289">
        <f>MAX(DF45:DF46)+DF48</f>
        <v>7.2514941106931925</v>
      </c>
      <c r="DG49" s="262"/>
      <c r="DH49" s="274" t="s">
        <v>451</v>
      </c>
      <c r="DI49" s="287">
        <f>'[3]Storm Sewer -10yr'!N31</f>
        <v>0</v>
      </c>
      <c r="DK49" s="260" t="s">
        <v>452</v>
      </c>
      <c r="DL49" s="288">
        <v>6.51</v>
      </c>
      <c r="DN49" s="260" t="s">
        <v>453</v>
      </c>
      <c r="DO49" s="259">
        <v>45</v>
      </c>
      <c r="DP49" s="260" t="s">
        <v>454</v>
      </c>
      <c r="DQ49" s="289" t="e">
        <f>MAX(DQ45:DQ46)+DQ48</f>
        <v>#DIV/0!</v>
      </c>
      <c r="DR49" s="262"/>
      <c r="DS49" s="274" t="s">
        <v>451</v>
      </c>
      <c r="DT49" s="287">
        <f>'[3]Storm Sewer -10yr'!N39</f>
        <v>0</v>
      </c>
      <c r="DV49" s="260" t="s">
        <v>452</v>
      </c>
      <c r="DW49" s="288">
        <v>11.81</v>
      </c>
      <c r="DY49" s="260" t="s">
        <v>453</v>
      </c>
      <c r="DZ49" s="259">
        <v>0</v>
      </c>
      <c r="EA49" s="260" t="s">
        <v>454</v>
      </c>
      <c r="EB49" s="289" t="e">
        <f>MAX(EB45:EB46)+EB48</f>
        <v>#DIV/0!</v>
      </c>
      <c r="EC49" s="262"/>
      <c r="ED49" s="274" t="s">
        <v>451</v>
      </c>
      <c r="EE49" s="287">
        <v>18</v>
      </c>
      <c r="EG49" s="260" t="s">
        <v>452</v>
      </c>
      <c r="EH49" s="288">
        <v>82.6</v>
      </c>
      <c r="EJ49" s="260" t="s">
        <v>453</v>
      </c>
      <c r="EK49" s="259">
        <v>0</v>
      </c>
      <c r="EL49" s="260" t="s">
        <v>454</v>
      </c>
      <c r="EM49" s="289">
        <f>MAX(EM45:EM46)+EM48</f>
        <v>88.246219111720677</v>
      </c>
      <c r="EN49" s="262"/>
      <c r="EO49" s="260"/>
      <c r="EP49" s="279"/>
      <c r="ER49" s="260"/>
      <c r="ES49" s="259"/>
      <c r="EU49" s="259"/>
      <c r="EV49" s="259"/>
      <c r="EW49" s="260"/>
      <c r="EX49" s="262"/>
      <c r="EZ49" s="260"/>
      <c r="FA49" s="279"/>
      <c r="FC49" s="260"/>
      <c r="FD49" s="259"/>
      <c r="FF49" s="259"/>
      <c r="FG49" s="259"/>
      <c r="FH49" s="260"/>
      <c r="FI49" s="262"/>
      <c r="FJ49" s="260"/>
      <c r="FK49" s="260"/>
      <c r="FL49" s="259"/>
      <c r="FN49" s="260"/>
      <c r="FO49" s="262"/>
      <c r="FQ49" s="260"/>
      <c r="FR49" s="259"/>
      <c r="FS49" s="260"/>
      <c r="FT49" s="262"/>
    </row>
    <row r="50" spans="2:176" ht="12" customHeight="1">
      <c r="M50" s="274"/>
      <c r="R50" s="260" t="s">
        <v>455</v>
      </c>
      <c r="S50" s="291" t="e">
        <f>0.33*(P51^2/(2*32.2))</f>
        <v>#REF!</v>
      </c>
      <c r="U50" s="260" t="s">
        <v>456</v>
      </c>
      <c r="V50" s="277" t="e">
        <f>Q48+('[3]Storm Sewer -10yr'!#REF!/12)</f>
        <v>#REF!</v>
      </c>
      <c r="X50" s="274"/>
      <c r="AC50" s="260" t="s">
        <v>455</v>
      </c>
      <c r="AD50" s="291" t="e">
        <f>0.33*(AA51^2/(2*32.2))</f>
        <v>#REF!</v>
      </c>
      <c r="AF50" s="260" t="s">
        <v>456</v>
      </c>
      <c r="AG50" s="277" t="e">
        <f>AB48+('[3]Storm Sewer -10yr'!#REF!/12)</f>
        <v>#REF!</v>
      </c>
      <c r="AI50" s="274"/>
      <c r="AN50" s="260" t="s">
        <v>455</v>
      </c>
      <c r="AO50" s="291" t="e">
        <f>0.33*(AL51^2/(2*32.2))</f>
        <v>#REF!</v>
      </c>
      <c r="AQ50" s="260" t="s">
        <v>456</v>
      </c>
      <c r="AR50" s="277" t="e">
        <f>AM48+('[3]Storm Sewer -10yr'!#REF!/12)</f>
        <v>#REF!</v>
      </c>
      <c r="AS50" s="262"/>
      <c r="AZ50" s="260"/>
      <c r="BA50" s="290"/>
      <c r="BC50" s="260"/>
      <c r="BD50" s="262"/>
      <c r="BE50" s="274"/>
      <c r="BJ50" s="260" t="s">
        <v>455</v>
      </c>
      <c r="BK50" s="291" t="e">
        <f>0.33*(BH51^2/(2*32.2))</f>
        <v>#REF!</v>
      </c>
      <c r="BM50" s="260" t="s">
        <v>456</v>
      </c>
      <c r="BN50" s="277" t="e">
        <f>BI48+('[3]Storm Sewer -10yr'!#REF!/12)</f>
        <v>#REF!</v>
      </c>
      <c r="BO50" s="262"/>
      <c r="BP50" s="274" t="s">
        <v>451</v>
      </c>
      <c r="BQ50" s="287" t="e">
        <f>'[3]Storm Sewer -10yr'!#REF!</f>
        <v>#REF!</v>
      </c>
      <c r="BR50" s="457" t="s">
        <v>452</v>
      </c>
      <c r="BS50" s="457"/>
      <c r="BT50" s="287">
        <v>4.0599999999999996</v>
      </c>
      <c r="BV50" s="260" t="s">
        <v>453</v>
      </c>
      <c r="BW50" s="256">
        <v>90</v>
      </c>
      <c r="BX50" s="260" t="s">
        <v>454</v>
      </c>
      <c r="BY50" s="289" t="e">
        <f>MAX(BY46:BY47)+BY49</f>
        <v>#REF!</v>
      </c>
      <c r="BZ50" s="262"/>
      <c r="CA50" s="274"/>
      <c r="CF50" s="260" t="s">
        <v>455</v>
      </c>
      <c r="CG50" s="291" t="e">
        <f>0.33*(CD51^2/(2*32.2))</f>
        <v>#REF!</v>
      </c>
      <c r="CI50" s="260" t="s">
        <v>456</v>
      </c>
      <c r="CJ50" s="277" t="e">
        <f>CE48+('[3]Storm Sewer -10yr'!#REF!/12)</f>
        <v>#REF!</v>
      </c>
      <c r="CK50" s="262"/>
      <c r="CL50" s="274"/>
      <c r="CQ50" s="260" t="s">
        <v>455</v>
      </c>
      <c r="CR50" s="291">
        <f>0.33*(CO51^2/(2*32.2))</f>
        <v>1.7580851555452912</v>
      </c>
      <c r="CT50" s="260" t="s">
        <v>456</v>
      </c>
      <c r="CU50" s="277">
        <f>CP48+('[3]Storm Sewer -10yr'!$W17/12)</f>
        <v>5.1550000000000002</v>
      </c>
      <c r="CV50" s="262"/>
      <c r="CW50" s="274"/>
      <c r="DB50" s="260" t="s">
        <v>455</v>
      </c>
      <c r="DC50" s="291">
        <f>0.33*(CZ51^2/(2*32.2))</f>
        <v>0.79086230739566332</v>
      </c>
      <c r="DE50" s="260" t="s">
        <v>456</v>
      </c>
      <c r="DF50" s="277">
        <f>DA48+('[3]Storm Sewer -10yr'!$W23/12)</f>
        <v>6.8324999999999996</v>
      </c>
      <c r="DG50" s="262"/>
      <c r="DH50" s="274"/>
      <c r="DM50" s="260" t="s">
        <v>455</v>
      </c>
      <c r="DN50" s="291">
        <f>0.33*(DK51^2/(2*32.2))</f>
        <v>0</v>
      </c>
      <c r="DP50" s="260" t="s">
        <v>456</v>
      </c>
      <c r="DQ50" s="277">
        <f>DL48+('[3]Storm Sewer -10yr'!$W31/12)</f>
        <v>7.03</v>
      </c>
      <c r="DR50" s="262"/>
      <c r="DS50" s="274"/>
      <c r="DX50" s="260" t="s">
        <v>455</v>
      </c>
      <c r="DY50" s="291">
        <f>0.33*(DV51^2/(2*32.2))</f>
        <v>0</v>
      </c>
      <c r="EA50" s="260" t="s">
        <v>456</v>
      </c>
      <c r="EB50" s="277">
        <f>DW48+('[3]Storm Sewer -10yr'!$W39/12)</f>
        <v>12.75</v>
      </c>
      <c r="EC50" s="262"/>
      <c r="ED50" s="274"/>
      <c r="EI50" s="260" t="s">
        <v>455</v>
      </c>
      <c r="EJ50" s="291">
        <f>0.33*(EG51^2/(2*32.2))</f>
        <v>2.0353667236024844</v>
      </c>
      <c r="EL50" s="260" t="s">
        <v>456</v>
      </c>
      <c r="EM50" s="277">
        <f>EH48+('[3]Storm Sewer -10yr'!$W29/12)</f>
        <v>84.1</v>
      </c>
      <c r="EN50" s="262"/>
      <c r="EP50" s="259"/>
      <c r="ER50" s="260"/>
      <c r="ES50" s="262"/>
      <c r="EU50" s="260"/>
      <c r="EV50" s="259"/>
      <c r="EW50" s="260"/>
      <c r="EX50" s="262"/>
      <c r="EY50" s="259"/>
      <c r="FA50" s="259"/>
      <c r="FC50" s="260"/>
      <c r="FD50" s="262"/>
      <c r="FF50" s="260"/>
      <c r="FG50" s="259"/>
      <c r="FH50" s="260"/>
      <c r="FI50" s="262"/>
      <c r="FP50" s="260"/>
      <c r="FQ50" s="290"/>
      <c r="FS50" s="260"/>
      <c r="FT50" s="262"/>
    </row>
    <row r="51" spans="2:176" ht="12" customHeight="1">
      <c r="M51" s="283" t="s">
        <v>457</v>
      </c>
      <c r="N51" s="285" t="e">
        <f>'[3]Storm Sewer -10yr'!#REF!</f>
        <v>#REF!</v>
      </c>
      <c r="O51" s="260" t="s">
        <v>458</v>
      </c>
      <c r="P51" s="285" t="e">
        <f>'[3]Storm Sewer -10yr'!#REF!</f>
        <v>#REF!</v>
      </c>
      <c r="R51" s="260" t="s">
        <v>459</v>
      </c>
      <c r="S51" s="292" t="e">
        <f>(P51^2/(2*32.2))-(P52^2/(2*32.2))</f>
        <v>#REF!</v>
      </c>
      <c r="V51" s="293"/>
      <c r="X51" s="283" t="s">
        <v>457</v>
      </c>
      <c r="Y51" s="285" t="e">
        <f>'[3]Storm Sewer -10yr'!#REF!</f>
        <v>#REF!</v>
      </c>
      <c r="Z51" s="260" t="s">
        <v>458</v>
      </c>
      <c r="AA51" s="285" t="e">
        <f>'[3]Storm Sewer -10yr'!#REF!</f>
        <v>#REF!</v>
      </c>
      <c r="AC51" s="260" t="s">
        <v>459</v>
      </c>
      <c r="AD51" s="292" t="e">
        <f>(AA51^2/(2*32.2))-(AA52^2/(2*32.2))</f>
        <v>#REF!</v>
      </c>
      <c r="AG51" s="293"/>
      <c r="AI51" s="283" t="s">
        <v>457</v>
      </c>
      <c r="AJ51" s="285" t="e">
        <f>'[3]Storm Sewer -10yr'!#REF!</f>
        <v>#REF!</v>
      </c>
      <c r="AK51" s="260" t="s">
        <v>458</v>
      </c>
      <c r="AL51" s="285" t="e">
        <f>'[3]Storm Sewer -10yr'!#REF!</f>
        <v>#REF!</v>
      </c>
      <c r="AN51" s="260" t="s">
        <v>459</v>
      </c>
      <c r="AO51" s="292" t="e">
        <f>(AL51^2/(2*32.2))-(AL52^2/(2*32.2))</f>
        <v>#REF!</v>
      </c>
      <c r="AR51" s="293"/>
      <c r="AT51" s="262"/>
      <c r="AU51" s="260"/>
      <c r="AV51" s="262"/>
      <c r="AW51" s="260"/>
      <c r="AX51" s="262"/>
      <c r="AZ51" s="260"/>
      <c r="BA51" s="290"/>
      <c r="BE51" s="283" t="s">
        <v>457</v>
      </c>
      <c r="BF51" s="285" t="e">
        <f>'[3]Storm Sewer -10yr'!#REF!</f>
        <v>#REF!</v>
      </c>
      <c r="BG51" s="260" t="s">
        <v>458</v>
      </c>
      <c r="BH51" s="285" t="e">
        <f>'[3]Storm Sewer -10yr'!#REF!</f>
        <v>#REF!</v>
      </c>
      <c r="BJ51" s="260" t="s">
        <v>459</v>
      </c>
      <c r="BK51" s="292" t="e">
        <f>(BH51^2/(2*32.2))-(BH52^2/(2*32.2))</f>
        <v>#REF!</v>
      </c>
      <c r="BN51" s="293"/>
      <c r="BP51" s="274"/>
      <c r="BU51" s="260" t="s">
        <v>455</v>
      </c>
      <c r="BV51" s="291" t="e">
        <f>0.33*(BS52^2/(2*32.2))</f>
        <v>#REF!</v>
      </c>
      <c r="BX51" s="260" t="s">
        <v>456</v>
      </c>
      <c r="BY51" s="277" t="e">
        <f>BT49+('[3]Storm Sewer -10yr'!#REF!/12)</f>
        <v>#REF!</v>
      </c>
      <c r="CA51" s="283" t="s">
        <v>457</v>
      </c>
      <c r="CB51" s="285" t="e">
        <f>'[3]Storm Sewer -10yr'!#REF!</f>
        <v>#REF!</v>
      </c>
      <c r="CC51" s="260" t="s">
        <v>458</v>
      </c>
      <c r="CD51" s="285" t="e">
        <f>'[3]Storm Sewer -10yr'!#REF!</f>
        <v>#REF!</v>
      </c>
      <c r="CF51" s="260" t="s">
        <v>459</v>
      </c>
      <c r="CG51" s="292" t="e">
        <f>(CD51^2/(2*32.2))-(CD52^2/(2*32.2))</f>
        <v>#REF!</v>
      </c>
      <c r="CJ51" s="293"/>
      <c r="CL51" s="283" t="s">
        <v>457</v>
      </c>
      <c r="CM51" s="285">
        <f>'[3]Storm Sewer -10yr'!M17</f>
        <v>2.6961599999999994</v>
      </c>
      <c r="CN51" s="260" t="s">
        <v>458</v>
      </c>
      <c r="CO51" s="285">
        <f>'[3]Storm Sewer -10yr'!T17</f>
        <v>18.522769281887921</v>
      </c>
      <c r="CQ51" s="260" t="s">
        <v>459</v>
      </c>
      <c r="CR51" s="292">
        <f>(CO51^2/(2*32.2))-(CO52^2/(2*32.2))</f>
        <v>-2.1946573735856845E-2</v>
      </c>
      <c r="CU51" s="293"/>
      <c r="CW51" s="283" t="s">
        <v>457</v>
      </c>
      <c r="CX51" s="285">
        <f>'[3]Storm Sewer -10yr'!M23</f>
        <v>5.3743360000000004</v>
      </c>
      <c r="CY51" s="260" t="s">
        <v>458</v>
      </c>
      <c r="CZ51" s="285">
        <f>'[3]Storm Sewer -10yr'!T23</f>
        <v>12.42328368687148</v>
      </c>
      <c r="DB51" s="260" t="s">
        <v>459</v>
      </c>
      <c r="DC51" s="292">
        <f>(CZ51^2/(2*32.2))-(CZ52^2/(2*32.2))</f>
        <v>1.7382534801580325</v>
      </c>
      <c r="DF51" s="293"/>
      <c r="DH51" s="283" t="s">
        <v>457</v>
      </c>
      <c r="DI51" s="285">
        <f>'[3]Storm Sewer -10yr'!M31</f>
        <v>0</v>
      </c>
      <c r="DJ51" s="260" t="s">
        <v>458</v>
      </c>
      <c r="DK51" s="285">
        <f>'[3]Storm Sewer -10yr'!T31</f>
        <v>0</v>
      </c>
      <c r="DM51" s="260" t="s">
        <v>459</v>
      </c>
      <c r="DN51" s="292">
        <f>(DK51^2/(2*32.2))-(DK52^2/(2*32.2))</f>
        <v>0</v>
      </c>
      <c r="DQ51" s="293"/>
      <c r="DS51" s="283" t="s">
        <v>457</v>
      </c>
      <c r="DT51" s="285">
        <f>'[3]Storm Sewer -10yr'!M39</f>
        <v>0</v>
      </c>
      <c r="DU51" s="260" t="s">
        <v>458</v>
      </c>
      <c r="DV51" s="285">
        <f>'[3]Storm Sewer -10yr'!T39</f>
        <v>0</v>
      </c>
      <c r="DX51" s="260" t="s">
        <v>459</v>
      </c>
      <c r="DY51" s="292">
        <f>(DV51^2/(2*32.2))-(DV52^2/(2*32.2))</f>
        <v>0</v>
      </c>
      <c r="EB51" s="293"/>
      <c r="ED51" s="283" t="s">
        <v>457</v>
      </c>
      <c r="EE51" s="285">
        <f>'[3]Storm Sewer -10yr'!J15*8</f>
        <v>1.0431999999999999</v>
      </c>
      <c r="EF51" s="260" t="s">
        <v>458</v>
      </c>
      <c r="EG51" s="285">
        <f>'[3]Storm Sewer -10yr'!S15</f>
        <v>19.93</v>
      </c>
      <c r="EI51" s="260" t="s">
        <v>459</v>
      </c>
      <c r="EJ51" s="292">
        <f>(EG51^2/(2*32.2))-(EG52^2/(2*32.2))</f>
        <v>1.8371878881987573</v>
      </c>
      <c r="EM51" s="293"/>
      <c r="ET51" s="260"/>
      <c r="EU51" s="290"/>
      <c r="EW51" s="260"/>
      <c r="EX51" s="262"/>
      <c r="FE51" s="260"/>
      <c r="FF51" s="290"/>
      <c r="FH51" s="260"/>
      <c r="FI51" s="262"/>
      <c r="FK51" s="260"/>
      <c r="FL51" s="262"/>
      <c r="FM51" s="260"/>
      <c r="FN51" s="262"/>
      <c r="FP51" s="260"/>
      <c r="FQ51" s="290"/>
    </row>
    <row r="52" spans="2:176" ht="12" customHeight="1">
      <c r="M52" s="283" t="s">
        <v>460</v>
      </c>
      <c r="N52" s="285" t="e">
        <f>'[3]Storm Sewer -10yr'!#REF!</f>
        <v>#REF!</v>
      </c>
      <c r="O52" s="260" t="s">
        <v>461</v>
      </c>
      <c r="P52" s="285" t="e">
        <f>'[3]Storm Sewer -10yr'!#REF!</f>
        <v>#REF!</v>
      </c>
      <c r="R52" s="260" t="s">
        <v>462</v>
      </c>
      <c r="S52" s="291">
        <f>IF(T49=0, 0, IF(T49&gt;45,0.22*(P51^2/(2*32.2))*2,IF(T49=45,0.22*(P51^2/(2*32.2)),0.22*(P51^2/(2*32.2))*(2/3))))</f>
        <v>0</v>
      </c>
      <c r="U52" s="294" t="s">
        <v>463</v>
      </c>
      <c r="V52" s="277" t="e">
        <f>MAX(V49:V50)</f>
        <v>#REF!</v>
      </c>
      <c r="X52" s="283" t="s">
        <v>460</v>
      </c>
      <c r="Y52" s="285" t="e">
        <f>'[3]Storm Sewer -10yr'!#REF!</f>
        <v>#REF!</v>
      </c>
      <c r="Z52" s="260" t="s">
        <v>461</v>
      </c>
      <c r="AA52" s="285" t="e">
        <f>'[3]Storm Sewer -10yr'!#REF!</f>
        <v>#REF!</v>
      </c>
      <c r="AC52" s="260" t="s">
        <v>462</v>
      </c>
      <c r="AD52" s="291">
        <f>IF(AE49=0, 0, IF(AE49&gt;45,0.22*(AA51^2/(2*32.2))*2,IF(AE49=45,0.22*(AA51^2/(2*32.2)),0.22*(AA51^2/(2*32.2))*(2/3))))</f>
        <v>0</v>
      </c>
      <c r="AF52" s="294" t="s">
        <v>463</v>
      </c>
      <c r="AG52" s="277" t="e">
        <f>MAX(AG49:AG50)</f>
        <v>#REF!</v>
      </c>
      <c r="AI52" s="283" t="s">
        <v>460</v>
      </c>
      <c r="AJ52" s="288" t="e">
        <f>'[3]Storm Sewer -10yr'!#REF!</f>
        <v>#REF!</v>
      </c>
      <c r="AK52" s="260" t="s">
        <v>461</v>
      </c>
      <c r="AL52" s="285" t="e">
        <f>'[3]Storm Sewer -10yr'!#REF!</f>
        <v>#REF!</v>
      </c>
      <c r="AN52" s="260" t="s">
        <v>462</v>
      </c>
      <c r="AO52" s="291">
        <f>IF(AP49=0, 0, IF(AP49&gt;45,0.22*(AL51^2/(2*32.2))*2,IF(AP49=45,0.22*(AL51^2/(2*32.2)),0.22*(AL51^2/(2*32.2))*(2/3))))</f>
        <v>0</v>
      </c>
      <c r="AQ52" s="294" t="s">
        <v>463</v>
      </c>
      <c r="AR52" s="277" t="e">
        <f>MAX(AR49:AR50)</f>
        <v>#REF!</v>
      </c>
      <c r="AS52" s="262"/>
      <c r="AT52" s="262"/>
      <c r="AU52" s="260"/>
      <c r="AV52" s="262"/>
      <c r="AW52" s="260"/>
      <c r="AX52" s="262"/>
      <c r="AZ52" s="260"/>
      <c r="BA52" s="290"/>
      <c r="BC52" s="294"/>
      <c r="BD52" s="262"/>
      <c r="BE52" s="283" t="s">
        <v>460</v>
      </c>
      <c r="BF52" s="288" t="e">
        <f>'[3]Storm Sewer -10yr'!#REF!</f>
        <v>#REF!</v>
      </c>
      <c r="BG52" s="260" t="s">
        <v>461</v>
      </c>
      <c r="BH52" s="285" t="e">
        <f>'[3]Storm Sewer -10yr'!#REF!</f>
        <v>#REF!</v>
      </c>
      <c r="BJ52" s="260" t="s">
        <v>462</v>
      </c>
      <c r="BK52" s="291">
        <f>IF(BL49=0, 0, IF(BL49&gt;45,0.22*(BH51^2/(2*32.2))*2,IF(BL49=45,0.22*(BH51^2/(2*32.2)),0.22*(BH51^2/(2*32.2))*(2/3))))</f>
        <v>0</v>
      </c>
      <c r="BM52" s="294" t="s">
        <v>463</v>
      </c>
      <c r="BN52" s="277" t="e">
        <f>MAX(BN49:BN50)</f>
        <v>#REF!</v>
      </c>
      <c r="BO52" s="262"/>
      <c r="BP52" s="283" t="s">
        <v>457</v>
      </c>
      <c r="BQ52" s="285" t="e">
        <f>'[3]Storm Sewer -10yr'!#REF!</f>
        <v>#REF!</v>
      </c>
      <c r="BR52" s="260" t="s">
        <v>458</v>
      </c>
      <c r="BS52" s="285" t="e">
        <f>'[3]Storm Sewer -10yr'!#REF!</f>
        <v>#REF!</v>
      </c>
      <c r="BU52" s="260" t="s">
        <v>459</v>
      </c>
      <c r="BV52" s="292" t="e">
        <f>IF((BS52^2/(2*32.2))-(BS53^2/(2*32.2))&gt;0,(BS52^2/(2*32.2))-(BS53^2/(2*32.2)),0)</f>
        <v>#REF!</v>
      </c>
      <c r="BY52" s="293"/>
      <c r="BZ52" s="262"/>
      <c r="CA52" s="283" t="s">
        <v>460</v>
      </c>
      <c r="CB52" s="288" t="e">
        <f>'[3]Storm Sewer -10yr'!#REF!</f>
        <v>#REF!</v>
      </c>
      <c r="CC52" s="260" t="s">
        <v>461</v>
      </c>
      <c r="CD52" s="285" t="e">
        <f>'[3]Storm Sewer -10yr'!#REF!</f>
        <v>#REF!</v>
      </c>
      <c r="CF52" s="260" t="s">
        <v>462</v>
      </c>
      <c r="CG52" s="291">
        <f>IF(CH49=0, 0, IF(CH49&gt;45,0.22*(CD51^2/(2*32.2))*2,IF(CH49=45,0.22*(CD51^2/(2*32.2)),0.22*(CD51^2/(2*32.2))*(2/3))))</f>
        <v>0</v>
      </c>
      <c r="CI52" s="294" t="s">
        <v>463</v>
      </c>
      <c r="CJ52" s="277" t="e">
        <f>MAX(CJ49:CJ50)</f>
        <v>#REF!</v>
      </c>
      <c r="CK52" s="262"/>
      <c r="CL52" s="283" t="s">
        <v>460</v>
      </c>
      <c r="CM52" s="288">
        <f>'[3]Storm Sewer -10yr'!M13</f>
        <v>0.60479999999999989</v>
      </c>
      <c r="CN52" s="260" t="s">
        <v>461</v>
      </c>
      <c r="CO52" s="285">
        <f>'[3]Storm Sewer -10yr'!T13</f>
        <v>18.560882016182312</v>
      </c>
      <c r="CQ52" s="260" t="s">
        <v>462</v>
      </c>
      <c r="CR52" s="291">
        <f>IF(CS49=0, 0, IF(CS49&gt;45,0.22*(CO51^2/(2*32.2))*2,IF(CS49=45,0.22*(CO51^2/(2*32.2)),0.22*(CO51^2/(2*32.2))*(2/3))))</f>
        <v>2.3441135407270548</v>
      </c>
      <c r="CT52" s="294" t="s">
        <v>463</v>
      </c>
      <c r="CU52" s="277">
        <f>MAX(CU49:CU50)</f>
        <v>10.637143793824141</v>
      </c>
      <c r="CV52" s="262"/>
      <c r="CW52" s="283" t="s">
        <v>460</v>
      </c>
      <c r="CX52" s="288">
        <f>'[3]Storm Sewer -10yr'!M22</f>
        <v>4.41</v>
      </c>
      <c r="CY52" s="260" t="s">
        <v>461</v>
      </c>
      <c r="CZ52" s="285">
        <f>'[3]Storm Sewer -10yr'!T22</f>
        <v>6.5111023215972983</v>
      </c>
      <c r="DB52" s="260" t="s">
        <v>462</v>
      </c>
      <c r="DC52" s="291">
        <f>IF(DD49=0, 0, IF(DD49&gt;45,0.22*(CZ51^2/(2*32.2))*2,IF(DD49=45,0.22*(CZ51^2/(2*32.2)),0.22*(CZ51^2/(2*32.2))*(2/3))))</f>
        <v>0.35149435884251701</v>
      </c>
      <c r="DE52" s="294" t="s">
        <v>463</v>
      </c>
      <c r="DF52" s="277">
        <f>MAX(DF49:DF50)</f>
        <v>7.2514941106931925</v>
      </c>
      <c r="DG52" s="262"/>
      <c r="DH52" s="283" t="s">
        <v>460</v>
      </c>
      <c r="DI52" s="285">
        <f>'[3]Storm Sewer -10yr'!M31</f>
        <v>0</v>
      </c>
      <c r="DJ52" s="260" t="s">
        <v>461</v>
      </c>
      <c r="DK52" s="285">
        <f>'[3]Storm Sewer -10yr'!T31</f>
        <v>0</v>
      </c>
      <c r="DM52" s="260" t="s">
        <v>462</v>
      </c>
      <c r="DN52" s="291">
        <f>IF(DO49=0, 0, IF(DO49&gt;45,0.22*(DK51^2/(2*32.2))*2,IF(DO49=45,0.22*(DK51^2/(2*32.2)),0.22*(DK51^2/(2*32.2))*(2/3))))</f>
        <v>0</v>
      </c>
      <c r="DP52" s="294" t="s">
        <v>463</v>
      </c>
      <c r="DQ52" s="277" t="e">
        <f>MAX(DQ49:DQ50)</f>
        <v>#DIV/0!</v>
      </c>
      <c r="DR52" s="262"/>
      <c r="DS52" s="283" t="s">
        <v>460</v>
      </c>
      <c r="DT52" s="285">
        <f>'[3]Storm Sewer -10yr'!M39</f>
        <v>0</v>
      </c>
      <c r="DU52" s="260" t="s">
        <v>461</v>
      </c>
      <c r="DV52" s="285">
        <f>'[3]Storm Sewer -10yr'!T39</f>
        <v>0</v>
      </c>
      <c r="DX52" s="260" t="s">
        <v>462</v>
      </c>
      <c r="DY52" s="291">
        <f>IF(DZ49=0, 0, IF(DZ49&gt;45,0.22*(DV51^2/(2*32.2))*2,IF(DZ49=45,0.22*(DV51^2/(2*32.2)),0.22*(DV51^2/(2*32.2))*(2/3))))</f>
        <v>0</v>
      </c>
      <c r="EA52" s="294" t="s">
        <v>463</v>
      </c>
      <c r="EB52" s="277" t="e">
        <f>MAX(EB49:EB50)</f>
        <v>#DIV/0!</v>
      </c>
      <c r="EC52" s="262"/>
      <c r="ED52" s="283" t="s">
        <v>460</v>
      </c>
      <c r="EE52" s="285">
        <f>'[3]Storm Sewer -10yr'!J16*8</f>
        <v>3.1487999999999996</v>
      </c>
      <c r="EF52" s="260" t="s">
        <v>461</v>
      </c>
      <c r="EG52" s="285">
        <f>'[3]Storm Sewer -10yr'!S16</f>
        <v>16.7</v>
      </c>
      <c r="EI52" s="260" t="s">
        <v>462</v>
      </c>
      <c r="EJ52" s="291">
        <f>IF(EK49=0, 0, IF(EK49&gt;45,0.22*(EG51^2/(2*32.2))*2,IF(EK49=45,0.22*(EG51^2/(2*32.2)),0.22*(EG51^2/(2*32.2))*(2/3))))</f>
        <v>0</v>
      </c>
      <c r="EL52" s="294" t="s">
        <v>463</v>
      </c>
      <c r="EM52" s="277">
        <f>MAX(EM49:EM50)</f>
        <v>88.246219111720677</v>
      </c>
      <c r="EN52" s="262"/>
      <c r="EO52" s="260"/>
      <c r="EP52" s="262"/>
      <c r="EQ52" s="260"/>
      <c r="ER52" s="262"/>
      <c r="ET52" s="260"/>
      <c r="EU52" s="290"/>
      <c r="EZ52" s="260"/>
      <c r="FA52" s="262"/>
      <c r="FB52" s="260"/>
      <c r="FC52" s="262"/>
      <c r="FE52" s="260"/>
      <c r="FF52" s="290"/>
      <c r="FK52" s="260"/>
      <c r="FL52" s="262"/>
      <c r="FM52" s="260"/>
      <c r="FN52" s="262"/>
      <c r="FP52" s="260"/>
      <c r="FQ52" s="290"/>
      <c r="FS52" s="294"/>
      <c r="FT52" s="262"/>
    </row>
    <row r="53" spans="2:176" ht="12" customHeight="1">
      <c r="M53" s="283" t="s">
        <v>464</v>
      </c>
      <c r="N53" s="288"/>
      <c r="O53" s="260" t="s">
        <v>465</v>
      </c>
      <c r="P53" s="285"/>
      <c r="R53" s="260" t="s">
        <v>466</v>
      </c>
      <c r="S53" s="292" t="e">
        <f>P52^2/(2*32.2)*(1-(N52/(N52+N53)))</f>
        <v>#REF!</v>
      </c>
      <c r="U53" s="260" t="s">
        <v>467</v>
      </c>
      <c r="V53" s="277">
        <v>0</v>
      </c>
      <c r="X53" s="283" t="s">
        <v>464</v>
      </c>
      <c r="Y53" s="288"/>
      <c r="Z53" s="260" t="s">
        <v>465</v>
      </c>
      <c r="AA53" s="285"/>
      <c r="AC53" s="260" t="s">
        <v>466</v>
      </c>
      <c r="AD53" s="292" t="e">
        <f>AA52^2/(2*32.2)*(1-(Y52/(Y52+Y53)))</f>
        <v>#REF!</v>
      </c>
      <c r="AF53" s="260" t="s">
        <v>467</v>
      </c>
      <c r="AG53" s="277">
        <v>0</v>
      </c>
      <c r="AI53" s="283" t="s">
        <v>464</v>
      </c>
      <c r="AJ53" s="288"/>
      <c r="AK53" s="260" t="s">
        <v>465</v>
      </c>
      <c r="AL53" s="285"/>
      <c r="AN53" s="260" t="s">
        <v>466</v>
      </c>
      <c r="AO53" s="292" t="e">
        <f>AL52^2/(2*32.2)*(1-(AJ52/(AJ52+AJ53)))</f>
        <v>#REF!</v>
      </c>
      <c r="AQ53" s="260" t="s">
        <v>467</v>
      </c>
      <c r="AR53" s="277">
        <v>0</v>
      </c>
      <c r="AS53" s="262"/>
      <c r="AT53" s="262"/>
      <c r="AU53" s="260"/>
      <c r="AV53" s="262"/>
      <c r="AW53" s="260"/>
      <c r="AX53" s="262"/>
      <c r="AZ53" s="260"/>
      <c r="BA53" s="290"/>
      <c r="BC53" s="260"/>
      <c r="BD53" s="262"/>
      <c r="BE53" s="283" t="s">
        <v>464</v>
      </c>
      <c r="BF53" s="288"/>
      <c r="BG53" s="260" t="s">
        <v>465</v>
      </c>
      <c r="BH53" s="285"/>
      <c r="BJ53" s="260" t="s">
        <v>466</v>
      </c>
      <c r="BK53" s="292" t="e">
        <f>BH52^2/(2*32.2)*(1-(BF52/(BF52+BF53)))</f>
        <v>#REF!</v>
      </c>
      <c r="BM53" s="260" t="s">
        <v>467</v>
      </c>
      <c r="BN53" s="277">
        <v>0</v>
      </c>
      <c r="BO53" s="262"/>
      <c r="BP53" s="283" t="s">
        <v>460</v>
      </c>
      <c r="BQ53" s="285" t="e">
        <f>'[3]Storm Sewer -10yr'!#REF!</f>
        <v>#REF!</v>
      </c>
      <c r="BR53" s="260" t="s">
        <v>461</v>
      </c>
      <c r="BS53" s="285" t="e">
        <f>'[3]Storm Sewer -10yr'!#REF!</f>
        <v>#REF!</v>
      </c>
      <c r="BU53" s="260" t="s">
        <v>462</v>
      </c>
      <c r="BV53" s="291" t="e">
        <f>IF(BW50=0, 0, IF(BW50&gt;45,0.22*(BS52^2/(2*32.2))*2,IF(BW50=45,0.22*(BS52^2/(2*32.2)),0.22*(BS52^2/(2*32.2))*(2/3))))</f>
        <v>#REF!</v>
      </c>
      <c r="BX53" s="294" t="s">
        <v>463</v>
      </c>
      <c r="BY53" s="277" t="e">
        <f>MAX(BY50:BY51)</f>
        <v>#REF!</v>
      </c>
      <c r="BZ53" s="262"/>
      <c r="CA53" s="283" t="s">
        <v>464</v>
      </c>
      <c r="CB53" s="288"/>
      <c r="CC53" s="260" t="s">
        <v>465</v>
      </c>
      <c r="CD53" s="285"/>
      <c r="CF53" s="260" t="s">
        <v>466</v>
      </c>
      <c r="CG53" s="292" t="e">
        <f>CD52^2/(2*32.2)*(1-(CB52/(CB52+CB53)))</f>
        <v>#REF!</v>
      </c>
      <c r="CI53" s="260" t="s">
        <v>467</v>
      </c>
      <c r="CJ53" s="277">
        <v>0</v>
      </c>
      <c r="CK53" s="262"/>
      <c r="CL53" s="283" t="s">
        <v>464</v>
      </c>
      <c r="CM53" s="288"/>
      <c r="CN53" s="260" t="s">
        <v>465</v>
      </c>
      <c r="CO53" s="285"/>
      <c r="CQ53" s="260" t="s">
        <v>466</v>
      </c>
      <c r="CR53" s="292">
        <f>CO52^2/(2*32.2)*(1-(CM52/(CM52+CM53)))</f>
        <v>0</v>
      </c>
      <c r="CT53" s="260" t="s">
        <v>467</v>
      </c>
      <c r="CU53" s="277">
        <f>CR54</f>
        <v>4.0802521225364892</v>
      </c>
      <c r="CV53" s="262"/>
      <c r="CW53" s="283" t="s">
        <v>464</v>
      </c>
      <c r="CX53" s="288"/>
      <c r="CY53" s="260" t="s">
        <v>465</v>
      </c>
      <c r="CZ53" s="285"/>
      <c r="DB53" s="260" t="s">
        <v>466</v>
      </c>
      <c r="DC53" s="292">
        <f>CZ52^2/(2*32.2)*(1-(CX52/(CX52+CX53)))</f>
        <v>0</v>
      </c>
      <c r="DE53" s="260" t="s">
        <v>467</v>
      </c>
      <c r="DF53" s="277">
        <f>DC54</f>
        <v>2.8806101463962133</v>
      </c>
      <c r="DG53" s="262"/>
      <c r="DH53" s="283" t="s">
        <v>464</v>
      </c>
      <c r="DI53" s="288"/>
      <c r="DJ53" s="260" t="s">
        <v>465</v>
      </c>
      <c r="DK53" s="285"/>
      <c r="DM53" s="260" t="s">
        <v>466</v>
      </c>
      <c r="DN53" s="292" t="e">
        <f>DK52^2/(2*32.2)*(1-(DI52/(DI52+DI53)))</f>
        <v>#DIV/0!</v>
      </c>
      <c r="DP53" s="260" t="s">
        <v>467</v>
      </c>
      <c r="DQ53" s="277">
        <v>0</v>
      </c>
      <c r="DR53" s="262"/>
      <c r="DS53" s="283" t="s">
        <v>464</v>
      </c>
      <c r="DT53" s="288"/>
      <c r="DU53" s="260" t="s">
        <v>465</v>
      </c>
      <c r="DV53" s="285"/>
      <c r="DX53" s="260" t="s">
        <v>466</v>
      </c>
      <c r="DY53" s="292" t="e">
        <f>DV52^2/(2*32.2)*(1-(DT52/(DT52+DT53)))</f>
        <v>#DIV/0!</v>
      </c>
      <c r="EA53" s="260" t="s">
        <v>467</v>
      </c>
      <c r="EB53" s="277">
        <v>0</v>
      </c>
      <c r="EC53" s="262"/>
      <c r="ED53" s="283" t="s">
        <v>464</v>
      </c>
      <c r="EE53" s="288"/>
      <c r="EF53" s="260" t="s">
        <v>465</v>
      </c>
      <c r="EG53" s="285"/>
      <c r="EI53" s="260" t="s">
        <v>466</v>
      </c>
      <c r="EJ53" s="292">
        <f>EG52^2/(2*32.2)*(1-(EE52/(EE52+EE53)))</f>
        <v>0</v>
      </c>
      <c r="EL53" s="260" t="s">
        <v>467</v>
      </c>
      <c r="EM53" s="277">
        <v>0</v>
      </c>
      <c r="EN53" s="262"/>
      <c r="EO53" s="260"/>
      <c r="EP53" s="262"/>
      <c r="EQ53" s="260"/>
      <c r="ER53" s="262"/>
      <c r="ET53" s="260"/>
      <c r="EU53" s="290"/>
      <c r="EW53" s="294"/>
      <c r="EX53" s="262"/>
      <c r="EZ53" s="260"/>
      <c r="FA53" s="262"/>
      <c r="FB53" s="260"/>
      <c r="FC53" s="262"/>
      <c r="FE53" s="260"/>
      <c r="FF53" s="290"/>
      <c r="FH53" s="294"/>
      <c r="FI53" s="262"/>
      <c r="FJ53" s="260"/>
      <c r="FK53" s="260"/>
      <c r="FL53" s="262"/>
      <c r="FM53" s="260"/>
      <c r="FN53" s="262"/>
      <c r="FP53" s="260"/>
      <c r="FQ53" s="290"/>
      <c r="FS53" s="260"/>
      <c r="FT53" s="262"/>
    </row>
    <row r="54" spans="2:176" ht="12" customHeight="1">
      <c r="M54" s="283" t="s">
        <v>468</v>
      </c>
      <c r="N54" s="285"/>
      <c r="O54" s="260" t="s">
        <v>469</v>
      </c>
      <c r="P54" s="285"/>
      <c r="R54" s="260" t="s">
        <v>470</v>
      </c>
      <c r="S54" s="295" t="e">
        <f>SUM(S50:S53)</f>
        <v>#REF!</v>
      </c>
      <c r="V54" s="293"/>
      <c r="X54" s="283" t="s">
        <v>468</v>
      </c>
      <c r="Y54" s="285"/>
      <c r="Z54" s="260" t="s">
        <v>469</v>
      </c>
      <c r="AA54" s="285"/>
      <c r="AC54" s="260" t="s">
        <v>470</v>
      </c>
      <c r="AD54" s="295" t="e">
        <f>SUM(AD50:AD53)</f>
        <v>#REF!</v>
      </c>
      <c r="AG54" s="293"/>
      <c r="AI54" s="283" t="s">
        <v>468</v>
      </c>
      <c r="AJ54" s="285"/>
      <c r="AK54" s="260" t="s">
        <v>469</v>
      </c>
      <c r="AL54" s="285"/>
      <c r="AN54" s="260" t="s">
        <v>470</v>
      </c>
      <c r="AO54" s="295" t="e">
        <f>SUM(AO50:AO53)</f>
        <v>#REF!</v>
      </c>
      <c r="AR54" s="293"/>
      <c r="AT54" s="262"/>
      <c r="AU54" s="260"/>
      <c r="AV54" s="262"/>
      <c r="AW54" s="260"/>
      <c r="AX54" s="262"/>
      <c r="AZ54" s="260"/>
      <c r="BA54" s="290"/>
      <c r="BE54" s="283" t="s">
        <v>468</v>
      </c>
      <c r="BF54" s="285"/>
      <c r="BG54" s="260" t="s">
        <v>469</v>
      </c>
      <c r="BH54" s="285"/>
      <c r="BJ54" s="260" t="s">
        <v>470</v>
      </c>
      <c r="BK54" s="295" t="e">
        <f>SUM(BK50:BK53)</f>
        <v>#REF!</v>
      </c>
      <c r="BN54" s="293"/>
      <c r="BP54" s="283" t="s">
        <v>464</v>
      </c>
      <c r="BQ54" s="288" t="e">
        <f>'[3]Storm Sewer -10yr'!#REF!</f>
        <v>#REF!</v>
      </c>
      <c r="BR54" s="260" t="s">
        <v>465</v>
      </c>
      <c r="BS54" s="285" t="e">
        <f>'[3]Storm Sewer -10yr'!#REF!</f>
        <v>#REF!</v>
      </c>
      <c r="BU54" s="260" t="s">
        <v>466</v>
      </c>
      <c r="BV54" s="292" t="e">
        <f>BS53^2/(2*32.2)*(1-(BQ53/(BQ53+BQ54)))</f>
        <v>#REF!</v>
      </c>
      <c r="BX54" s="260" t="s">
        <v>467</v>
      </c>
      <c r="BY54" s="277" t="e">
        <f>BV55</f>
        <v>#REF!</v>
      </c>
      <c r="CA54" s="283" t="s">
        <v>468</v>
      </c>
      <c r="CB54" s="285"/>
      <c r="CC54" s="260" t="s">
        <v>469</v>
      </c>
      <c r="CD54" s="285"/>
      <c r="CF54" s="260" t="s">
        <v>470</v>
      </c>
      <c r="CG54" s="295" t="e">
        <f>SUM(CG50:CG53)</f>
        <v>#REF!</v>
      </c>
      <c r="CJ54" s="293"/>
      <c r="CL54" s="283" t="s">
        <v>468</v>
      </c>
      <c r="CM54" s="285"/>
      <c r="CN54" s="260" t="s">
        <v>469</v>
      </c>
      <c r="CO54" s="285"/>
      <c r="CQ54" s="260" t="s">
        <v>470</v>
      </c>
      <c r="CR54" s="295">
        <f>SUM(CR50:CR53)</f>
        <v>4.0802521225364892</v>
      </c>
      <c r="CU54" s="293"/>
      <c r="CW54" s="283" t="s">
        <v>468</v>
      </c>
      <c r="CX54" s="285"/>
      <c r="CY54" s="260" t="s">
        <v>469</v>
      </c>
      <c r="CZ54" s="285"/>
      <c r="DB54" s="260" t="s">
        <v>470</v>
      </c>
      <c r="DC54" s="295">
        <f>SUM(DC50:DC53)</f>
        <v>2.8806101463962133</v>
      </c>
      <c r="DF54" s="293"/>
      <c r="DH54" s="283" t="s">
        <v>468</v>
      </c>
      <c r="DI54" s="285"/>
      <c r="DJ54" s="260" t="s">
        <v>469</v>
      </c>
      <c r="DK54" s="285"/>
      <c r="DM54" s="260" t="s">
        <v>470</v>
      </c>
      <c r="DN54" s="295" t="e">
        <f>SUM(DN50:DN53)</f>
        <v>#DIV/0!</v>
      </c>
      <c r="DQ54" s="293"/>
      <c r="DS54" s="283" t="s">
        <v>468</v>
      </c>
      <c r="DT54" s="285"/>
      <c r="DU54" s="260" t="s">
        <v>469</v>
      </c>
      <c r="DV54" s="285"/>
      <c r="DX54" s="260" t="s">
        <v>470</v>
      </c>
      <c r="DY54" s="295" t="e">
        <f>SUM(DY50:DY53)</f>
        <v>#DIV/0!</v>
      </c>
      <c r="EB54" s="293"/>
      <c r="ED54" s="283" t="s">
        <v>468</v>
      </c>
      <c r="EE54" s="285"/>
      <c r="EF54" s="260" t="s">
        <v>469</v>
      </c>
      <c r="EG54" s="285"/>
      <c r="EI54" s="260" t="s">
        <v>470</v>
      </c>
      <c r="EJ54" s="295">
        <f>SUM(EJ50:EJ53)</f>
        <v>3.8725546118012417</v>
      </c>
      <c r="EM54" s="293"/>
      <c r="EO54" s="260"/>
      <c r="EP54" s="262"/>
      <c r="EQ54" s="260"/>
      <c r="ER54" s="262"/>
      <c r="ET54" s="260"/>
      <c r="EU54" s="290"/>
      <c r="EW54" s="260"/>
      <c r="EX54" s="262"/>
      <c r="EZ54" s="260"/>
      <c r="FA54" s="262"/>
      <c r="FB54" s="260"/>
      <c r="FC54" s="262"/>
      <c r="FE54" s="260"/>
      <c r="FF54" s="290"/>
      <c r="FH54" s="260"/>
      <c r="FI54" s="262"/>
      <c r="FJ54" s="260"/>
      <c r="FK54" s="260"/>
      <c r="FL54" s="262"/>
      <c r="FM54" s="260"/>
      <c r="FN54" s="262"/>
      <c r="FP54" s="260"/>
      <c r="FQ54" s="290"/>
    </row>
    <row r="55" spans="2:176" ht="12" customHeight="1" thickBot="1">
      <c r="M55" s="302"/>
      <c r="N55" s="299"/>
      <c r="O55" s="299"/>
      <c r="P55" s="299"/>
      <c r="Q55" s="299"/>
      <c r="R55" s="299"/>
      <c r="S55" s="299"/>
      <c r="T55" s="299"/>
      <c r="U55" s="300" t="s">
        <v>471</v>
      </c>
      <c r="V55" s="301" t="e">
        <f>V52+V53</f>
        <v>#REF!</v>
      </c>
      <c r="X55" s="302"/>
      <c r="Y55" s="299"/>
      <c r="Z55" s="299"/>
      <c r="AA55" s="299"/>
      <c r="AB55" s="299"/>
      <c r="AC55" s="299"/>
      <c r="AD55" s="299"/>
      <c r="AE55" s="299"/>
      <c r="AF55" s="300" t="s">
        <v>471</v>
      </c>
      <c r="AG55" s="301" t="e">
        <f>AG52+AG53</f>
        <v>#REF!</v>
      </c>
      <c r="AI55" s="302"/>
      <c r="AJ55" s="299"/>
      <c r="AK55" s="299"/>
      <c r="AL55" s="299"/>
      <c r="AM55" s="299"/>
      <c r="AN55" s="299"/>
      <c r="AO55" s="299"/>
      <c r="AP55" s="299"/>
      <c r="AQ55" s="300" t="s">
        <v>471</v>
      </c>
      <c r="AR55" s="301" t="e">
        <f>AR52+AR53</f>
        <v>#REF!</v>
      </c>
      <c r="AS55" s="296"/>
      <c r="BC55" s="260"/>
      <c r="BD55" s="296"/>
      <c r="BE55" s="302"/>
      <c r="BF55" s="299"/>
      <c r="BG55" s="299"/>
      <c r="BH55" s="299"/>
      <c r="BI55" s="299"/>
      <c r="BJ55" s="299"/>
      <c r="BK55" s="299"/>
      <c r="BL55" s="299"/>
      <c r="BM55" s="300" t="s">
        <v>471</v>
      </c>
      <c r="BN55" s="301" t="e">
        <f>BN52+BN53</f>
        <v>#REF!</v>
      </c>
      <c r="BO55" s="296"/>
      <c r="BP55" s="283" t="s">
        <v>468</v>
      </c>
      <c r="BQ55" s="285"/>
      <c r="BR55" s="260" t="s">
        <v>469</v>
      </c>
      <c r="BS55" s="285"/>
      <c r="BU55" s="260" t="s">
        <v>470</v>
      </c>
      <c r="BV55" s="295" t="e">
        <f>SUM(BV51:BV54)</f>
        <v>#REF!</v>
      </c>
      <c r="BY55" s="293"/>
      <c r="BZ55" s="296"/>
      <c r="CA55" s="302"/>
      <c r="CB55" s="299"/>
      <c r="CC55" s="299"/>
      <c r="CD55" s="299"/>
      <c r="CE55" s="299"/>
      <c r="CF55" s="299"/>
      <c r="CG55" s="299"/>
      <c r="CH55" s="299"/>
      <c r="CI55" s="300" t="s">
        <v>471</v>
      </c>
      <c r="CJ55" s="301" t="e">
        <f>CJ52+CJ53</f>
        <v>#REF!</v>
      </c>
      <c r="CK55" s="296"/>
      <c r="CL55" s="302"/>
      <c r="CM55" s="299"/>
      <c r="CN55" s="299"/>
      <c r="CO55" s="299"/>
      <c r="CP55" s="299"/>
      <c r="CQ55" s="299"/>
      <c r="CR55" s="299"/>
      <c r="CS55" s="299"/>
      <c r="CT55" s="300" t="s">
        <v>471</v>
      </c>
      <c r="CU55" s="301">
        <f>CU52+CU53</f>
        <v>14.71739591636063</v>
      </c>
      <c r="CV55" s="296"/>
      <c r="CW55" s="302"/>
      <c r="CX55" s="299"/>
      <c r="CY55" s="299"/>
      <c r="CZ55" s="299"/>
      <c r="DA55" s="299"/>
      <c r="DB55" s="299"/>
      <c r="DC55" s="299"/>
      <c r="DD55" s="299"/>
      <c r="DE55" s="300" t="s">
        <v>471</v>
      </c>
      <c r="DF55" s="301">
        <f>DF52+DF53</f>
        <v>10.132104257089406</v>
      </c>
      <c r="DG55" s="296"/>
      <c r="DH55" s="302"/>
      <c r="DI55" s="299"/>
      <c r="DJ55" s="299"/>
      <c r="DK55" s="299"/>
      <c r="DL55" s="299"/>
      <c r="DM55" s="299"/>
      <c r="DN55" s="299"/>
      <c r="DO55" s="299"/>
      <c r="DP55" s="300" t="s">
        <v>471</v>
      </c>
      <c r="DQ55" s="301" t="e">
        <f>DQ52+DQ53</f>
        <v>#DIV/0!</v>
      </c>
      <c r="DR55" s="296"/>
      <c r="DS55" s="302"/>
      <c r="DT55" s="299"/>
      <c r="DU55" s="299"/>
      <c r="DV55" s="299"/>
      <c r="DW55" s="299"/>
      <c r="DX55" s="299"/>
      <c r="DY55" s="299"/>
      <c r="DZ55" s="299"/>
      <c r="EA55" s="300" t="s">
        <v>471</v>
      </c>
      <c r="EB55" s="301" t="e">
        <f>EB52+EB53</f>
        <v>#DIV/0!</v>
      </c>
      <c r="EC55" s="296"/>
      <c r="ED55" s="302"/>
      <c r="EE55" s="299"/>
      <c r="EF55" s="299"/>
      <c r="EG55" s="299"/>
      <c r="EH55" s="299"/>
      <c r="EI55" s="299"/>
      <c r="EJ55" s="299"/>
      <c r="EK55" s="299"/>
      <c r="EL55" s="300" t="s">
        <v>471</v>
      </c>
      <c r="EM55" s="301">
        <f>EM52+EM53</f>
        <v>88.246219111720677</v>
      </c>
      <c r="EN55" s="296"/>
      <c r="EO55" s="260"/>
      <c r="EP55" s="262"/>
      <c r="EQ55" s="260"/>
      <c r="ER55" s="262"/>
      <c r="ET55" s="260"/>
      <c r="EU55" s="290"/>
      <c r="EZ55" s="260"/>
      <c r="FA55" s="262"/>
      <c r="FB55" s="260"/>
      <c r="FC55" s="262"/>
      <c r="FE55" s="260"/>
      <c r="FF55" s="290"/>
      <c r="FJ55" s="260"/>
      <c r="FS55" s="260"/>
      <c r="FT55" s="296"/>
    </row>
    <row r="56" spans="2:176" ht="12" customHeight="1" thickBot="1">
      <c r="J56" s="260"/>
      <c r="K56" s="296"/>
      <c r="U56" s="260"/>
      <c r="V56" s="296"/>
      <c r="AF56" s="260"/>
      <c r="AG56" s="296"/>
      <c r="AQ56" s="260"/>
      <c r="AR56" s="296"/>
      <c r="AS56" s="296"/>
      <c r="BC56" s="260"/>
      <c r="BD56" s="296"/>
      <c r="BM56" s="260"/>
      <c r="BN56" s="296"/>
      <c r="BO56" s="296"/>
      <c r="BP56" s="302"/>
      <c r="BQ56" s="299"/>
      <c r="BR56" s="299"/>
      <c r="BS56" s="299"/>
      <c r="BT56" s="299"/>
      <c r="BU56" s="299"/>
      <c r="BV56" s="299"/>
      <c r="BW56" s="299"/>
      <c r="BX56" s="300" t="s">
        <v>471</v>
      </c>
      <c r="BY56" s="301" t="e">
        <f>BY53+BY54</f>
        <v>#REF!</v>
      </c>
      <c r="BZ56" s="296"/>
      <c r="CK56" s="296"/>
      <c r="CV56" s="296"/>
      <c r="DE56" s="260"/>
      <c r="DF56" s="296"/>
      <c r="DG56" s="296"/>
      <c r="DQ56" s="260"/>
      <c r="DR56" s="296"/>
      <c r="EB56" s="260"/>
      <c r="EC56" s="296"/>
      <c r="EN56" s="296"/>
      <c r="EW56" s="260"/>
      <c r="EX56" s="296"/>
      <c r="FH56" s="260"/>
      <c r="FI56" s="296"/>
      <c r="FJ56" s="260"/>
    </row>
    <row r="57" spans="2:176" ht="12" customHeight="1" thickBot="1">
      <c r="AI57" s="256" t="s">
        <v>425</v>
      </c>
      <c r="AJ57" s="256" t="s">
        <v>508</v>
      </c>
      <c r="BE57" s="256" t="s">
        <v>425</v>
      </c>
      <c r="BF57" s="256" t="s">
        <v>509</v>
      </c>
      <c r="CL57" s="256" t="s">
        <v>425</v>
      </c>
      <c r="CM57" s="256" t="s">
        <v>510</v>
      </c>
      <c r="CW57" s="256" t="s">
        <v>425</v>
      </c>
      <c r="CX57" s="256" t="s">
        <v>511</v>
      </c>
      <c r="DH57" s="459" t="s">
        <v>512</v>
      </c>
      <c r="DI57" s="460"/>
      <c r="DJ57" s="460"/>
      <c r="DK57" s="460"/>
      <c r="DL57" s="460"/>
      <c r="DM57" s="460"/>
      <c r="DN57" s="460"/>
      <c r="DO57" s="460"/>
      <c r="DP57" s="460"/>
      <c r="DQ57" s="461"/>
      <c r="DS57" s="256" t="s">
        <v>425</v>
      </c>
      <c r="DT57" s="256" t="s">
        <v>513</v>
      </c>
      <c r="ED57" s="256" t="s">
        <v>425</v>
      </c>
      <c r="EE57" s="258" t="s">
        <v>428</v>
      </c>
    </row>
    <row r="58" spans="2:176" ht="12" customHeight="1" thickBot="1">
      <c r="B58" s="260"/>
      <c r="D58" s="260"/>
      <c r="F58" s="261"/>
      <c r="G58" s="259"/>
      <c r="H58" s="261"/>
      <c r="J58" s="260"/>
      <c r="K58" s="262"/>
      <c r="M58" s="260"/>
      <c r="O58" s="260"/>
      <c r="Q58" s="261"/>
      <c r="R58" s="259"/>
      <c r="S58" s="261"/>
      <c r="U58" s="260"/>
      <c r="V58" s="262"/>
      <c r="AH58" s="257"/>
      <c r="AI58" s="263" t="s">
        <v>438</v>
      </c>
      <c r="AJ58" s="264" t="e">
        <f>'[3]Storm Sewer -10yr'!#REF!</f>
        <v>#REF!</v>
      </c>
      <c r="AK58" s="265" t="s">
        <v>439</v>
      </c>
      <c r="AL58" s="264" t="e">
        <f>'[3]Storm Sewer -10yr'!#REF!</f>
        <v>#REF!</v>
      </c>
      <c r="AM58" s="266" t="s">
        <v>48</v>
      </c>
      <c r="AN58" s="267"/>
      <c r="AO58" s="266" t="s">
        <v>440</v>
      </c>
      <c r="AP58" s="268"/>
      <c r="AQ58" s="265" t="s">
        <v>442</v>
      </c>
      <c r="AR58" s="270" t="e">
        <f>AR29</f>
        <v>#REF!</v>
      </c>
      <c r="AS58" s="262"/>
      <c r="AU58" s="260"/>
      <c r="AW58" s="260"/>
      <c r="AY58" s="261"/>
      <c r="AZ58" s="259"/>
      <c r="BA58" s="261"/>
      <c r="BC58" s="260"/>
      <c r="BD58" s="262"/>
      <c r="BE58" s="263" t="s">
        <v>438</v>
      </c>
      <c r="BF58" s="264" t="e">
        <f>'[3]Storm Sewer -10yr'!#REF!</f>
        <v>#REF!</v>
      </c>
      <c r="BG58" s="265" t="s">
        <v>439</v>
      </c>
      <c r="BH58" s="264" t="e">
        <f>'[3]Storm Sewer -10yr'!#REF!</f>
        <v>#REF!</v>
      </c>
      <c r="BI58" s="266" t="s">
        <v>48</v>
      </c>
      <c r="BJ58" s="267"/>
      <c r="BK58" s="266" t="s">
        <v>440</v>
      </c>
      <c r="BL58" s="268"/>
      <c r="BM58" s="265" t="s">
        <v>442</v>
      </c>
      <c r="BN58" s="270">
        <v>5.87</v>
      </c>
      <c r="BO58" s="262"/>
      <c r="BP58" s="256" t="s">
        <v>425</v>
      </c>
      <c r="BQ58" s="256" t="s">
        <v>514</v>
      </c>
      <c r="BZ58" s="262"/>
      <c r="CK58" s="262"/>
      <c r="CL58" s="263" t="s">
        <v>438</v>
      </c>
      <c r="CM58" s="264" t="str">
        <f>'[3]Storm Sewer -10yr'!C13</f>
        <v>MH-01</v>
      </c>
      <c r="CN58" s="265" t="s">
        <v>439</v>
      </c>
      <c r="CO58" s="264" t="str">
        <f>'[3]Storm Sewer -10yr'!B13</f>
        <v>EX-01</v>
      </c>
      <c r="CP58" s="266" t="s">
        <v>48</v>
      </c>
      <c r="CQ58" s="267"/>
      <c r="CR58" s="266" t="s">
        <v>440</v>
      </c>
      <c r="CS58" s="268"/>
      <c r="CT58" s="265" t="s">
        <v>442</v>
      </c>
      <c r="CU58" s="270">
        <f>CU55</f>
        <v>14.71739591636063</v>
      </c>
      <c r="CV58" s="262"/>
      <c r="CW58" s="263" t="s">
        <v>438</v>
      </c>
      <c r="CX58" s="264" t="str">
        <f>'[3]Storm Sewer -10yr'!C22</f>
        <v>I-04</v>
      </c>
      <c r="CY58" s="265" t="s">
        <v>439</v>
      </c>
      <c r="CZ58" s="264" t="str">
        <f>'[3]Storm Sewer -10yr'!B22</f>
        <v>I-03</v>
      </c>
      <c r="DA58" s="266" t="s">
        <v>48</v>
      </c>
      <c r="DB58" s="267"/>
      <c r="DC58" s="266" t="s">
        <v>440</v>
      </c>
      <c r="DD58" s="268"/>
      <c r="DE58" s="265" t="s">
        <v>442</v>
      </c>
      <c r="DF58" s="270">
        <f>DF55</f>
        <v>10.132104257089406</v>
      </c>
      <c r="DG58" s="262"/>
      <c r="DH58" s="256" t="s">
        <v>425</v>
      </c>
      <c r="DI58" s="256" t="s">
        <v>515</v>
      </c>
      <c r="DR58" s="262"/>
      <c r="DS58" s="263" t="s">
        <v>438</v>
      </c>
      <c r="DT58" s="264">
        <f>'[3]Storm Sewer -10yr'!C41</f>
        <v>0</v>
      </c>
      <c r="DU58" s="265" t="s">
        <v>439</v>
      </c>
      <c r="DV58" s="264">
        <f>'[3]Storm Sewer -10yr'!B41</f>
        <v>0</v>
      </c>
      <c r="DW58" s="266" t="s">
        <v>48</v>
      </c>
      <c r="DX58" s="267"/>
      <c r="DY58" s="266" t="s">
        <v>440</v>
      </c>
      <c r="DZ58" s="268"/>
      <c r="EA58" s="265" t="s">
        <v>442</v>
      </c>
      <c r="EB58" s="270">
        <v>14.37</v>
      </c>
      <c r="EC58" s="262"/>
      <c r="ED58" s="263" t="s">
        <v>438</v>
      </c>
      <c r="EE58" s="264" t="s">
        <v>507</v>
      </c>
      <c r="EF58" s="265" t="s">
        <v>439</v>
      </c>
      <c r="EG58" s="264" t="s">
        <v>516</v>
      </c>
      <c r="EH58" s="266" t="s">
        <v>48</v>
      </c>
      <c r="EI58" s="267"/>
      <c r="EJ58" s="266" t="s">
        <v>440</v>
      </c>
      <c r="EK58" s="268"/>
      <c r="EL58" s="265" t="s">
        <v>442</v>
      </c>
      <c r="EM58" s="270">
        <f>EM55</f>
        <v>88.246219111720677</v>
      </c>
      <c r="EN58" s="262"/>
      <c r="FK58" s="260"/>
      <c r="FL58" s="271"/>
      <c r="FM58" s="260"/>
      <c r="FN58" s="271"/>
      <c r="FO58" s="261"/>
      <c r="FP58" s="259"/>
      <c r="FQ58" s="261"/>
      <c r="FS58" s="260"/>
      <c r="FT58" s="262"/>
    </row>
    <row r="59" spans="2:176" ht="12" customHeight="1">
      <c r="C59" s="260"/>
      <c r="F59" s="272"/>
      <c r="G59" s="260"/>
      <c r="H59" s="273"/>
      <c r="J59" s="260"/>
      <c r="K59" s="259"/>
      <c r="N59" s="260"/>
      <c r="Q59" s="272"/>
      <c r="R59" s="260"/>
      <c r="S59" s="273"/>
      <c r="U59" s="260"/>
      <c r="V59" s="262"/>
      <c r="AI59" s="274"/>
      <c r="AJ59" s="260" t="s">
        <v>443</v>
      </c>
      <c r="AK59" s="275" t="e">
        <f>AL58</f>
        <v>#REF!</v>
      </c>
      <c r="AM59" s="272" t="e">
        <f>'[3]Storm Sewer -10yr'!#REF!</f>
        <v>#REF!</v>
      </c>
      <c r="AN59" s="260" t="s">
        <v>444</v>
      </c>
      <c r="AO59" s="273" t="e">
        <f>'[3]Storm Sewer -10yr'!#REF!</f>
        <v>#REF!</v>
      </c>
      <c r="AQ59" s="260" t="s">
        <v>445</v>
      </c>
      <c r="AR59" s="277" t="e">
        <f>AM62+(AJ62/12)</f>
        <v>#REF!</v>
      </c>
      <c r="AS59" s="262"/>
      <c r="AT59" s="260"/>
      <c r="AV59" s="260"/>
      <c r="AY59" s="272"/>
      <c r="AZ59" s="260"/>
      <c r="BA59" s="319"/>
      <c r="BC59" s="260"/>
      <c r="BD59" s="262"/>
      <c r="BE59" s="274"/>
      <c r="BF59" s="260" t="s">
        <v>443</v>
      </c>
      <c r="BG59" s="275" t="e">
        <f>BH58</f>
        <v>#REF!</v>
      </c>
      <c r="BI59" s="272" t="e">
        <f>'[3]Storm Sewer -10yr'!#REF!</f>
        <v>#REF!</v>
      </c>
      <c r="BJ59" s="260" t="s">
        <v>444</v>
      </c>
      <c r="BK59" s="273" t="e">
        <f>'[3]Storm Sewer -10yr'!#REF!</f>
        <v>#REF!</v>
      </c>
      <c r="BM59" s="260" t="s">
        <v>445</v>
      </c>
      <c r="BN59" s="277" t="e">
        <f>BI62+(BF62/12)</f>
        <v>#REF!</v>
      </c>
      <c r="BO59" s="262"/>
      <c r="BP59" s="263" t="s">
        <v>438</v>
      </c>
      <c r="BQ59" s="264" t="e">
        <f>'[3]Storm Sewer -10yr'!#REF!</f>
        <v>#REF!</v>
      </c>
      <c r="BR59" s="265" t="s">
        <v>439</v>
      </c>
      <c r="BS59" s="264" t="e">
        <f>'[3]Storm Sewer -10yr'!#REF!</f>
        <v>#REF!</v>
      </c>
      <c r="BT59" s="266" t="s">
        <v>48</v>
      </c>
      <c r="BU59" s="267"/>
      <c r="BV59" s="266" t="s">
        <v>440</v>
      </c>
      <c r="BW59" s="268"/>
      <c r="BX59" s="265" t="s">
        <v>442</v>
      </c>
      <c r="BY59" s="270" t="e">
        <f>BY56</f>
        <v>#REF!</v>
      </c>
      <c r="BZ59" s="262"/>
      <c r="CK59" s="262"/>
      <c r="CL59" s="274"/>
      <c r="CM59" s="260" t="s">
        <v>443</v>
      </c>
      <c r="CN59" s="275" t="str">
        <f>CO58</f>
        <v>EX-01</v>
      </c>
      <c r="CP59" s="272">
        <f>'[3]Storm Sewer -10yr'!R13</f>
        <v>20</v>
      </c>
      <c r="CQ59" s="260" t="s">
        <v>444</v>
      </c>
      <c r="CR59" s="273">
        <f>'[3]Storm Sewer -10yr'!AM13</f>
        <v>3.3150200655028955E-5</v>
      </c>
      <c r="CT59" s="260" t="s">
        <v>445</v>
      </c>
      <c r="CU59" s="277">
        <f>CP62+(CM62/12)</f>
        <v>7.97</v>
      </c>
      <c r="CV59" s="262"/>
      <c r="CW59" s="274"/>
      <c r="CX59" s="260" t="s">
        <v>443</v>
      </c>
      <c r="CY59" s="275" t="str">
        <f>CZ58</f>
        <v>I-03</v>
      </c>
      <c r="DA59" s="272">
        <f>'[3]Storm Sewer -10yr'!R22</f>
        <v>56</v>
      </c>
      <c r="DB59" s="260" t="s">
        <v>444</v>
      </c>
      <c r="DC59" s="273">
        <f>'[3]Storm Sewer -10yr'!AM22</f>
        <v>4.6605777165358757E-3</v>
      </c>
      <c r="DE59" s="260" t="s">
        <v>445</v>
      </c>
      <c r="DF59" s="277">
        <f>DA62+(CX62/12)</f>
        <v>7.52</v>
      </c>
      <c r="DG59" s="262"/>
      <c r="DH59" s="263" t="s">
        <v>438</v>
      </c>
      <c r="DI59" s="264">
        <f>'[3]Storm Sewer -10yr'!C43</f>
        <v>0</v>
      </c>
      <c r="DJ59" s="265" t="s">
        <v>439</v>
      </c>
      <c r="DK59" s="264">
        <f>'[3]Storm Sewer -10yr'!B43</f>
        <v>0</v>
      </c>
      <c r="DL59" s="266" t="s">
        <v>48</v>
      </c>
      <c r="DM59" s="267"/>
      <c r="DN59" s="266" t="s">
        <v>440</v>
      </c>
      <c r="DO59" s="268"/>
      <c r="DP59" s="265" t="s">
        <v>442</v>
      </c>
      <c r="DQ59" s="270">
        <v>9.1199999999999992</v>
      </c>
      <c r="DR59" s="262"/>
      <c r="DS59" s="274"/>
      <c r="DT59" s="260" t="s">
        <v>443</v>
      </c>
      <c r="DU59" s="275">
        <f>DV58</f>
        <v>0</v>
      </c>
      <c r="DW59" s="272">
        <f>'[3]Storm Sewer -10yr'!R41</f>
        <v>0</v>
      </c>
      <c r="DX59" s="260" t="s">
        <v>444</v>
      </c>
      <c r="DY59" s="273" t="e">
        <f>'[3]Storm Sewer -10yr'!AM41</f>
        <v>#DIV/0!</v>
      </c>
      <c r="EA59" s="260" t="s">
        <v>445</v>
      </c>
      <c r="EB59" s="277">
        <f>DW62+(DT62/12)</f>
        <v>14.5</v>
      </c>
      <c r="EC59" s="262"/>
      <c r="ED59" s="274"/>
      <c r="EE59" s="260" t="s">
        <v>443</v>
      </c>
      <c r="EF59" s="275" t="str">
        <f>EG58</f>
        <v>MH-01</v>
      </c>
      <c r="EH59" s="272">
        <f>'[3]Storm Sewer -10yr'!R15</f>
        <v>9</v>
      </c>
      <c r="EI59" s="260" t="s">
        <v>444</v>
      </c>
      <c r="EJ59" s="273">
        <f>'[3]Storm Sewer -10yr'!AM15</f>
        <v>7.4436747503797376E-5</v>
      </c>
      <c r="EL59" s="260" t="s">
        <v>445</v>
      </c>
      <c r="EM59" s="277">
        <f>EH62+(EE62/12)</f>
        <v>84.1</v>
      </c>
      <c r="EN59" s="262"/>
      <c r="EO59" s="260"/>
      <c r="EP59" s="271"/>
      <c r="EQ59" s="260"/>
      <c r="ER59" s="271"/>
      <c r="ES59" s="261"/>
      <c r="ET59" s="259"/>
      <c r="EU59" s="261"/>
      <c r="EW59" s="260"/>
      <c r="EX59" s="262"/>
      <c r="EZ59" s="307"/>
      <c r="FA59" s="308"/>
      <c r="FB59" s="307"/>
      <c r="FC59" s="308"/>
      <c r="FD59" s="309"/>
      <c r="FE59" s="310"/>
      <c r="FF59" s="309"/>
      <c r="FG59" s="311"/>
      <c r="FH59" s="307"/>
      <c r="FI59" s="312"/>
      <c r="FL59" s="260"/>
      <c r="FO59" s="272"/>
      <c r="FP59" s="260"/>
      <c r="FQ59" s="273"/>
      <c r="FS59" s="260"/>
      <c r="FT59" s="262"/>
    </row>
    <row r="60" spans="2:176" ht="12" customHeight="1">
      <c r="AI60" s="274"/>
      <c r="AR60" s="278"/>
      <c r="BE60" s="274"/>
      <c r="BN60" s="278"/>
      <c r="BP60" s="274"/>
      <c r="BQ60" s="260" t="s">
        <v>443</v>
      </c>
      <c r="BR60" s="275" t="e">
        <f>BS59</f>
        <v>#REF!</v>
      </c>
      <c r="BT60" s="272" t="e">
        <f>'[3]Storm Sewer -10yr'!#REF!</f>
        <v>#REF!</v>
      </c>
      <c r="BU60" s="260" t="s">
        <v>444</v>
      </c>
      <c r="BV60" s="273" t="e">
        <f>'[3]Storm Sewer -10yr'!#REF!</f>
        <v>#REF!</v>
      </c>
      <c r="BX60" s="260" t="s">
        <v>445</v>
      </c>
      <c r="BY60" s="277" t="e">
        <f>BT63+(BQ63/12)</f>
        <v>#REF!</v>
      </c>
      <c r="CL60" s="274"/>
      <c r="CU60" s="278"/>
      <c r="CW60" s="274"/>
      <c r="DF60" s="278"/>
      <c r="DH60" s="274"/>
      <c r="DI60" s="260" t="s">
        <v>443</v>
      </c>
      <c r="DJ60" s="275">
        <f>DK59</f>
        <v>0</v>
      </c>
      <c r="DL60" s="272">
        <f>'[3]Storm Sewer -10yr'!R43</f>
        <v>0</v>
      </c>
      <c r="DM60" s="260" t="s">
        <v>444</v>
      </c>
      <c r="DN60" s="273" t="e">
        <f>'[3]Storm Sewer -10yr'!AM43</f>
        <v>#DIV/0!</v>
      </c>
      <c r="DP60" s="260" t="s">
        <v>445</v>
      </c>
      <c r="DQ60" s="277">
        <f>DL63+(DI63/12)</f>
        <v>6.65</v>
      </c>
      <c r="DS60" s="274"/>
      <c r="EB60" s="278"/>
      <c r="ED60" s="274"/>
      <c r="EM60" s="278"/>
      <c r="EP60" s="260"/>
      <c r="ES60" s="272"/>
      <c r="ET60" s="260"/>
      <c r="EU60" s="273"/>
      <c r="EW60" s="260"/>
      <c r="EX60" s="262"/>
      <c r="EZ60" s="311"/>
      <c r="FA60" s="307"/>
      <c r="FB60" s="311"/>
      <c r="FC60" s="311"/>
      <c r="FD60" s="313"/>
      <c r="FE60" s="307"/>
      <c r="FF60" s="314"/>
      <c r="FG60" s="311"/>
      <c r="FH60" s="307"/>
      <c r="FI60" s="312"/>
    </row>
    <row r="61" spans="2:176" ht="12" customHeight="1">
      <c r="B61" s="260"/>
      <c r="C61" s="261"/>
      <c r="F61" s="259"/>
      <c r="J61" s="260"/>
      <c r="K61" s="262"/>
      <c r="M61" s="260"/>
      <c r="N61" s="261"/>
      <c r="P61" s="260"/>
      <c r="Q61" s="259"/>
      <c r="S61" s="259"/>
      <c r="T61" s="259"/>
      <c r="U61" s="260"/>
      <c r="V61" s="262"/>
      <c r="AI61" s="283" t="s">
        <v>446</v>
      </c>
      <c r="AJ61" s="284">
        <v>8.4499999999999993</v>
      </c>
      <c r="AK61" s="457" t="s">
        <v>447</v>
      </c>
      <c r="AL61" s="457"/>
      <c r="AM61" s="285">
        <v>4.12</v>
      </c>
      <c r="AO61" s="458" t="s">
        <v>448</v>
      </c>
      <c r="AP61" s="458"/>
      <c r="AQ61" s="260" t="s">
        <v>449</v>
      </c>
      <c r="AR61" s="277" t="e">
        <f>AM59*AO59</f>
        <v>#REF!</v>
      </c>
      <c r="AS61" s="262"/>
      <c r="AT61" s="279"/>
      <c r="AU61" s="260"/>
      <c r="AV61" s="279"/>
      <c r="AY61" s="262"/>
      <c r="BC61" s="260"/>
      <c r="BD61" s="262"/>
      <c r="BE61" s="283" t="s">
        <v>446</v>
      </c>
      <c r="BF61" s="281">
        <v>8.85</v>
      </c>
      <c r="BH61" s="260" t="s">
        <v>447</v>
      </c>
      <c r="BI61" s="282">
        <v>3.55</v>
      </c>
      <c r="BK61" s="259" t="s">
        <v>448</v>
      </c>
      <c r="BL61" s="259"/>
      <c r="BM61" s="260" t="s">
        <v>449</v>
      </c>
      <c r="BN61" s="277" t="e">
        <f>BI59*BK59</f>
        <v>#REF!</v>
      </c>
      <c r="BO61" s="262"/>
      <c r="BP61" s="274"/>
      <c r="BY61" s="278"/>
      <c r="BZ61" s="262"/>
      <c r="CK61" s="262"/>
      <c r="CL61" s="283" t="s">
        <v>446</v>
      </c>
      <c r="CM61" s="281">
        <v>11.12</v>
      </c>
      <c r="CN61" s="457" t="s">
        <v>447</v>
      </c>
      <c r="CO61" s="457"/>
      <c r="CP61" s="285">
        <v>6.52</v>
      </c>
      <c r="CR61" s="458" t="s">
        <v>448</v>
      </c>
      <c r="CS61" s="458"/>
      <c r="CT61" s="260" t="s">
        <v>449</v>
      </c>
      <c r="CU61" s="277">
        <f>CP59*CR59</f>
        <v>6.6300401310057913E-4</v>
      </c>
      <c r="CV61" s="262"/>
      <c r="CW61" s="283" t="s">
        <v>446</v>
      </c>
      <c r="CX61" s="281">
        <v>10.6</v>
      </c>
      <c r="CY61" s="457" t="s">
        <v>447</v>
      </c>
      <c r="CZ61" s="457"/>
      <c r="DA61" s="285">
        <v>6.3</v>
      </c>
      <c r="DC61" s="259" t="s">
        <v>448</v>
      </c>
      <c r="DD61" s="259"/>
      <c r="DE61" s="260" t="s">
        <v>449</v>
      </c>
      <c r="DF61" s="277">
        <f>ROUND(DA59*DC59,2)</f>
        <v>0.26</v>
      </c>
      <c r="DG61" s="262"/>
      <c r="DH61" s="274"/>
      <c r="DQ61" s="278"/>
      <c r="DR61" s="262"/>
      <c r="DS61" s="283" t="s">
        <v>446</v>
      </c>
      <c r="DT61" s="281">
        <v>18.2</v>
      </c>
      <c r="DV61" s="260" t="s">
        <v>447</v>
      </c>
      <c r="DW61" s="285">
        <v>15</v>
      </c>
      <c r="DY61" s="259" t="s">
        <v>448</v>
      </c>
      <c r="DZ61" s="259"/>
      <c r="EA61" s="260" t="s">
        <v>449</v>
      </c>
      <c r="EB61" s="277" t="e">
        <f>DW59*DY59</f>
        <v>#DIV/0!</v>
      </c>
      <c r="EC61" s="262"/>
      <c r="ED61" s="283" t="s">
        <v>517</v>
      </c>
      <c r="EE61" s="281">
        <v>106.33</v>
      </c>
      <c r="EG61" s="260" t="s">
        <v>447</v>
      </c>
      <c r="EH61" s="285">
        <v>99.6</v>
      </c>
      <c r="EJ61" s="259" t="s">
        <v>448</v>
      </c>
      <c r="EK61" s="259"/>
      <c r="EL61" s="260" t="s">
        <v>449</v>
      </c>
      <c r="EM61" s="277">
        <f>EH59*EJ59</f>
        <v>6.6993072753417635E-4</v>
      </c>
      <c r="EN61" s="262"/>
      <c r="EZ61" s="311"/>
      <c r="FA61" s="311"/>
      <c r="FB61" s="311"/>
      <c r="FC61" s="311"/>
      <c r="FD61" s="311"/>
      <c r="FE61" s="311"/>
      <c r="FF61" s="311"/>
      <c r="FG61" s="311"/>
      <c r="FH61" s="311"/>
      <c r="FI61" s="311"/>
      <c r="FK61" s="260"/>
      <c r="FL61" s="279"/>
      <c r="FN61" s="260"/>
      <c r="FO61" s="262"/>
      <c r="FQ61" s="259"/>
      <c r="FR61" s="259"/>
      <c r="FS61" s="260"/>
      <c r="FT61" s="262"/>
    </row>
    <row r="62" spans="2:176" ht="12" customHeight="1">
      <c r="C62" s="259"/>
      <c r="F62" s="259"/>
      <c r="H62" s="260"/>
      <c r="J62" s="260"/>
      <c r="K62" s="262"/>
      <c r="N62" s="259"/>
      <c r="P62" s="260"/>
      <c r="Q62" s="262"/>
      <c r="S62" s="260"/>
      <c r="U62" s="260"/>
      <c r="V62" s="262"/>
      <c r="AI62" s="274" t="s">
        <v>451</v>
      </c>
      <c r="AJ62" s="287" t="e">
        <f>'[3]Storm Sewer -10yr'!#REF!</f>
        <v>#REF!</v>
      </c>
      <c r="AK62" s="457" t="s">
        <v>452</v>
      </c>
      <c r="AL62" s="457"/>
      <c r="AM62" s="288">
        <v>3.52</v>
      </c>
      <c r="AO62" s="260" t="s">
        <v>453</v>
      </c>
      <c r="AP62" s="259">
        <v>0</v>
      </c>
      <c r="AQ62" s="260" t="s">
        <v>454</v>
      </c>
      <c r="AR62" s="289" t="e">
        <f>MAX(AR58:AR59)+AR61</f>
        <v>#REF!</v>
      </c>
      <c r="AS62" s="262"/>
      <c r="AT62" s="259"/>
      <c r="AV62" s="259"/>
      <c r="AY62" s="262"/>
      <c r="BA62" s="260"/>
      <c r="BC62" s="260"/>
      <c r="BD62" s="262"/>
      <c r="BE62" s="274" t="s">
        <v>451</v>
      </c>
      <c r="BF62" s="287" t="e">
        <f>'[3]Storm Sewer -10yr'!#REF!</f>
        <v>#REF!</v>
      </c>
      <c r="BH62" s="260" t="s">
        <v>452</v>
      </c>
      <c r="BI62" s="288">
        <v>3.29</v>
      </c>
      <c r="BK62" s="260" t="s">
        <v>453</v>
      </c>
      <c r="BL62" s="256">
        <v>0</v>
      </c>
      <c r="BM62" s="260" t="s">
        <v>454</v>
      </c>
      <c r="BN62" s="289" t="e">
        <f>MAX(BN58:BN59)+BN61</f>
        <v>#REF!</v>
      </c>
      <c r="BO62" s="262"/>
      <c r="BP62" s="283" t="s">
        <v>446</v>
      </c>
      <c r="BQ62" s="284">
        <v>11.75</v>
      </c>
      <c r="BR62" s="457" t="s">
        <v>447</v>
      </c>
      <c r="BS62" s="457"/>
      <c r="BT62" s="282">
        <v>7.48</v>
      </c>
      <c r="BV62" s="259" t="s">
        <v>448</v>
      </c>
      <c r="BW62" s="286"/>
      <c r="BX62" s="260" t="s">
        <v>449</v>
      </c>
      <c r="BY62" s="277" t="e">
        <f>BT60*BV60</f>
        <v>#REF!</v>
      </c>
      <c r="BZ62" s="262"/>
      <c r="CK62" s="262"/>
      <c r="CL62" s="274" t="s">
        <v>451</v>
      </c>
      <c r="CM62" s="287">
        <f>'[3]Storm Sewer -10yr'!N13</f>
        <v>18</v>
      </c>
      <c r="CN62" s="457" t="s">
        <v>452</v>
      </c>
      <c r="CO62" s="457"/>
      <c r="CP62" s="288">
        <v>6.47</v>
      </c>
      <c r="CR62" s="260" t="s">
        <v>453</v>
      </c>
      <c r="CS62" s="259">
        <v>0</v>
      </c>
      <c r="CT62" s="260" t="s">
        <v>454</v>
      </c>
      <c r="CU62" s="289">
        <f>MAX(CU58:CU59)+CU61</f>
        <v>14.71805892037373</v>
      </c>
      <c r="CV62" s="262"/>
      <c r="CW62" s="274" t="s">
        <v>451</v>
      </c>
      <c r="CX62" s="287">
        <f>'[3]Storm Sewer -10yr'!N22</f>
        <v>15</v>
      </c>
      <c r="CY62" s="457" t="s">
        <v>452</v>
      </c>
      <c r="CZ62" s="457"/>
      <c r="DA62" s="288">
        <v>6.27</v>
      </c>
      <c r="DC62" s="260" t="s">
        <v>453</v>
      </c>
      <c r="DD62" s="259">
        <v>0</v>
      </c>
      <c r="DE62" s="260" t="s">
        <v>454</v>
      </c>
      <c r="DF62" s="289">
        <f>MAX(DF58:DF59)+DF61</f>
        <v>10.392104257089406</v>
      </c>
      <c r="DG62" s="262"/>
      <c r="DH62" s="283" t="s">
        <v>446</v>
      </c>
      <c r="DI62" s="281">
        <v>11.9</v>
      </c>
      <c r="DK62" s="260" t="s">
        <v>447</v>
      </c>
      <c r="DL62" s="282">
        <v>7.53</v>
      </c>
      <c r="DN62" s="259" t="s">
        <v>448</v>
      </c>
      <c r="DO62" s="259"/>
      <c r="DP62" s="260" t="s">
        <v>449</v>
      </c>
      <c r="DQ62" s="277" t="e">
        <f>DL60*DN60</f>
        <v>#DIV/0!</v>
      </c>
      <c r="DR62" s="262"/>
      <c r="DS62" s="274" t="s">
        <v>451</v>
      </c>
      <c r="DT62" s="287">
        <f>'[3]Storm Sewer -10yr'!N41</f>
        <v>0</v>
      </c>
      <c r="DV62" s="260" t="s">
        <v>452</v>
      </c>
      <c r="DW62" s="288">
        <v>14.5</v>
      </c>
      <c r="DY62" s="260" t="s">
        <v>453</v>
      </c>
      <c r="DZ62" s="259">
        <v>0</v>
      </c>
      <c r="EA62" s="260" t="s">
        <v>454</v>
      </c>
      <c r="EB62" s="289" t="e">
        <f>MAX(EB58:EB59)+EB61</f>
        <v>#DIV/0!</v>
      </c>
      <c r="EC62" s="262"/>
      <c r="ED62" s="274" t="s">
        <v>451</v>
      </c>
      <c r="EE62" s="287">
        <f>'[3]Storm Sewer -10yr'!N15</f>
        <v>18</v>
      </c>
      <c r="EG62" s="260" t="s">
        <v>452</v>
      </c>
      <c r="EH62" s="288">
        <v>82.6</v>
      </c>
      <c r="EJ62" s="260" t="s">
        <v>453</v>
      </c>
      <c r="EK62" s="259">
        <v>0</v>
      </c>
      <c r="EL62" s="260" t="s">
        <v>454</v>
      </c>
      <c r="EM62" s="289">
        <f>MAX(EM58:EM59)+EM61</f>
        <v>88.246889042448217</v>
      </c>
      <c r="EN62" s="262"/>
      <c r="EO62" s="260"/>
      <c r="EP62" s="279"/>
      <c r="ER62" s="260"/>
      <c r="ES62" s="259"/>
      <c r="EU62" s="259"/>
      <c r="EV62" s="259"/>
      <c r="EW62" s="260"/>
      <c r="EX62" s="262"/>
      <c r="EZ62" s="307"/>
      <c r="FA62" s="320"/>
      <c r="FB62" s="311"/>
      <c r="FC62" s="307"/>
      <c r="FD62" s="310"/>
      <c r="FE62" s="311"/>
      <c r="FF62" s="310"/>
      <c r="FG62" s="310"/>
      <c r="FH62" s="307"/>
      <c r="FI62" s="312"/>
      <c r="FK62" s="260"/>
      <c r="FL62" s="259"/>
      <c r="FN62" s="260"/>
      <c r="FO62" s="262"/>
      <c r="FQ62" s="260"/>
      <c r="FR62" s="259"/>
      <c r="FS62" s="260"/>
      <c r="FT62" s="262"/>
    </row>
    <row r="63" spans="2:176" ht="12" customHeight="1">
      <c r="G63" s="260"/>
      <c r="H63" s="290"/>
      <c r="J63" s="260"/>
      <c r="K63" s="259"/>
      <c r="R63" s="260"/>
      <c r="S63" s="290"/>
      <c r="U63" s="260"/>
      <c r="V63" s="262"/>
      <c r="AI63" s="274"/>
      <c r="AN63" s="260" t="s">
        <v>455</v>
      </c>
      <c r="AO63" s="291" t="e">
        <f>0.33*(AL64^2/(2*32.2))</f>
        <v>#REF!</v>
      </c>
      <c r="AQ63" s="260" t="s">
        <v>456</v>
      </c>
      <c r="AR63" s="277" t="e">
        <f>AM61+('[3]Storm Sewer -10yr'!#REF!/12)</f>
        <v>#REF!</v>
      </c>
      <c r="AS63" s="262"/>
      <c r="AZ63" s="260"/>
      <c r="BA63" s="290"/>
      <c r="BC63" s="260"/>
      <c r="BD63" s="262"/>
      <c r="BE63" s="274"/>
      <c r="BJ63" s="260" t="s">
        <v>455</v>
      </c>
      <c r="BK63" s="291" t="e">
        <f>0.33*(BH64^2/(2*32.2))</f>
        <v>#REF!</v>
      </c>
      <c r="BM63" s="260" t="s">
        <v>456</v>
      </c>
      <c r="BN63" s="277" t="e">
        <f>BI61+('[3]Storm Sewer -10yr'!#REF!/12)</f>
        <v>#REF!</v>
      </c>
      <c r="BO63" s="262"/>
      <c r="BP63" s="274" t="s">
        <v>451</v>
      </c>
      <c r="BQ63" s="287" t="e">
        <f>'[3]Storm Sewer -10yr'!#REF!</f>
        <v>#REF!</v>
      </c>
      <c r="BR63" s="457" t="s">
        <v>452</v>
      </c>
      <c r="BS63" s="457"/>
      <c r="BT63" s="287">
        <v>7.26</v>
      </c>
      <c r="BV63" s="260" t="s">
        <v>453</v>
      </c>
      <c r="BW63" s="256">
        <v>0</v>
      </c>
      <c r="BX63" s="260" t="s">
        <v>454</v>
      </c>
      <c r="BY63" s="289" t="e">
        <f>MAX(BY59:BY60)+BY62</f>
        <v>#REF!</v>
      </c>
      <c r="BZ63" s="262"/>
      <c r="CK63" s="262"/>
      <c r="CL63" s="274"/>
      <c r="CQ63" s="260" t="s">
        <v>455</v>
      </c>
      <c r="CR63" s="291">
        <f>0.33*(CO64^2/(2*32.2))</f>
        <v>1.7653275248781239</v>
      </c>
      <c r="CT63" s="260" t="s">
        <v>456</v>
      </c>
      <c r="CU63" s="277">
        <f>CP61+('[3]Storm Sewer -10yr'!$W13/12)</f>
        <v>6.5349999999999993</v>
      </c>
      <c r="CV63" s="262"/>
      <c r="CW63" s="274"/>
      <c r="DB63" s="260" t="s">
        <v>455</v>
      </c>
      <c r="DC63" s="291">
        <f>0.33*(CZ64^2/(2*32.2))</f>
        <v>0.21723865894351255</v>
      </c>
      <c r="DE63" s="260" t="s">
        <v>456</v>
      </c>
      <c r="DF63" s="277">
        <f>DA61+('[3]Storm Sewer -10yr'!$W22/12)</f>
        <v>6.3125</v>
      </c>
      <c r="DG63" s="262"/>
      <c r="DH63" s="274" t="s">
        <v>451</v>
      </c>
      <c r="DI63" s="287">
        <f>'[3]Storm Sewer -10yr'!N43</f>
        <v>0</v>
      </c>
      <c r="DK63" s="260" t="s">
        <v>452</v>
      </c>
      <c r="DL63" s="288">
        <v>6.65</v>
      </c>
      <c r="DN63" s="260" t="s">
        <v>453</v>
      </c>
      <c r="DO63" s="259">
        <v>0</v>
      </c>
      <c r="DP63" s="260" t="s">
        <v>454</v>
      </c>
      <c r="DQ63" s="289" t="e">
        <f>MAX(DQ59:DQ60)+DQ62</f>
        <v>#DIV/0!</v>
      </c>
      <c r="DR63" s="262"/>
      <c r="DS63" s="274"/>
      <c r="DX63" s="260" t="s">
        <v>455</v>
      </c>
      <c r="DY63" s="291">
        <f>0.33*(DV64^2/(2*32.2))</f>
        <v>0</v>
      </c>
      <c r="EA63" s="260" t="s">
        <v>456</v>
      </c>
      <c r="EB63" s="277">
        <f>DW61+('[3]Storm Sewer -10yr'!$W41/12)</f>
        <v>15</v>
      </c>
      <c r="EC63" s="262"/>
      <c r="ED63" s="274"/>
      <c r="EI63" s="260" t="s">
        <v>455</v>
      </c>
      <c r="EJ63" s="291">
        <f>0.33*(EG64^2/(2*32.2))</f>
        <v>2.90962187946579</v>
      </c>
      <c r="EL63" s="260" t="s">
        <v>456</v>
      </c>
      <c r="EM63" s="277">
        <f>EH61+('[3]Storm Sewer -10yr'!$W15/12)</f>
        <v>99.734999999999999</v>
      </c>
      <c r="EN63" s="262"/>
      <c r="EP63" s="259"/>
      <c r="ER63" s="260"/>
      <c r="ES63" s="262"/>
      <c r="EU63" s="260"/>
      <c r="EW63" s="260"/>
      <c r="EX63" s="262"/>
      <c r="EZ63" s="311"/>
      <c r="FA63" s="310"/>
      <c r="FB63" s="311"/>
      <c r="FC63" s="307"/>
      <c r="FD63" s="312"/>
      <c r="FE63" s="311"/>
      <c r="FF63" s="307"/>
      <c r="FG63" s="310"/>
      <c r="FH63" s="307"/>
      <c r="FI63" s="312"/>
      <c r="FP63" s="260"/>
      <c r="FQ63" s="290"/>
      <c r="FS63" s="260"/>
      <c r="FT63" s="262"/>
    </row>
    <row r="64" spans="2:176" ht="12" customHeight="1">
      <c r="B64" s="260"/>
      <c r="C64" s="262"/>
      <c r="D64" s="260"/>
      <c r="E64" s="262"/>
      <c r="G64" s="260"/>
      <c r="H64" s="290"/>
      <c r="M64" s="260"/>
      <c r="N64" s="262"/>
      <c r="O64" s="260"/>
      <c r="P64" s="262"/>
      <c r="R64" s="260"/>
      <c r="S64" s="290"/>
      <c r="AI64" s="283" t="s">
        <v>457</v>
      </c>
      <c r="AJ64" s="285" t="e">
        <f>'[3]Storm Sewer -10yr'!#REF!</f>
        <v>#REF!</v>
      </c>
      <c r="AK64" s="260" t="s">
        <v>458</v>
      </c>
      <c r="AL64" s="285" t="e">
        <f>'[3]Storm Sewer -10yr'!#REF!</f>
        <v>#REF!</v>
      </c>
      <c r="AN64" s="260" t="s">
        <v>459</v>
      </c>
      <c r="AO64" s="292" t="e">
        <f>(AL64^2/(2*32.2))-(AL65^2/(2*32.2))</f>
        <v>#REF!</v>
      </c>
      <c r="AR64" s="293"/>
      <c r="AT64" s="262"/>
      <c r="AU64" s="260"/>
      <c r="AV64" s="262"/>
      <c r="AW64" s="260"/>
      <c r="AX64" s="262"/>
      <c r="AZ64" s="260"/>
      <c r="BA64" s="290"/>
      <c r="BE64" s="283" t="s">
        <v>457</v>
      </c>
      <c r="BF64" s="285" t="e">
        <f>'[3]Storm Sewer -10yr'!#REF!</f>
        <v>#REF!</v>
      </c>
      <c r="BG64" s="260" t="s">
        <v>458</v>
      </c>
      <c r="BH64" s="285" t="e">
        <f>'[3]Storm Sewer -10yr'!#REF!</f>
        <v>#REF!</v>
      </c>
      <c r="BJ64" s="260" t="s">
        <v>459</v>
      </c>
      <c r="BK64" s="292" t="e">
        <f>(BH64^2/(2*32.2))-(BH65^2/(2*32.2))</f>
        <v>#REF!</v>
      </c>
      <c r="BN64" s="293"/>
      <c r="BP64" s="274"/>
      <c r="BU64" s="260" t="s">
        <v>455</v>
      </c>
      <c r="BV64" s="291" t="e">
        <f>0.33*(BS65^2/(2*32.2))</f>
        <v>#REF!</v>
      </c>
      <c r="BX64" s="260" t="s">
        <v>456</v>
      </c>
      <c r="BY64" s="277" t="e">
        <f>BT62+('[3]Storm Sewer -10yr'!#REF!/12)</f>
        <v>#REF!</v>
      </c>
      <c r="CL64" s="283" t="s">
        <v>457</v>
      </c>
      <c r="CM64" s="285">
        <f>'[3]Storm Sewer -10yr'!M13</f>
        <v>0.60479999999999989</v>
      </c>
      <c r="CN64" s="260" t="s">
        <v>458</v>
      </c>
      <c r="CO64" s="285">
        <f>'[3]Storm Sewer -10yr'!T13</f>
        <v>18.560882016182312</v>
      </c>
      <c r="CQ64" s="260" t="s">
        <v>459</v>
      </c>
      <c r="CR64" s="292">
        <f>(CO64^2/(2*32.2))-(CO65^2/(2*32.2))</f>
        <v>0</v>
      </c>
      <c r="CU64" s="293"/>
      <c r="CW64" s="283" t="s">
        <v>457</v>
      </c>
      <c r="CX64" s="285">
        <f>'[3]Storm Sewer -10yr'!M22</f>
        <v>4.41</v>
      </c>
      <c r="CY64" s="260" t="s">
        <v>458</v>
      </c>
      <c r="CZ64" s="285">
        <f>'[3]Storm Sewer -10yr'!T22</f>
        <v>6.5111023215972983</v>
      </c>
      <c r="DB64" s="260" t="s">
        <v>459</v>
      </c>
      <c r="DC64" s="292">
        <f>(CZ64^2/(2*32.2))-(CZ65^2/(2*32.2))</f>
        <v>0</v>
      </c>
      <c r="DF64" s="293"/>
      <c r="DH64" s="274"/>
      <c r="DM64" s="260" t="s">
        <v>455</v>
      </c>
      <c r="DN64" s="291">
        <f>0.33*(DK65^2/(2*32.2))</f>
        <v>0</v>
      </c>
      <c r="DP64" s="260" t="s">
        <v>456</v>
      </c>
      <c r="DQ64" s="277">
        <f>DL62+('[3]Storm Sewer -10yr'!$W43/12)</f>
        <v>7.53</v>
      </c>
      <c r="DS64" s="283" t="s">
        <v>457</v>
      </c>
      <c r="DT64" s="285">
        <f>'[3]Storm Sewer -10yr'!M41</f>
        <v>0</v>
      </c>
      <c r="DU64" s="260" t="s">
        <v>458</v>
      </c>
      <c r="DV64" s="285">
        <f>'[3]Storm Sewer -10yr'!T41</f>
        <v>0</v>
      </c>
      <c r="DX64" s="260" t="s">
        <v>459</v>
      </c>
      <c r="DY64" s="292">
        <f>(DV64^2/(2*32.2))-(DV65^2/(2*32.2))</f>
        <v>0</v>
      </c>
      <c r="EB64" s="293"/>
      <c r="ED64" s="283" t="s">
        <v>457</v>
      </c>
      <c r="EE64" s="285">
        <f>'[3]Storm Sewer -10yr'!J15*8</f>
        <v>1.0431999999999999</v>
      </c>
      <c r="EF64" s="260" t="s">
        <v>458</v>
      </c>
      <c r="EG64" s="285">
        <f>'[3]Storm Sewer -10yr'!T15</f>
        <v>23.82891349381562</v>
      </c>
      <c r="EI64" s="260" t="s">
        <v>459</v>
      </c>
      <c r="EJ64" s="292">
        <f>(EG64^2/(2*32.2))-(EG65^2/(2*32.2))</f>
        <v>8.5803925790527362</v>
      </c>
      <c r="EM64" s="293"/>
      <c r="ET64" s="260"/>
      <c r="EU64" s="290"/>
      <c r="EW64" s="260"/>
      <c r="EX64" s="262"/>
      <c r="EY64" s="259"/>
      <c r="EZ64" s="311"/>
      <c r="FA64" s="311"/>
      <c r="FB64" s="311"/>
      <c r="FC64" s="311"/>
      <c r="FD64" s="311"/>
      <c r="FE64" s="307"/>
      <c r="FF64" s="315"/>
      <c r="FG64" s="311"/>
      <c r="FH64" s="307"/>
      <c r="FI64" s="312"/>
      <c r="FK64" s="260"/>
      <c r="FL64" s="262"/>
      <c r="FM64" s="260"/>
      <c r="FN64" s="262"/>
      <c r="FP64" s="260"/>
      <c r="FQ64" s="290"/>
    </row>
    <row r="65" spans="2:176" ht="12" customHeight="1">
      <c r="B65" s="260"/>
      <c r="C65" s="262"/>
      <c r="D65" s="260"/>
      <c r="E65" s="262"/>
      <c r="G65" s="260"/>
      <c r="H65" s="290"/>
      <c r="J65" s="294"/>
      <c r="K65" s="262"/>
      <c r="M65" s="260"/>
      <c r="N65" s="262"/>
      <c r="O65" s="260"/>
      <c r="P65" s="262"/>
      <c r="R65" s="260"/>
      <c r="S65" s="290"/>
      <c r="U65" s="294"/>
      <c r="V65" s="262"/>
      <c r="AI65" s="283" t="s">
        <v>460</v>
      </c>
      <c r="AJ65" s="288" t="e">
        <f>'[3]Storm Sewer -10yr'!#REF!</f>
        <v>#REF!</v>
      </c>
      <c r="AK65" s="260" t="s">
        <v>461</v>
      </c>
      <c r="AL65" s="285" t="e">
        <f>'[3]Storm Sewer -10yr'!#REF!</f>
        <v>#REF!</v>
      </c>
      <c r="AN65" s="260" t="s">
        <v>462</v>
      </c>
      <c r="AO65" s="291">
        <f>IF(AP62=0, 0, IF(AP62&gt;45,0.22*(AL64^2/(2*32.2))*2,IF(AP62=45,0.22*(AL64^2/(2*32.2)),0.22*(AL64^2/(2*32.2))*(2/3))))</f>
        <v>0</v>
      </c>
      <c r="AQ65" s="294" t="s">
        <v>463</v>
      </c>
      <c r="AR65" s="277" t="e">
        <f>MAX(AR62:AR63)</f>
        <v>#REF!</v>
      </c>
      <c r="AS65" s="262"/>
      <c r="AT65" s="262"/>
      <c r="AU65" s="260"/>
      <c r="AV65" s="262"/>
      <c r="AW65" s="260"/>
      <c r="AX65" s="262"/>
      <c r="AZ65" s="260"/>
      <c r="BA65" s="290"/>
      <c r="BC65" s="294"/>
      <c r="BD65" s="262"/>
      <c r="BE65" s="283" t="s">
        <v>460</v>
      </c>
      <c r="BF65" s="285" t="e">
        <f>'[3]Storm Sewer -10yr'!#REF!</f>
        <v>#REF!</v>
      </c>
      <c r="BG65" s="260" t="s">
        <v>461</v>
      </c>
      <c r="BH65" s="285" t="e">
        <f>'[3]Storm Sewer -10yr'!#REF!</f>
        <v>#REF!</v>
      </c>
      <c r="BJ65" s="260" t="s">
        <v>462</v>
      </c>
      <c r="BK65" s="291">
        <f>IF(BL62=0, 0, IF(BL62&gt;45,0.22*(BH64^2/(2*32.2))*2,IF(BL62=45,0.22*(BH64^2/(2*32.2)),0.22*(BH64^2/(2*32.2))*(2/3))))</f>
        <v>0</v>
      </c>
      <c r="BM65" s="294" t="s">
        <v>463</v>
      </c>
      <c r="BN65" s="277" t="e">
        <f>MAX(BN62:BN63)</f>
        <v>#REF!</v>
      </c>
      <c r="BO65" s="262"/>
      <c r="BP65" s="283" t="s">
        <v>457</v>
      </c>
      <c r="BQ65" s="285" t="e">
        <f>'[3]Storm Sewer -10yr'!#REF!</f>
        <v>#REF!</v>
      </c>
      <c r="BR65" s="260" t="s">
        <v>458</v>
      </c>
      <c r="BS65" s="285" t="e">
        <f>'[3]Storm Sewer -10yr'!#REF!</f>
        <v>#REF!</v>
      </c>
      <c r="BU65" s="260" t="s">
        <v>459</v>
      </c>
      <c r="BV65" s="292" t="e">
        <f>(BS65^2/(2*32.2))-(BS66^2/(2*32.2))</f>
        <v>#REF!</v>
      </c>
      <c r="BY65" s="293"/>
      <c r="BZ65" s="262"/>
      <c r="CK65" s="262"/>
      <c r="CL65" s="283" t="s">
        <v>460</v>
      </c>
      <c r="CM65" s="288">
        <f>'[3]Storm Sewer -10yr'!M13</f>
        <v>0.60479999999999989</v>
      </c>
      <c r="CN65" s="260" t="s">
        <v>461</v>
      </c>
      <c r="CO65" s="285">
        <f>'[3]Storm Sewer -10yr'!T13</f>
        <v>18.560882016182312</v>
      </c>
      <c r="CQ65" s="260" t="s">
        <v>462</v>
      </c>
      <c r="CR65" s="291">
        <f>IF(CS62=0, 0, IF(CS62&gt;45,0.22*(CO64^2/(2*32.2))*2,IF(CS62=45,0.22*(CO64^2/(2*32.2)),0.22*(CO64^2/(2*32.2))*(2/3))))</f>
        <v>0</v>
      </c>
      <c r="CT65" s="294" t="s">
        <v>463</v>
      </c>
      <c r="CU65" s="277">
        <f>MAX(CU62:CU63)</f>
        <v>14.71805892037373</v>
      </c>
      <c r="CV65" s="262"/>
      <c r="CW65" s="283" t="s">
        <v>460</v>
      </c>
      <c r="CX65" s="288">
        <f>'[3]Storm Sewer -10yr'!M22</f>
        <v>4.41</v>
      </c>
      <c r="CY65" s="260" t="s">
        <v>461</v>
      </c>
      <c r="CZ65" s="285">
        <f>'[3]Storm Sewer -10yr'!T22</f>
        <v>6.5111023215972983</v>
      </c>
      <c r="DB65" s="260" t="s">
        <v>462</v>
      </c>
      <c r="DC65" s="291">
        <f>IF(DD62=0, 0, IF(DD62&gt;45,0.22*(CZ64^2/(2*32.2))*2,IF(DD62=45,0.22*(CZ64^2/(2*32.2)),0.22*(CZ64^2/(2*32.2))*(2/3))))</f>
        <v>0</v>
      </c>
      <c r="DE65" s="294" t="s">
        <v>463</v>
      </c>
      <c r="DF65" s="277">
        <f>MAX(DF62:DF63)</f>
        <v>10.392104257089406</v>
      </c>
      <c r="DG65" s="262"/>
      <c r="DH65" s="283" t="s">
        <v>457</v>
      </c>
      <c r="DI65" s="285">
        <f>'[3]Storm Sewer -10yr'!M43</f>
        <v>0</v>
      </c>
      <c r="DJ65" s="260" t="s">
        <v>458</v>
      </c>
      <c r="DK65" s="285">
        <f>'[3]Storm Sewer -10yr'!T43</f>
        <v>0</v>
      </c>
      <c r="DM65" s="260" t="s">
        <v>459</v>
      </c>
      <c r="DN65" s="292">
        <f>(DK65^2/(2*32.2))-(DK66^2/(2*32.2))</f>
        <v>0</v>
      </c>
      <c r="DQ65" s="293"/>
      <c r="DR65" s="262"/>
      <c r="DS65" s="283" t="s">
        <v>460</v>
      </c>
      <c r="DT65" s="285">
        <f>'[3]Storm Sewer -10yr'!M41</f>
        <v>0</v>
      </c>
      <c r="DU65" s="260" t="s">
        <v>461</v>
      </c>
      <c r="DV65" s="285">
        <f>'[3]Storm Sewer -10yr'!T41</f>
        <v>0</v>
      </c>
      <c r="DX65" s="260" t="s">
        <v>462</v>
      </c>
      <c r="DY65" s="291">
        <f>IF(DZ62=0, 0, IF(DZ62&gt;45,0.22*(DV64^2/(2*32.2))*2,IF(DZ62=45,0.22*(DV64^2/(2*32.2)),0.22*(DV64^2/(2*32.2))*(2/3))))</f>
        <v>0</v>
      </c>
      <c r="EA65" s="294" t="s">
        <v>463</v>
      </c>
      <c r="EB65" s="277" t="e">
        <f>MAX(EB62:EB63)</f>
        <v>#DIV/0!</v>
      </c>
      <c r="EC65" s="262"/>
      <c r="ED65" s="283" t="s">
        <v>460</v>
      </c>
      <c r="EE65" s="285">
        <f>'[3]Storm Sewer -10yr'!J20*8</f>
        <v>0.35200000000000004</v>
      </c>
      <c r="EF65" s="260" t="s">
        <v>461</v>
      </c>
      <c r="EG65" s="285">
        <f>'[3]Storm Sewer -10yr'!T20</f>
        <v>3.9038232804203443</v>
      </c>
      <c r="EI65" s="260" t="s">
        <v>462</v>
      </c>
      <c r="EJ65" s="291">
        <f>IF(EK62=0, 0, IF(EK62&gt;45,0.22*(EG64^2/(2*32.2))*2,IF(EK62=45,0.22*(EG64^2/(2*32.2)),0.22*(EG64^2/(2*32.2))*(2/3))))</f>
        <v>0</v>
      </c>
      <c r="EL65" s="294" t="s">
        <v>463</v>
      </c>
      <c r="EM65" s="277">
        <f>MAX(EM62:EM63)</f>
        <v>99.734999999999999</v>
      </c>
      <c r="EN65" s="262"/>
      <c r="EO65" s="260"/>
      <c r="EP65" s="262"/>
      <c r="EQ65" s="260"/>
      <c r="ER65" s="262"/>
      <c r="ET65" s="260"/>
      <c r="EU65" s="290"/>
      <c r="EZ65" s="307"/>
      <c r="FA65" s="312"/>
      <c r="FB65" s="307"/>
      <c r="FC65" s="312"/>
      <c r="FD65" s="311"/>
      <c r="FE65" s="307"/>
      <c r="FF65" s="315"/>
      <c r="FG65" s="311"/>
      <c r="FH65" s="311"/>
      <c r="FI65" s="311"/>
      <c r="FK65" s="260"/>
      <c r="FL65" s="262"/>
      <c r="FM65" s="260"/>
      <c r="FN65" s="262"/>
      <c r="FP65" s="260"/>
      <c r="FQ65" s="290"/>
      <c r="FS65" s="294"/>
      <c r="FT65" s="262"/>
    </row>
    <row r="66" spans="2:176" ht="12" customHeight="1">
      <c r="B66" s="260"/>
      <c r="C66" s="262"/>
      <c r="D66" s="260"/>
      <c r="E66" s="262"/>
      <c r="G66" s="260"/>
      <c r="H66" s="290"/>
      <c r="J66" s="260"/>
      <c r="K66" s="262"/>
      <c r="M66" s="260"/>
      <c r="N66" s="262"/>
      <c r="O66" s="260"/>
      <c r="P66" s="262"/>
      <c r="R66" s="260"/>
      <c r="S66" s="290"/>
      <c r="U66" s="260"/>
      <c r="V66" s="262"/>
      <c r="AI66" s="283" t="s">
        <v>464</v>
      </c>
      <c r="AJ66" s="288"/>
      <c r="AK66" s="260" t="s">
        <v>465</v>
      </c>
      <c r="AL66" s="285"/>
      <c r="AN66" s="260" t="s">
        <v>466</v>
      </c>
      <c r="AO66" s="292" t="e">
        <f>AL65^2/(2*32.2)*(1-(AJ65/(AJ65+AJ66)))</f>
        <v>#REF!</v>
      </c>
      <c r="AQ66" s="260" t="s">
        <v>467</v>
      </c>
      <c r="AR66" s="277">
        <v>0</v>
      </c>
      <c r="AS66" s="262"/>
      <c r="AT66" s="262"/>
      <c r="AU66" s="260"/>
      <c r="AV66" s="262"/>
      <c r="AW66" s="260"/>
      <c r="AX66" s="262"/>
      <c r="AZ66" s="260"/>
      <c r="BA66" s="290"/>
      <c r="BC66" s="260"/>
      <c r="BD66" s="262"/>
      <c r="BE66" s="283" t="s">
        <v>464</v>
      </c>
      <c r="BF66" s="288"/>
      <c r="BG66" s="260" t="s">
        <v>465</v>
      </c>
      <c r="BH66" s="285"/>
      <c r="BJ66" s="260" t="s">
        <v>466</v>
      </c>
      <c r="BK66" s="292" t="e">
        <f>BH65^2/(2*32.2)*(1-(BF65/(BF65+BF66)))</f>
        <v>#REF!</v>
      </c>
      <c r="BM66" s="260" t="s">
        <v>467</v>
      </c>
      <c r="BN66" s="277">
        <v>0</v>
      </c>
      <c r="BO66" s="262"/>
      <c r="BP66" s="283" t="s">
        <v>460</v>
      </c>
      <c r="BQ66" s="288" t="e">
        <f>'[3]Storm Sewer -10yr'!#REF!</f>
        <v>#REF!</v>
      </c>
      <c r="BR66" s="260" t="s">
        <v>461</v>
      </c>
      <c r="BS66" s="285" t="e">
        <f>'[3]Storm Sewer -10yr'!#REF!</f>
        <v>#REF!</v>
      </c>
      <c r="BU66" s="260" t="s">
        <v>462</v>
      </c>
      <c r="BV66" s="291">
        <f>IF(BW63=0, 0, IF(BW63&gt;45,0.22*(BS65^2/(2*32.2))*2,IF(BW63=45,0.22*(BS65^2/(2*32.2)),0.22*(BS65^2/(2*32.2))*(2/3))))</f>
        <v>0</v>
      </c>
      <c r="BX66" s="294" t="s">
        <v>463</v>
      </c>
      <c r="BY66" s="277" t="e">
        <f>MAX(BY63:BY64)</f>
        <v>#REF!</v>
      </c>
      <c r="BZ66" s="262"/>
      <c r="CK66" s="262"/>
      <c r="CL66" s="283" t="s">
        <v>464</v>
      </c>
      <c r="CM66" s="288"/>
      <c r="CN66" s="260" t="s">
        <v>465</v>
      </c>
      <c r="CO66" s="285"/>
      <c r="CQ66" s="260" t="s">
        <v>466</v>
      </c>
      <c r="CR66" s="292">
        <f>CO65^2/(2*32.2)*(1-(CM65/(CM65+CM66)))</f>
        <v>0</v>
      </c>
      <c r="CT66" s="260" t="s">
        <v>467</v>
      </c>
      <c r="CU66" s="277">
        <v>0</v>
      </c>
      <c r="CV66" s="262"/>
      <c r="CW66" s="283" t="s">
        <v>464</v>
      </c>
      <c r="CX66" s="288"/>
      <c r="CY66" s="260" t="s">
        <v>465</v>
      </c>
      <c r="CZ66" s="285"/>
      <c r="DB66" s="260" t="s">
        <v>466</v>
      </c>
      <c r="DC66" s="292">
        <f>CZ65^2/(2*32.2)*(1-(CX65/(CX65+CX66)))</f>
        <v>0</v>
      </c>
      <c r="DE66" s="260" t="s">
        <v>467</v>
      </c>
      <c r="DF66" s="277">
        <v>0</v>
      </c>
      <c r="DG66" s="262"/>
      <c r="DH66" s="283" t="s">
        <v>460</v>
      </c>
      <c r="DI66" s="285">
        <f>'[3]Storm Sewer -10yr'!M43</f>
        <v>0</v>
      </c>
      <c r="DJ66" s="260" t="s">
        <v>461</v>
      </c>
      <c r="DK66" s="285">
        <f>'[3]Storm Sewer -10yr'!T43</f>
        <v>0</v>
      </c>
      <c r="DM66" s="260" t="s">
        <v>462</v>
      </c>
      <c r="DN66" s="291">
        <f>IF(DO63=0, 0, IF(DO63&gt;45,0.22*(DK65^2/(2*32.2))*2,IF(DO63=45,0.22*(DK65^2/(2*32.2)),0.22*(DK65^2/(2*32.2))*(2/3))))</f>
        <v>0</v>
      </c>
      <c r="DP66" s="294" t="s">
        <v>463</v>
      </c>
      <c r="DQ66" s="277" t="e">
        <f>MAX(DQ63:DQ64)</f>
        <v>#DIV/0!</v>
      </c>
      <c r="DR66" s="262"/>
      <c r="DS66" s="283" t="s">
        <v>464</v>
      </c>
      <c r="DT66" s="288"/>
      <c r="DU66" s="260" t="s">
        <v>465</v>
      </c>
      <c r="DV66" s="285"/>
      <c r="DX66" s="260" t="s">
        <v>466</v>
      </c>
      <c r="DY66" s="292" t="e">
        <f>DV65^2/(2*32.2)*(1-(DT65/(DT65+DT66)))</f>
        <v>#DIV/0!</v>
      </c>
      <c r="EA66" s="260" t="s">
        <v>467</v>
      </c>
      <c r="EB66" s="277">
        <v>0</v>
      </c>
      <c r="EC66" s="262"/>
      <c r="ED66" s="283" t="s">
        <v>464</v>
      </c>
      <c r="EE66" s="288"/>
      <c r="EF66" s="260" t="s">
        <v>465</v>
      </c>
      <c r="EG66" s="285"/>
      <c r="EI66" s="260" t="s">
        <v>466</v>
      </c>
      <c r="EJ66" s="292">
        <f>EG65^2/(2*32.2)*(1-(EE65/(EE65+EE66)))</f>
        <v>0</v>
      </c>
      <c r="EL66" s="260" t="s">
        <v>467</v>
      </c>
      <c r="EM66" s="277">
        <f>EJ67</f>
        <v>11.490014458518527</v>
      </c>
      <c r="EN66" s="262"/>
      <c r="EO66" s="260"/>
      <c r="EP66" s="262"/>
      <c r="EQ66" s="260"/>
      <c r="ER66" s="262"/>
      <c r="ET66" s="260"/>
      <c r="EU66" s="290"/>
      <c r="EW66" s="294"/>
      <c r="EX66" s="262"/>
      <c r="EZ66" s="307"/>
      <c r="FA66" s="312"/>
      <c r="FB66" s="307"/>
      <c r="FC66" s="312"/>
      <c r="FD66" s="311"/>
      <c r="FE66" s="307"/>
      <c r="FF66" s="315"/>
      <c r="FG66" s="311"/>
      <c r="FH66" s="317"/>
      <c r="FI66" s="312"/>
      <c r="FK66" s="260"/>
      <c r="FL66" s="262"/>
      <c r="FM66" s="260"/>
      <c r="FN66" s="262"/>
      <c r="FP66" s="260"/>
      <c r="FQ66" s="290"/>
      <c r="FS66" s="260"/>
      <c r="FT66" s="262"/>
    </row>
    <row r="67" spans="2:176" ht="12" customHeight="1">
      <c r="B67" s="260"/>
      <c r="C67" s="262"/>
      <c r="D67" s="260"/>
      <c r="E67" s="262"/>
      <c r="G67" s="260"/>
      <c r="H67" s="290"/>
      <c r="M67" s="260"/>
      <c r="N67" s="262"/>
      <c r="O67" s="260"/>
      <c r="P67" s="262"/>
      <c r="R67" s="260"/>
      <c r="S67" s="290"/>
      <c r="AI67" s="283" t="s">
        <v>468</v>
      </c>
      <c r="AJ67" s="285"/>
      <c r="AK67" s="260" t="s">
        <v>469</v>
      </c>
      <c r="AL67" s="285"/>
      <c r="AN67" s="260" t="s">
        <v>470</v>
      </c>
      <c r="AO67" s="295" t="e">
        <f>SUM(AO63:AO66)</f>
        <v>#REF!</v>
      </c>
      <c r="AR67" s="293"/>
      <c r="AT67" s="262"/>
      <c r="AU67" s="260"/>
      <c r="AV67" s="262"/>
      <c r="AW67" s="260"/>
      <c r="AX67" s="262"/>
      <c r="AZ67" s="260"/>
      <c r="BA67" s="290"/>
      <c r="BE67" s="283" t="s">
        <v>468</v>
      </c>
      <c r="BF67" s="285"/>
      <c r="BG67" s="260" t="s">
        <v>469</v>
      </c>
      <c r="BH67" s="285"/>
      <c r="BJ67" s="260" t="s">
        <v>470</v>
      </c>
      <c r="BK67" s="295" t="e">
        <f>SUM(BK63:BK66)</f>
        <v>#REF!</v>
      </c>
      <c r="BN67" s="293"/>
      <c r="BP67" s="283" t="s">
        <v>464</v>
      </c>
      <c r="BQ67" s="288"/>
      <c r="BR67" s="260" t="s">
        <v>465</v>
      </c>
      <c r="BS67" s="285"/>
      <c r="BU67" s="260" t="s">
        <v>466</v>
      </c>
      <c r="BV67" s="292" t="e">
        <f>BS66^2/(2*32.2)*(1-(BQ66/(BQ66+BQ67)))</f>
        <v>#REF!</v>
      </c>
      <c r="BX67" s="260" t="s">
        <v>467</v>
      </c>
      <c r="BY67" s="277">
        <v>0</v>
      </c>
      <c r="CL67" s="283" t="s">
        <v>468</v>
      </c>
      <c r="CM67" s="285"/>
      <c r="CN67" s="260" t="s">
        <v>469</v>
      </c>
      <c r="CO67" s="285"/>
      <c r="CQ67" s="260" t="s">
        <v>470</v>
      </c>
      <c r="CR67" s="295">
        <f>SUM(CR63:CR66)</f>
        <v>1.7653275248781239</v>
      </c>
      <c r="CU67" s="293"/>
      <c r="CW67" s="283" t="s">
        <v>468</v>
      </c>
      <c r="CX67" s="285"/>
      <c r="CY67" s="260" t="s">
        <v>469</v>
      </c>
      <c r="CZ67" s="285"/>
      <c r="DB67" s="260" t="s">
        <v>470</v>
      </c>
      <c r="DC67" s="295">
        <f>SUM(DC63:DC66)</f>
        <v>0.21723865894351255</v>
      </c>
      <c r="DF67" s="293"/>
      <c r="DH67" s="283" t="s">
        <v>464</v>
      </c>
      <c r="DI67" s="288"/>
      <c r="DJ67" s="260" t="s">
        <v>465</v>
      </c>
      <c r="DK67" s="285"/>
      <c r="DM67" s="260" t="s">
        <v>466</v>
      </c>
      <c r="DN67" s="292" t="e">
        <f>DK66^2/(2*32.2)*(1-(DI66/(DI66+DI67)))</f>
        <v>#DIV/0!</v>
      </c>
      <c r="DP67" s="260" t="s">
        <v>467</v>
      </c>
      <c r="DQ67" s="277">
        <v>0</v>
      </c>
      <c r="DS67" s="283" t="s">
        <v>468</v>
      </c>
      <c r="DT67" s="285"/>
      <c r="DU67" s="260" t="s">
        <v>469</v>
      </c>
      <c r="DV67" s="285"/>
      <c r="DX67" s="260" t="s">
        <v>470</v>
      </c>
      <c r="DY67" s="295" t="e">
        <f>SUM(DY63:DY66)</f>
        <v>#DIV/0!</v>
      </c>
      <c r="EB67" s="293"/>
      <c r="ED67" s="283" t="s">
        <v>468</v>
      </c>
      <c r="EE67" s="285"/>
      <c r="EF67" s="260" t="s">
        <v>469</v>
      </c>
      <c r="EG67" s="285"/>
      <c r="EI67" s="260" t="s">
        <v>470</v>
      </c>
      <c r="EJ67" s="295">
        <f>SUM(EJ63:EJ66)</f>
        <v>11.490014458518527</v>
      </c>
      <c r="EM67" s="293"/>
      <c r="EO67" s="260"/>
      <c r="EP67" s="262"/>
      <c r="EQ67" s="260"/>
      <c r="ER67" s="262"/>
      <c r="ET67" s="260"/>
      <c r="EU67" s="290"/>
      <c r="EW67" s="260"/>
      <c r="EX67" s="262"/>
      <c r="EZ67" s="307"/>
      <c r="FA67" s="312"/>
      <c r="FB67" s="307"/>
      <c r="FC67" s="312"/>
      <c r="FD67" s="311"/>
      <c r="FE67" s="307"/>
      <c r="FF67" s="315"/>
      <c r="FG67" s="311"/>
      <c r="FH67" s="307"/>
      <c r="FI67" s="312"/>
      <c r="FK67" s="260"/>
      <c r="FL67" s="262"/>
      <c r="FM67" s="260"/>
      <c r="FN67" s="262"/>
      <c r="FP67" s="260"/>
      <c r="FQ67" s="290"/>
    </row>
    <row r="68" spans="2:176" ht="12" customHeight="1" thickBot="1">
      <c r="J68" s="260"/>
      <c r="K68" s="296"/>
      <c r="U68" s="260"/>
      <c r="V68" s="296"/>
      <c r="AI68" s="302"/>
      <c r="AJ68" s="299"/>
      <c r="AK68" s="299"/>
      <c r="AL68" s="299"/>
      <c r="AM68" s="299"/>
      <c r="AN68" s="299"/>
      <c r="AO68" s="299"/>
      <c r="AP68" s="299"/>
      <c r="AQ68" s="300" t="s">
        <v>471</v>
      </c>
      <c r="AR68" s="301" t="e">
        <f>AR65+AR66</f>
        <v>#REF!</v>
      </c>
      <c r="AS68" s="296"/>
      <c r="BC68" s="260"/>
      <c r="BD68" s="296"/>
      <c r="BE68" s="302"/>
      <c r="BF68" s="299"/>
      <c r="BG68" s="299"/>
      <c r="BH68" s="299"/>
      <c r="BI68" s="299"/>
      <c r="BJ68" s="299"/>
      <c r="BK68" s="299"/>
      <c r="BL68" s="299"/>
      <c r="BM68" s="300" t="s">
        <v>471</v>
      </c>
      <c r="BN68" s="301" t="e">
        <f>BN65+BN66</f>
        <v>#REF!</v>
      </c>
      <c r="BO68" s="296"/>
      <c r="BP68" s="283" t="s">
        <v>468</v>
      </c>
      <c r="BQ68" s="285"/>
      <c r="BR68" s="260" t="s">
        <v>469</v>
      </c>
      <c r="BS68" s="285"/>
      <c r="BU68" s="260" t="s">
        <v>470</v>
      </c>
      <c r="BV68" s="295" t="e">
        <f>SUM(BV64:BV67)</f>
        <v>#REF!</v>
      </c>
      <c r="BY68" s="293"/>
      <c r="BZ68" s="296"/>
      <c r="CK68" s="296"/>
      <c r="CL68" s="302"/>
      <c r="CM68" s="299"/>
      <c r="CN68" s="299"/>
      <c r="CO68" s="299"/>
      <c r="CP68" s="299"/>
      <c r="CQ68" s="299"/>
      <c r="CR68" s="299"/>
      <c r="CS68" s="299"/>
      <c r="CT68" s="300" t="s">
        <v>471</v>
      </c>
      <c r="CU68" s="301">
        <f>CU65+CU66</f>
        <v>14.71805892037373</v>
      </c>
      <c r="CV68" s="296"/>
      <c r="CW68" s="302"/>
      <c r="CX68" s="299"/>
      <c r="CY68" s="299"/>
      <c r="CZ68" s="299"/>
      <c r="DA68" s="299"/>
      <c r="DB68" s="299"/>
      <c r="DC68" s="299"/>
      <c r="DD68" s="299"/>
      <c r="DE68" s="300" t="s">
        <v>471</v>
      </c>
      <c r="DF68" s="301">
        <f>DF65+DF66</f>
        <v>10.392104257089406</v>
      </c>
      <c r="DG68" s="296"/>
      <c r="DH68" s="283" t="s">
        <v>468</v>
      </c>
      <c r="DI68" s="285"/>
      <c r="DJ68" s="260" t="s">
        <v>469</v>
      </c>
      <c r="DK68" s="285"/>
      <c r="DM68" s="260" t="s">
        <v>470</v>
      </c>
      <c r="DN68" s="295" t="e">
        <f>SUM(DN64:DN67)</f>
        <v>#DIV/0!</v>
      </c>
      <c r="DQ68" s="293"/>
      <c r="DR68" s="296"/>
      <c r="DS68" s="302"/>
      <c r="DT68" s="299"/>
      <c r="DU68" s="299"/>
      <c r="DV68" s="299"/>
      <c r="DW68" s="299"/>
      <c r="DX68" s="299"/>
      <c r="DY68" s="299"/>
      <c r="DZ68" s="299"/>
      <c r="EA68" s="300" t="s">
        <v>471</v>
      </c>
      <c r="EB68" s="301" t="e">
        <f>EB65+EB66</f>
        <v>#DIV/0!</v>
      </c>
      <c r="EC68" s="296"/>
      <c r="ED68" s="302"/>
      <c r="EE68" s="299"/>
      <c r="EF68" s="299"/>
      <c r="EG68" s="299"/>
      <c r="EH68" s="299"/>
      <c r="EI68" s="299"/>
      <c r="EJ68" s="299"/>
      <c r="EK68" s="299"/>
      <c r="EL68" s="300" t="s">
        <v>471</v>
      </c>
      <c r="EM68" s="301">
        <f>EM65+EM66</f>
        <v>111.22501445851853</v>
      </c>
      <c r="EN68" s="296"/>
      <c r="EO68" s="260"/>
      <c r="EP68" s="262"/>
      <c r="EQ68" s="260"/>
      <c r="ER68" s="262"/>
      <c r="ET68" s="260"/>
      <c r="EU68" s="290"/>
      <c r="EZ68" s="307"/>
      <c r="FA68" s="312"/>
      <c r="FB68" s="307"/>
      <c r="FC68" s="312"/>
      <c r="FD68" s="311"/>
      <c r="FE68" s="307"/>
      <c r="FF68" s="315"/>
      <c r="FG68" s="311"/>
      <c r="FH68" s="311"/>
      <c r="FI68" s="311"/>
      <c r="FS68" s="260"/>
      <c r="FT68" s="296"/>
    </row>
    <row r="69" spans="2:176" ht="12" customHeight="1" thickBot="1">
      <c r="J69" s="260"/>
      <c r="K69" s="296"/>
      <c r="U69" s="260"/>
      <c r="V69" s="296"/>
      <c r="X69" s="260"/>
      <c r="Y69" s="262"/>
      <c r="Z69" s="260"/>
      <c r="AA69" s="262"/>
      <c r="AC69" s="260"/>
      <c r="AD69" s="290"/>
      <c r="AF69" s="260"/>
      <c r="AG69" s="262"/>
      <c r="AS69" s="296"/>
      <c r="BC69" s="260"/>
      <c r="BD69" s="296"/>
      <c r="BP69" s="302"/>
      <c r="BQ69" s="299"/>
      <c r="BR69" s="299"/>
      <c r="BS69" s="299"/>
      <c r="BT69" s="299"/>
      <c r="BU69" s="299"/>
      <c r="BV69" s="299"/>
      <c r="BW69" s="299"/>
      <c r="BX69" s="300" t="s">
        <v>471</v>
      </c>
      <c r="BY69" s="301" t="e">
        <f>BY66+BY67</f>
        <v>#REF!</v>
      </c>
      <c r="BZ69" s="296"/>
      <c r="CK69" s="296"/>
      <c r="CV69" s="296"/>
      <c r="DF69" s="260"/>
      <c r="DG69" s="296"/>
      <c r="DH69" s="302"/>
      <c r="DI69" s="299"/>
      <c r="DJ69" s="299"/>
      <c r="DK69" s="299"/>
      <c r="DL69" s="299"/>
      <c r="DM69" s="299"/>
      <c r="DN69" s="299"/>
      <c r="DO69" s="299"/>
      <c r="DP69" s="300" t="s">
        <v>471</v>
      </c>
      <c r="DQ69" s="301" t="e">
        <f>DQ66+DQ67</f>
        <v>#DIV/0!</v>
      </c>
      <c r="DR69" s="296"/>
      <c r="EC69" s="296"/>
      <c r="EM69" s="260"/>
      <c r="EN69" s="296"/>
      <c r="EW69" s="260"/>
      <c r="EX69" s="296"/>
      <c r="EZ69" s="311"/>
      <c r="FA69" s="311"/>
      <c r="FB69" s="311"/>
      <c r="FC69" s="311"/>
      <c r="FD69" s="311"/>
      <c r="FE69" s="311"/>
      <c r="FF69" s="311"/>
      <c r="FG69" s="311"/>
      <c r="FH69" s="307"/>
      <c r="FI69" s="318"/>
    </row>
    <row r="70" spans="2:176" ht="12" customHeight="1" thickBot="1">
      <c r="J70" s="260"/>
      <c r="K70" s="296"/>
      <c r="X70" s="260"/>
      <c r="Y70" s="262"/>
      <c r="Z70" s="260"/>
      <c r="AA70" s="262"/>
      <c r="AC70" s="260"/>
      <c r="AD70" s="290"/>
      <c r="ED70" s="256" t="s">
        <v>425</v>
      </c>
      <c r="EE70" s="258" t="s">
        <v>474</v>
      </c>
      <c r="FI70" s="260"/>
    </row>
    <row r="71" spans="2:176" ht="12" customHeight="1">
      <c r="AF71" s="260"/>
      <c r="AG71" s="296"/>
      <c r="ED71" s="263" t="s">
        <v>438</v>
      </c>
      <c r="EE71" s="264" t="str">
        <f>'[3]Storm Sewer -10yr'!C13</f>
        <v>MH-01</v>
      </c>
      <c r="EF71" s="265" t="s">
        <v>439</v>
      </c>
      <c r="EG71" s="264" t="str">
        <f>'[3]Storm Sewer -10yr'!B13</f>
        <v>EX-01</v>
      </c>
      <c r="EH71" s="266" t="s">
        <v>48</v>
      </c>
      <c r="EI71" s="267"/>
      <c r="EJ71" s="266" t="s">
        <v>440</v>
      </c>
      <c r="EK71" s="268"/>
      <c r="EL71" s="265" t="s">
        <v>442</v>
      </c>
      <c r="EM71" s="270">
        <f>EM68</f>
        <v>111.22501445851853</v>
      </c>
      <c r="FK71" s="260"/>
      <c r="FL71" s="271"/>
      <c r="FM71" s="260"/>
      <c r="FN71" s="271"/>
      <c r="FO71" s="261"/>
      <c r="FP71" s="259"/>
      <c r="FQ71" s="261"/>
      <c r="FS71" s="260"/>
      <c r="FT71" s="262"/>
    </row>
    <row r="72" spans="2:176" ht="12" customHeight="1">
      <c r="B72" s="260"/>
      <c r="D72" s="260"/>
      <c r="F72" s="261"/>
      <c r="G72" s="259"/>
      <c r="H72" s="261"/>
      <c r="J72" s="260"/>
      <c r="K72" s="262"/>
      <c r="M72" s="260"/>
      <c r="O72" s="260"/>
      <c r="Q72" s="261"/>
      <c r="R72" s="259"/>
      <c r="S72" s="261"/>
      <c r="U72" s="260"/>
      <c r="V72" s="262"/>
      <c r="AF72" s="260"/>
      <c r="AG72" s="296"/>
      <c r="AI72" s="260"/>
      <c r="AK72" s="260"/>
      <c r="AM72" s="261"/>
      <c r="AN72" s="259"/>
      <c r="AO72" s="261"/>
      <c r="AQ72" s="260"/>
      <c r="AR72" s="262"/>
      <c r="AS72" s="262"/>
      <c r="AU72" s="260"/>
      <c r="AW72" s="260"/>
      <c r="AY72" s="261"/>
      <c r="AZ72" s="259"/>
      <c r="BA72" s="261"/>
      <c r="BC72" s="260"/>
      <c r="BD72" s="262"/>
      <c r="BE72" s="260"/>
      <c r="BQ72" s="260"/>
      <c r="BS72" s="260"/>
      <c r="BU72" s="261"/>
      <c r="BV72" s="259"/>
      <c r="BW72" s="261"/>
      <c r="BY72" s="260"/>
      <c r="BZ72" s="262"/>
      <c r="CK72" s="262"/>
      <c r="CV72" s="262"/>
      <c r="CX72" s="260"/>
      <c r="CZ72" s="260"/>
      <c r="DB72" s="261"/>
      <c r="DC72" s="259"/>
      <c r="DD72" s="261"/>
      <c r="DF72" s="260"/>
      <c r="DG72" s="262"/>
      <c r="DI72" s="260"/>
      <c r="DK72" s="260"/>
      <c r="DM72" s="261"/>
      <c r="DN72" s="259"/>
      <c r="DO72" s="261"/>
      <c r="DQ72" s="260"/>
      <c r="DR72" s="262"/>
      <c r="EC72" s="262"/>
      <c r="ED72" s="274"/>
      <c r="EE72" s="260" t="s">
        <v>443</v>
      </c>
      <c r="EF72" s="275" t="str">
        <f>EG71</f>
        <v>EX-01</v>
      </c>
      <c r="EH72" s="272">
        <f>'[3]Storm Sewer -10yr'!R13</f>
        <v>20</v>
      </c>
      <c r="EI72" s="260" t="s">
        <v>444</v>
      </c>
      <c r="EJ72" s="273">
        <f>'[3]Storm Sewer -10yr'!AM13</f>
        <v>3.3150200655028955E-5</v>
      </c>
      <c r="EL72" s="260" t="s">
        <v>445</v>
      </c>
      <c r="EM72" s="277">
        <f>EH75+(EE75/12)</f>
        <v>102.5</v>
      </c>
      <c r="EN72" s="262"/>
      <c r="FL72" s="260"/>
      <c r="FO72" s="272"/>
      <c r="FP72" s="260"/>
      <c r="FQ72" s="273"/>
      <c r="FS72" s="260"/>
      <c r="FT72" s="262"/>
    </row>
    <row r="73" spans="2:176" ht="12" customHeight="1">
      <c r="C73" s="260"/>
      <c r="F73" s="272"/>
      <c r="G73" s="260"/>
      <c r="H73" s="273"/>
      <c r="J73" s="260"/>
      <c r="K73" s="259"/>
      <c r="N73" s="260"/>
      <c r="Q73" s="272"/>
      <c r="R73" s="260"/>
      <c r="S73" s="319"/>
      <c r="U73" s="260"/>
      <c r="V73" s="262"/>
      <c r="AJ73" s="260"/>
      <c r="AM73" s="272"/>
      <c r="AN73" s="260"/>
      <c r="AO73" s="319"/>
      <c r="AQ73" s="260"/>
      <c r="AR73" s="262"/>
      <c r="AS73" s="262"/>
      <c r="AT73" s="260"/>
      <c r="AV73" s="260"/>
      <c r="AY73" s="272"/>
      <c r="AZ73" s="260"/>
      <c r="BA73" s="319"/>
      <c r="BC73" s="260"/>
      <c r="BD73" s="262"/>
      <c r="BF73" s="260"/>
      <c r="BH73" s="260"/>
      <c r="BJ73" s="261"/>
      <c r="BK73" s="259"/>
      <c r="BL73" s="261"/>
      <c r="BN73" s="260"/>
      <c r="BO73" s="262"/>
      <c r="BR73" s="260"/>
      <c r="BU73" s="272"/>
      <c r="BV73" s="260"/>
      <c r="BW73" s="319"/>
      <c r="BY73" s="260"/>
      <c r="BZ73" s="262"/>
      <c r="CK73" s="262"/>
      <c r="CV73" s="262"/>
      <c r="CY73" s="260"/>
      <c r="DB73" s="272"/>
      <c r="DC73" s="260"/>
      <c r="DD73" s="319"/>
      <c r="DF73" s="260"/>
      <c r="DG73" s="262"/>
      <c r="DJ73" s="260"/>
      <c r="DM73" s="272"/>
      <c r="DN73" s="260"/>
      <c r="DO73" s="319"/>
      <c r="DQ73" s="260"/>
      <c r="DR73" s="262"/>
      <c r="EC73" s="262"/>
      <c r="ED73" s="274"/>
      <c r="EM73" s="278"/>
      <c r="EN73" s="262"/>
    </row>
    <row r="74" spans="2:176" ht="12" customHeight="1">
      <c r="BG74" s="260"/>
      <c r="BJ74" s="272"/>
      <c r="BK74" s="260"/>
      <c r="BL74" s="273"/>
      <c r="BN74" s="260"/>
      <c r="BO74" s="262"/>
      <c r="ED74" s="283" t="s">
        <v>517</v>
      </c>
      <c r="EE74" s="281">
        <v>108.32</v>
      </c>
      <c r="EG74" s="260" t="s">
        <v>447</v>
      </c>
      <c r="EH74" s="285">
        <v>102.95</v>
      </c>
      <c r="EJ74" s="259" t="s">
        <v>448</v>
      </c>
      <c r="EK74" s="259"/>
      <c r="EL74" s="260" t="s">
        <v>449</v>
      </c>
      <c r="EM74" s="277">
        <f>EH72*EJ72</f>
        <v>6.6300401310057913E-4</v>
      </c>
      <c r="FK74" s="260"/>
      <c r="FL74" s="279"/>
      <c r="FN74" s="260"/>
      <c r="FO74" s="259"/>
      <c r="FQ74" s="259"/>
      <c r="FR74" s="259"/>
      <c r="FS74" s="260"/>
      <c r="FT74" s="262"/>
    </row>
    <row r="75" spans="2:176" ht="12" customHeight="1">
      <c r="B75" s="260"/>
      <c r="C75" s="279"/>
      <c r="F75" s="259"/>
      <c r="J75" s="260"/>
      <c r="K75" s="262"/>
      <c r="M75" s="260"/>
      <c r="N75" s="279"/>
      <c r="Q75" s="262"/>
      <c r="U75" s="260"/>
      <c r="V75" s="262"/>
      <c r="X75" s="260"/>
      <c r="Z75" s="260"/>
      <c r="AB75" s="261"/>
      <c r="AC75" s="259"/>
      <c r="AD75" s="261"/>
      <c r="AF75" s="260"/>
      <c r="AG75" s="262"/>
      <c r="AI75" s="260"/>
      <c r="AJ75" s="279"/>
      <c r="AK75" s="457"/>
      <c r="AL75" s="457"/>
      <c r="AM75" s="262"/>
      <c r="AO75" s="458"/>
      <c r="AP75" s="458"/>
      <c r="AQ75" s="260"/>
      <c r="AR75" s="262"/>
      <c r="AS75" s="262"/>
      <c r="AT75" s="279"/>
      <c r="AU75" s="260"/>
      <c r="AV75" s="279"/>
      <c r="AY75" s="262"/>
      <c r="BC75" s="260"/>
      <c r="BD75" s="262"/>
      <c r="BQ75" s="260"/>
      <c r="BR75" s="279"/>
      <c r="BU75" s="262"/>
      <c r="BY75" s="260"/>
      <c r="BZ75" s="262"/>
      <c r="CK75" s="262"/>
      <c r="CM75" s="260"/>
      <c r="CN75" s="279"/>
      <c r="CQ75" s="262"/>
      <c r="CU75" s="260"/>
      <c r="CV75" s="262"/>
      <c r="CX75" s="260"/>
      <c r="CY75" s="279"/>
      <c r="DB75" s="262"/>
      <c r="DF75" s="260"/>
      <c r="DG75" s="262"/>
      <c r="DI75" s="260"/>
      <c r="DJ75" s="279"/>
      <c r="DM75" s="262"/>
      <c r="DQ75" s="260"/>
      <c r="DR75" s="262"/>
      <c r="EC75" s="262"/>
      <c r="ED75" s="274" t="s">
        <v>451</v>
      </c>
      <c r="EE75" s="287">
        <v>18</v>
      </c>
      <c r="EG75" s="260" t="s">
        <v>452</v>
      </c>
      <c r="EH75" s="288">
        <v>101</v>
      </c>
      <c r="EJ75" s="260" t="s">
        <v>453</v>
      </c>
      <c r="EK75" s="316">
        <v>0</v>
      </c>
      <c r="EL75" s="260" t="s">
        <v>454</v>
      </c>
      <c r="EM75" s="289">
        <f>MAX(EM71:EM72)+EM74</f>
        <v>111.22567746253164</v>
      </c>
      <c r="EN75" s="262"/>
      <c r="FK75" s="260"/>
      <c r="FL75" s="259"/>
      <c r="FN75" s="260"/>
      <c r="FO75" s="262"/>
      <c r="FQ75" s="260"/>
      <c r="FR75" s="259"/>
      <c r="FS75" s="260"/>
      <c r="FT75" s="262"/>
    </row>
    <row r="76" spans="2:176" ht="12" customHeight="1">
      <c r="C76" s="259"/>
      <c r="F76" s="259"/>
      <c r="H76" s="260"/>
      <c r="J76" s="260"/>
      <c r="K76" s="262"/>
      <c r="N76" s="259"/>
      <c r="Q76" s="262"/>
      <c r="S76" s="260"/>
      <c r="U76" s="260"/>
      <c r="V76" s="262"/>
      <c r="Y76" s="260"/>
      <c r="AB76" s="272"/>
      <c r="AC76" s="260"/>
      <c r="AD76" s="319"/>
      <c r="AF76" s="260"/>
      <c r="AG76" s="262"/>
      <c r="AJ76" s="259"/>
      <c r="AK76" s="457"/>
      <c r="AL76" s="457"/>
      <c r="AM76" s="262"/>
      <c r="AO76" s="260"/>
      <c r="AQ76" s="260"/>
      <c r="AR76" s="262"/>
      <c r="AS76" s="262"/>
      <c r="AT76" s="259"/>
      <c r="AV76" s="259"/>
      <c r="AY76" s="262"/>
      <c r="BA76" s="260"/>
      <c r="BC76" s="260"/>
      <c r="BD76" s="262"/>
      <c r="BF76" s="260"/>
      <c r="BG76" s="279"/>
      <c r="BJ76" s="262"/>
      <c r="BN76" s="260"/>
      <c r="BO76" s="262"/>
      <c r="BR76" s="259"/>
      <c r="BU76" s="262"/>
      <c r="BW76" s="260"/>
      <c r="BY76" s="260"/>
      <c r="BZ76" s="262"/>
      <c r="CK76" s="262"/>
      <c r="CN76" s="259"/>
      <c r="CQ76" s="262"/>
      <c r="CS76" s="260"/>
      <c r="CU76" s="260"/>
      <c r="CV76" s="262"/>
      <c r="CY76" s="259"/>
      <c r="DB76" s="262"/>
      <c r="DD76" s="260"/>
      <c r="DF76" s="260"/>
      <c r="DG76" s="262"/>
      <c r="DJ76" s="259"/>
      <c r="DM76" s="262"/>
      <c r="DO76" s="260"/>
      <c r="DQ76" s="260"/>
      <c r="DR76" s="262"/>
      <c r="EC76" s="262"/>
      <c r="ED76" s="274"/>
      <c r="EI76" s="260" t="s">
        <v>455</v>
      </c>
      <c r="EJ76" s="291">
        <f>0.33*(EG77^2/(2*32.2))</f>
        <v>1.7653275248781239</v>
      </c>
      <c r="EL76" s="260" t="s">
        <v>456</v>
      </c>
      <c r="EM76" s="277">
        <f>EH74+('[3]Storm Sewer -10yr'!$W13/12)</f>
        <v>102.965</v>
      </c>
      <c r="EN76" s="262"/>
      <c r="FP76" s="260"/>
      <c r="FQ76" s="290"/>
      <c r="FS76" s="260"/>
      <c r="FT76" s="262"/>
    </row>
    <row r="77" spans="2:176" ht="12" customHeight="1">
      <c r="G77" s="260"/>
      <c r="H77" s="290"/>
      <c r="J77" s="260"/>
      <c r="K77" s="262"/>
      <c r="R77" s="260"/>
      <c r="S77" s="290"/>
      <c r="U77" s="260"/>
      <c r="V77" s="262"/>
      <c r="AN77" s="260"/>
      <c r="AO77" s="290"/>
      <c r="AQ77" s="260"/>
      <c r="AR77" s="262"/>
      <c r="AS77" s="262"/>
      <c r="AZ77" s="260"/>
      <c r="BA77" s="290"/>
      <c r="BC77" s="260"/>
      <c r="BD77" s="262"/>
      <c r="BF77" s="260"/>
      <c r="BG77" s="259"/>
      <c r="BJ77" s="262"/>
      <c r="BL77" s="260"/>
      <c r="BN77" s="260"/>
      <c r="BO77" s="262"/>
      <c r="BV77" s="260"/>
      <c r="BW77" s="290"/>
      <c r="BY77" s="260"/>
      <c r="BZ77" s="262"/>
      <c r="CK77" s="262"/>
      <c r="CR77" s="260"/>
      <c r="CS77" s="290"/>
      <c r="CU77" s="260"/>
      <c r="CV77" s="262"/>
      <c r="DC77" s="260"/>
      <c r="DD77" s="290"/>
      <c r="DF77" s="260"/>
      <c r="DG77" s="262"/>
      <c r="DN77" s="260"/>
      <c r="DO77" s="290"/>
      <c r="DQ77" s="260"/>
      <c r="DR77" s="262"/>
      <c r="EC77" s="262"/>
      <c r="ED77" s="283" t="s">
        <v>457</v>
      </c>
      <c r="EE77" s="285">
        <f>'[3]Storm Sewer -10yr'!J13*8</f>
        <v>0.69119999999999993</v>
      </c>
      <c r="EF77" s="260" t="s">
        <v>458</v>
      </c>
      <c r="EG77" s="285">
        <f>'[3]Storm Sewer -10yr'!T13</f>
        <v>18.560882016182312</v>
      </c>
      <c r="EI77" s="260" t="s">
        <v>459</v>
      </c>
      <c r="EJ77" s="292">
        <f>(EG77^2/(2*32.2))-(EG78^2/(2*32.2))</f>
        <v>0</v>
      </c>
      <c r="EM77" s="293"/>
      <c r="EN77" s="262"/>
      <c r="FK77" s="260"/>
      <c r="FL77" s="262"/>
      <c r="FM77" s="260"/>
      <c r="FN77" s="262"/>
      <c r="FP77" s="260"/>
      <c r="FQ77" s="290"/>
    </row>
    <row r="78" spans="2:176" ht="12" customHeight="1">
      <c r="B78" s="260"/>
      <c r="C78" s="262"/>
      <c r="D78" s="260"/>
      <c r="E78" s="262"/>
      <c r="G78" s="260"/>
      <c r="H78" s="290"/>
      <c r="M78" s="260"/>
      <c r="N78" s="262"/>
      <c r="O78" s="260"/>
      <c r="P78" s="262"/>
      <c r="R78" s="260"/>
      <c r="S78" s="290"/>
      <c r="X78" s="260"/>
      <c r="Y78" s="279"/>
      <c r="Z78" s="457"/>
      <c r="AA78" s="457"/>
      <c r="AB78" s="262"/>
      <c r="AD78" s="458"/>
      <c r="AE78" s="458"/>
      <c r="AF78" s="260"/>
      <c r="AG78" s="262"/>
      <c r="AI78" s="260"/>
      <c r="AJ78" s="262"/>
      <c r="AK78" s="260"/>
      <c r="AL78" s="262"/>
      <c r="AN78" s="260"/>
      <c r="AO78" s="290"/>
      <c r="AT78" s="262"/>
      <c r="AU78" s="260"/>
      <c r="AV78" s="262"/>
      <c r="AW78" s="260"/>
      <c r="AX78" s="262"/>
      <c r="AZ78" s="260"/>
      <c r="BA78" s="290"/>
      <c r="BE78" s="260"/>
      <c r="BK78" s="260"/>
      <c r="BL78" s="290"/>
      <c r="BN78" s="260"/>
      <c r="BO78" s="262"/>
      <c r="BQ78" s="260"/>
      <c r="BR78" s="262"/>
      <c r="BS78" s="260"/>
      <c r="BT78" s="262"/>
      <c r="BV78" s="260"/>
      <c r="BW78" s="290"/>
      <c r="CM78" s="260"/>
      <c r="CN78" s="262"/>
      <c r="CO78" s="260"/>
      <c r="CP78" s="262"/>
      <c r="CR78" s="260"/>
      <c r="CS78" s="290"/>
      <c r="CX78" s="260"/>
      <c r="CY78" s="262"/>
      <c r="CZ78" s="260"/>
      <c r="DA78" s="262"/>
      <c r="DC78" s="260"/>
      <c r="DD78" s="290"/>
      <c r="DI78" s="260"/>
      <c r="DJ78" s="262"/>
      <c r="DK78" s="260"/>
      <c r="DL78" s="262"/>
      <c r="DN78" s="260"/>
      <c r="DO78" s="290"/>
      <c r="ED78" s="283" t="s">
        <v>460</v>
      </c>
      <c r="EE78" s="285">
        <f>EE77</f>
        <v>0.69119999999999993</v>
      </c>
      <c r="EF78" s="260" t="s">
        <v>461</v>
      </c>
      <c r="EG78" s="285">
        <f>'[3]Storm Sewer -10yr'!T13</f>
        <v>18.560882016182312</v>
      </c>
      <c r="EI78" s="260" t="s">
        <v>462</v>
      </c>
      <c r="EJ78" s="291">
        <f>IF(EK75=0, 0, IF(EK75&gt;45,0.22*(EG77^2/(2*32.2))*2,IF(EK75=45,0.22*(EG77^2/(2*32.2)),0.22*(EG77^2/(2*32.2))*(2/3))))</f>
        <v>0</v>
      </c>
      <c r="EL78" s="294" t="s">
        <v>463</v>
      </c>
      <c r="EM78" s="277">
        <f>MAX(EM75:EM76)</f>
        <v>111.22567746253164</v>
      </c>
      <c r="FK78" s="260"/>
      <c r="FL78" s="262"/>
      <c r="FM78" s="260"/>
      <c r="FN78" s="262"/>
      <c r="FP78" s="260"/>
      <c r="FQ78" s="290"/>
      <c r="FS78" s="294"/>
      <c r="FT78" s="262"/>
    </row>
    <row r="79" spans="2:176" ht="12" customHeight="1">
      <c r="B79" s="260"/>
      <c r="C79" s="262"/>
      <c r="D79" s="260"/>
      <c r="E79" s="262"/>
      <c r="G79" s="260"/>
      <c r="H79" s="290"/>
      <c r="J79" s="294"/>
      <c r="K79" s="262"/>
      <c r="M79" s="260"/>
      <c r="N79" s="262"/>
      <c r="O79" s="260"/>
      <c r="P79" s="262"/>
      <c r="R79" s="260"/>
      <c r="S79" s="290"/>
      <c r="U79" s="294"/>
      <c r="V79" s="262"/>
      <c r="Y79" s="259"/>
      <c r="Z79" s="457"/>
      <c r="AA79" s="457"/>
      <c r="AB79" s="262"/>
      <c r="AD79" s="260"/>
      <c r="AF79" s="260"/>
      <c r="AG79" s="262"/>
      <c r="AI79" s="260"/>
      <c r="AJ79" s="262"/>
      <c r="AK79" s="260"/>
      <c r="AL79" s="262"/>
      <c r="AN79" s="260"/>
      <c r="AO79" s="290"/>
      <c r="AQ79" s="294"/>
      <c r="AR79" s="262"/>
      <c r="AS79" s="262"/>
      <c r="AT79" s="262"/>
      <c r="AU79" s="260"/>
      <c r="AV79" s="262"/>
      <c r="AW79" s="260"/>
      <c r="AX79" s="262"/>
      <c r="AZ79" s="260"/>
      <c r="BA79" s="290"/>
      <c r="BC79" s="294"/>
      <c r="BD79" s="262"/>
      <c r="BE79" s="260"/>
      <c r="BF79" s="260"/>
      <c r="BG79" s="262"/>
      <c r="BH79" s="260"/>
      <c r="BI79" s="262"/>
      <c r="BK79" s="260"/>
      <c r="BL79" s="290"/>
      <c r="BQ79" s="260"/>
      <c r="BR79" s="262"/>
      <c r="BS79" s="260"/>
      <c r="BT79" s="262"/>
      <c r="BV79" s="260"/>
      <c r="BW79" s="290"/>
      <c r="BY79" s="294"/>
      <c r="BZ79" s="262"/>
      <c r="CK79" s="262"/>
      <c r="CM79" s="260"/>
      <c r="CN79" s="262"/>
      <c r="CO79" s="260"/>
      <c r="CP79" s="262"/>
      <c r="CR79" s="260"/>
      <c r="CS79" s="290"/>
      <c r="CU79" s="294"/>
      <c r="CV79" s="262"/>
      <c r="CX79" s="260"/>
      <c r="CY79" s="262"/>
      <c r="CZ79" s="260"/>
      <c r="DA79" s="262"/>
      <c r="DC79" s="260"/>
      <c r="DD79" s="290"/>
      <c r="DF79" s="294"/>
      <c r="DG79" s="262"/>
      <c r="DI79" s="260"/>
      <c r="DJ79" s="262"/>
      <c r="DK79" s="260"/>
      <c r="DL79" s="262"/>
      <c r="DN79" s="260"/>
      <c r="DO79" s="290"/>
      <c r="DQ79" s="294"/>
      <c r="DR79" s="262"/>
      <c r="EC79" s="262"/>
      <c r="ED79" s="283" t="s">
        <v>464</v>
      </c>
      <c r="EE79" s="288"/>
      <c r="EF79" s="260" t="s">
        <v>465</v>
      </c>
      <c r="EG79" s="285"/>
      <c r="EI79" s="260" t="s">
        <v>466</v>
      </c>
      <c r="EJ79" s="292">
        <f>EG78^2/(2*32.2)*(1-(EE78/(EE78+EE79)))</f>
        <v>0</v>
      </c>
      <c r="EL79" s="260" t="s">
        <v>467</v>
      </c>
      <c r="EM79" s="277">
        <f>EJ80</f>
        <v>1.7653275248781239</v>
      </c>
      <c r="EN79" s="262"/>
      <c r="FK79" s="260"/>
      <c r="FL79" s="262"/>
      <c r="FM79" s="260"/>
      <c r="FN79" s="262"/>
      <c r="FP79" s="260"/>
      <c r="FQ79" s="290"/>
      <c r="FS79" s="260"/>
      <c r="FT79" s="262"/>
    </row>
    <row r="80" spans="2:176" ht="12" customHeight="1">
      <c r="B80" s="260"/>
      <c r="C80" s="262"/>
      <c r="D80" s="260"/>
      <c r="E80" s="262"/>
      <c r="G80" s="260"/>
      <c r="H80" s="290"/>
      <c r="J80" s="260"/>
      <c r="K80" s="262"/>
      <c r="M80" s="260"/>
      <c r="N80" s="262"/>
      <c r="O80" s="260"/>
      <c r="P80" s="262"/>
      <c r="R80" s="260"/>
      <c r="S80" s="290"/>
      <c r="U80" s="260"/>
      <c r="V80" s="262"/>
      <c r="AC80" s="260"/>
      <c r="AD80" s="290"/>
      <c r="AF80" s="260"/>
      <c r="AG80" s="262"/>
      <c r="AI80" s="260"/>
      <c r="AJ80" s="262"/>
      <c r="AK80" s="260"/>
      <c r="AL80" s="262"/>
      <c r="AN80" s="260"/>
      <c r="AO80" s="290"/>
      <c r="AQ80" s="260"/>
      <c r="AR80" s="262"/>
      <c r="AS80" s="262"/>
      <c r="AT80" s="262"/>
      <c r="AU80" s="260"/>
      <c r="AV80" s="262"/>
      <c r="AW80" s="260"/>
      <c r="AX80" s="262"/>
      <c r="AZ80" s="260"/>
      <c r="BA80" s="290"/>
      <c r="BC80" s="260"/>
      <c r="BD80" s="262"/>
      <c r="BE80" s="260"/>
      <c r="BF80" s="260"/>
      <c r="BG80" s="262"/>
      <c r="BH80" s="260"/>
      <c r="BI80" s="262"/>
      <c r="BK80" s="260"/>
      <c r="BL80" s="290"/>
      <c r="BN80" s="294"/>
      <c r="BO80" s="262"/>
      <c r="BQ80" s="260"/>
      <c r="BR80" s="262"/>
      <c r="BS80" s="260"/>
      <c r="BT80" s="262"/>
      <c r="BV80" s="260"/>
      <c r="BW80" s="290"/>
      <c r="BY80" s="260"/>
      <c r="BZ80" s="262"/>
      <c r="CK80" s="262"/>
      <c r="CM80" s="260"/>
      <c r="CN80" s="262"/>
      <c r="CO80" s="260"/>
      <c r="CP80" s="262"/>
      <c r="CR80" s="260"/>
      <c r="CS80" s="290"/>
      <c r="CU80" s="260"/>
      <c r="CV80" s="262"/>
      <c r="CX80" s="260"/>
      <c r="CY80" s="262"/>
      <c r="CZ80" s="260"/>
      <c r="DA80" s="262"/>
      <c r="DC80" s="260"/>
      <c r="DD80" s="290"/>
      <c r="DF80" s="260"/>
      <c r="DG80" s="262"/>
      <c r="DI80" s="260"/>
      <c r="DJ80" s="262"/>
      <c r="DK80" s="260"/>
      <c r="DL80" s="262"/>
      <c r="DN80" s="260"/>
      <c r="DO80" s="290"/>
      <c r="DQ80" s="260"/>
      <c r="DR80" s="262"/>
      <c r="EC80" s="262"/>
      <c r="ED80" s="283" t="s">
        <v>468</v>
      </c>
      <c r="EE80" s="285"/>
      <c r="EF80" s="260" t="s">
        <v>469</v>
      </c>
      <c r="EG80" s="285"/>
      <c r="EI80" s="260" t="s">
        <v>470</v>
      </c>
      <c r="EJ80" s="295">
        <f>SUM(EJ76:EJ79)</f>
        <v>1.7653275248781239</v>
      </c>
      <c r="EM80" s="293"/>
      <c r="EN80" s="262"/>
      <c r="FK80" s="260"/>
      <c r="FL80" s="262"/>
      <c r="FM80" s="260"/>
      <c r="FN80" s="262"/>
      <c r="FP80" s="260"/>
      <c r="FQ80" s="290"/>
    </row>
    <row r="81" spans="2:176" ht="12" customHeight="1" thickBot="1">
      <c r="B81" s="260"/>
      <c r="C81" s="262"/>
      <c r="D81" s="260"/>
      <c r="E81" s="262"/>
      <c r="G81" s="260"/>
      <c r="H81" s="290"/>
      <c r="M81" s="260"/>
      <c r="N81" s="262"/>
      <c r="O81" s="260"/>
      <c r="P81" s="262"/>
      <c r="R81" s="260"/>
      <c r="S81" s="290"/>
      <c r="X81" s="260"/>
      <c r="Y81" s="262"/>
      <c r="Z81" s="260"/>
      <c r="AA81" s="262"/>
      <c r="AC81" s="260"/>
      <c r="AD81" s="290"/>
      <c r="AI81" s="260"/>
      <c r="AJ81" s="262"/>
      <c r="AK81" s="260"/>
      <c r="AL81" s="262"/>
      <c r="AN81" s="260"/>
      <c r="AO81" s="290"/>
      <c r="AT81" s="262"/>
      <c r="AU81" s="260"/>
      <c r="AV81" s="262"/>
      <c r="AW81" s="260"/>
      <c r="AX81" s="262"/>
      <c r="AZ81" s="260"/>
      <c r="BA81" s="290"/>
      <c r="BE81" s="260"/>
      <c r="BF81" s="260"/>
      <c r="BG81" s="262"/>
      <c r="BH81" s="260"/>
      <c r="BI81" s="262"/>
      <c r="BK81" s="260"/>
      <c r="BL81" s="290"/>
      <c r="BN81" s="260"/>
      <c r="BO81" s="262"/>
      <c r="BQ81" s="260"/>
      <c r="BR81" s="262"/>
      <c r="BS81" s="260"/>
      <c r="BT81" s="262"/>
      <c r="BV81" s="260"/>
      <c r="BW81" s="290"/>
      <c r="CM81" s="260"/>
      <c r="CN81" s="262"/>
      <c r="CO81" s="260"/>
      <c r="CP81" s="262"/>
      <c r="CR81" s="260"/>
      <c r="CS81" s="290"/>
      <c r="CX81" s="260"/>
      <c r="CY81" s="262"/>
      <c r="CZ81" s="260"/>
      <c r="DA81" s="262"/>
      <c r="DC81" s="260"/>
      <c r="DD81" s="290"/>
      <c r="DI81" s="260"/>
      <c r="DJ81" s="262"/>
      <c r="DK81" s="260"/>
      <c r="DL81" s="262"/>
      <c r="DN81" s="260"/>
      <c r="DO81" s="290"/>
      <c r="ED81" s="302"/>
      <c r="EE81" s="299"/>
      <c r="EF81" s="299"/>
      <c r="EG81" s="299"/>
      <c r="EH81" s="299"/>
      <c r="EI81" s="299"/>
      <c r="EJ81" s="299"/>
      <c r="EK81" s="299"/>
      <c r="EL81" s="300" t="s">
        <v>471</v>
      </c>
      <c r="EM81" s="301">
        <f>EM78+EM79</f>
        <v>112.99100498740975</v>
      </c>
      <c r="FS81" s="260"/>
      <c r="FT81" s="296"/>
    </row>
    <row r="82" spans="2:176" ht="12" customHeight="1">
      <c r="J82" s="260"/>
      <c r="K82" s="296"/>
      <c r="U82" s="260"/>
      <c r="V82" s="296"/>
      <c r="X82" s="260"/>
      <c r="Y82" s="262"/>
      <c r="Z82" s="260"/>
      <c r="AA82" s="262"/>
      <c r="AC82" s="260"/>
      <c r="AD82" s="290"/>
      <c r="AF82" s="294"/>
      <c r="AG82" s="262"/>
      <c r="AQ82" s="260"/>
      <c r="AR82" s="296"/>
      <c r="AS82" s="296"/>
      <c r="BC82" s="260"/>
      <c r="BD82" s="296"/>
      <c r="BF82" s="260"/>
      <c r="BG82" s="262"/>
      <c r="BH82" s="260"/>
      <c r="BI82" s="262"/>
      <c r="BK82" s="260"/>
      <c r="BL82" s="290"/>
      <c r="BY82" s="260"/>
      <c r="BZ82" s="296"/>
      <c r="CK82" s="296"/>
      <c r="CU82" s="260"/>
      <c r="CV82" s="296"/>
      <c r="DF82" s="260"/>
      <c r="DG82" s="296"/>
      <c r="DQ82" s="260"/>
      <c r="DR82" s="296"/>
      <c r="EB82" s="260"/>
      <c r="EC82" s="296"/>
      <c r="EM82" s="260"/>
      <c r="EN82" s="296"/>
    </row>
    <row r="83" spans="2:176" ht="12" customHeight="1" thickBot="1">
      <c r="J83" s="260"/>
      <c r="K83" s="296"/>
      <c r="U83" s="260"/>
      <c r="V83" s="296"/>
      <c r="X83" s="260"/>
      <c r="Y83" s="262"/>
      <c r="Z83" s="260"/>
      <c r="AA83" s="262"/>
      <c r="AC83" s="260"/>
      <c r="AD83" s="290"/>
      <c r="AF83" s="260"/>
      <c r="AG83" s="262"/>
      <c r="AQ83" s="260"/>
      <c r="AR83" s="296"/>
      <c r="AS83" s="296"/>
      <c r="BC83" s="260"/>
      <c r="BD83" s="296"/>
      <c r="BN83" s="260"/>
      <c r="BO83" s="296"/>
      <c r="BY83" s="260"/>
      <c r="BZ83" s="296"/>
      <c r="CJ83" s="260"/>
      <c r="CK83" s="296"/>
      <c r="CU83" s="260"/>
      <c r="CV83" s="296"/>
      <c r="DF83" s="260"/>
      <c r="DG83" s="296"/>
      <c r="DQ83" s="260"/>
      <c r="DR83" s="296"/>
      <c r="EB83" s="260"/>
      <c r="EC83" s="296"/>
      <c r="ED83" s="256" t="s">
        <v>425</v>
      </c>
      <c r="EE83" s="258" t="s">
        <v>485</v>
      </c>
      <c r="EN83" s="296"/>
      <c r="EX83" s="260"/>
    </row>
    <row r="84" spans="2:176" ht="12" customHeight="1">
      <c r="J84" s="260"/>
      <c r="K84" s="296"/>
      <c r="X84" s="260"/>
      <c r="Y84" s="262"/>
      <c r="Z84" s="260"/>
      <c r="AA84" s="262"/>
      <c r="AC84" s="260"/>
      <c r="AD84" s="290"/>
      <c r="BN84" s="260"/>
      <c r="BO84" s="296"/>
      <c r="ED84" s="263" t="s">
        <v>438</v>
      </c>
      <c r="EE84" s="264" t="str">
        <f>'[3]Storm Sewer -10yr'!C20</f>
        <v>MH-01</v>
      </c>
      <c r="EF84" s="265" t="s">
        <v>439</v>
      </c>
      <c r="EG84" s="264" t="str">
        <f>'[3]Storm Sewer -10yr'!B20</f>
        <v>EX-02</v>
      </c>
      <c r="EH84" s="266" t="s">
        <v>48</v>
      </c>
      <c r="EI84" s="267"/>
      <c r="EJ84" s="266" t="s">
        <v>440</v>
      </c>
      <c r="EK84" s="268"/>
      <c r="EL84" s="265" t="s">
        <v>442</v>
      </c>
      <c r="EM84" s="270">
        <v>99.7</v>
      </c>
    </row>
    <row r="85" spans="2:176" ht="12" customHeight="1">
      <c r="AF85" s="260"/>
      <c r="AG85" s="296"/>
      <c r="ED85" s="274"/>
      <c r="EE85" s="260" t="s">
        <v>443</v>
      </c>
      <c r="EF85" s="275" t="str">
        <f>EG84</f>
        <v>EX-02</v>
      </c>
      <c r="EH85" s="272">
        <f>'[3]Storm Sewer -10yr'!R20</f>
        <v>26</v>
      </c>
      <c r="EI85" s="260" t="s">
        <v>444</v>
      </c>
      <c r="EJ85" s="273">
        <f>'[3]Storm Sewer -10yr'!AM20</f>
        <v>2.2733379841807659E-5</v>
      </c>
      <c r="EL85" s="260" t="s">
        <v>445</v>
      </c>
      <c r="EM85" s="277">
        <f>EH88+(EE88/12)</f>
        <v>101.29</v>
      </c>
    </row>
    <row r="86" spans="2:176" ht="12" customHeight="1">
      <c r="B86" s="260"/>
      <c r="D86" s="260"/>
      <c r="F86" s="261"/>
      <c r="G86" s="259"/>
      <c r="H86" s="261"/>
      <c r="J86" s="260"/>
      <c r="K86" s="262"/>
      <c r="M86" s="260"/>
      <c r="O86" s="260"/>
      <c r="Q86" s="261"/>
      <c r="R86" s="259"/>
      <c r="S86" s="261"/>
      <c r="U86" s="260"/>
      <c r="V86" s="262"/>
      <c r="AF86" s="260"/>
      <c r="AG86" s="296"/>
      <c r="AI86" s="260"/>
      <c r="AK86" s="260"/>
      <c r="AM86" s="261"/>
      <c r="AN86" s="259"/>
      <c r="AO86" s="261"/>
      <c r="AQ86" s="260"/>
      <c r="AR86" s="262"/>
      <c r="AS86" s="262"/>
      <c r="AU86" s="260"/>
      <c r="AW86" s="260"/>
      <c r="AY86" s="261"/>
      <c r="AZ86" s="259"/>
      <c r="BA86" s="261"/>
      <c r="BC86" s="260"/>
      <c r="BD86" s="262"/>
      <c r="BE86" s="260"/>
      <c r="BQ86" s="260"/>
      <c r="BS86" s="260"/>
      <c r="BU86" s="261"/>
      <c r="BV86" s="259"/>
      <c r="BW86" s="261"/>
      <c r="BY86" s="260"/>
      <c r="BZ86" s="262"/>
      <c r="CB86" s="260"/>
      <c r="CD86" s="260"/>
      <c r="CF86" s="261"/>
      <c r="CG86" s="259"/>
      <c r="CH86" s="261"/>
      <c r="CJ86" s="260"/>
      <c r="CK86" s="262"/>
      <c r="CM86" s="260"/>
      <c r="CO86" s="260"/>
      <c r="CQ86" s="261"/>
      <c r="CR86" s="259"/>
      <c r="CS86" s="261"/>
      <c r="CU86" s="260"/>
      <c r="CV86" s="262"/>
      <c r="CX86" s="260"/>
      <c r="CZ86" s="260"/>
      <c r="DB86" s="261"/>
      <c r="DC86" s="259"/>
      <c r="DD86" s="261"/>
      <c r="DF86" s="260"/>
      <c r="DG86" s="262"/>
      <c r="DI86" s="260"/>
      <c r="DK86" s="260"/>
      <c r="DM86" s="261"/>
      <c r="DN86" s="259"/>
      <c r="DO86" s="261"/>
      <c r="DQ86" s="260"/>
      <c r="DR86" s="262"/>
      <c r="DT86" s="260"/>
      <c r="DV86" s="260"/>
      <c r="DX86" s="261"/>
      <c r="DY86" s="259"/>
      <c r="DZ86" s="261"/>
      <c r="EB86" s="260"/>
      <c r="EC86" s="262"/>
      <c r="ED86" s="274"/>
      <c r="EM86" s="278"/>
      <c r="EN86" s="262"/>
    </row>
    <row r="87" spans="2:176" ht="12" customHeight="1">
      <c r="C87" s="260"/>
      <c r="F87" s="272"/>
      <c r="G87" s="260"/>
      <c r="H87" s="273"/>
      <c r="J87" s="260"/>
      <c r="K87" s="259"/>
      <c r="N87" s="260"/>
      <c r="Q87" s="272"/>
      <c r="R87" s="260"/>
      <c r="S87" s="319"/>
      <c r="U87" s="260"/>
      <c r="V87" s="262"/>
      <c r="AJ87" s="260"/>
      <c r="AM87" s="272"/>
      <c r="AN87" s="260"/>
      <c r="AO87" s="319"/>
      <c r="AQ87" s="260"/>
      <c r="AR87" s="262"/>
      <c r="AS87" s="262"/>
      <c r="AT87" s="260"/>
      <c r="AV87" s="260"/>
      <c r="AY87" s="272"/>
      <c r="AZ87" s="260"/>
      <c r="BA87" s="319"/>
      <c r="BC87" s="260"/>
      <c r="BD87" s="262"/>
      <c r="BF87" s="260"/>
      <c r="BH87" s="260"/>
      <c r="BJ87" s="261"/>
      <c r="BK87" s="259"/>
      <c r="BL87" s="261"/>
      <c r="BN87" s="260"/>
      <c r="BO87" s="262"/>
      <c r="BR87" s="260"/>
      <c r="BU87" s="272"/>
      <c r="BV87" s="260"/>
      <c r="BW87" s="319"/>
      <c r="BY87" s="260"/>
      <c r="BZ87" s="262"/>
      <c r="CC87" s="260"/>
      <c r="CF87" s="272"/>
      <c r="CG87" s="260"/>
      <c r="CH87" s="319"/>
      <c r="CJ87" s="260"/>
      <c r="CK87" s="262"/>
      <c r="CN87" s="260"/>
      <c r="CQ87" s="272"/>
      <c r="CR87" s="260"/>
      <c r="CS87" s="319"/>
      <c r="CU87" s="260"/>
      <c r="CV87" s="262"/>
      <c r="CY87" s="260"/>
      <c r="DB87" s="272"/>
      <c r="DC87" s="260"/>
      <c r="DD87" s="319"/>
      <c r="DF87" s="260"/>
      <c r="DG87" s="262"/>
      <c r="DJ87" s="260"/>
      <c r="DM87" s="272"/>
      <c r="DN87" s="260"/>
      <c r="DO87" s="319"/>
      <c r="DQ87" s="260"/>
      <c r="DR87" s="262"/>
      <c r="DU87" s="260"/>
      <c r="DX87" s="272"/>
      <c r="DY87" s="260"/>
      <c r="DZ87" s="319"/>
      <c r="EB87" s="260"/>
      <c r="EC87" s="262"/>
      <c r="ED87" s="283" t="s">
        <v>446</v>
      </c>
      <c r="EE87" s="281">
        <v>107.15</v>
      </c>
      <c r="EG87" s="260" t="s">
        <v>447</v>
      </c>
      <c r="EH87" s="285">
        <v>99.93</v>
      </c>
      <c r="EJ87" s="259" t="s">
        <v>448</v>
      </c>
      <c r="EK87" s="259"/>
      <c r="EL87" s="260" t="s">
        <v>449</v>
      </c>
      <c r="EM87" s="277">
        <f>EH85*EJ85</f>
        <v>5.9106787588699913E-4</v>
      </c>
      <c r="EN87" s="262"/>
    </row>
    <row r="88" spans="2:176" ht="12" customHeight="1">
      <c r="BG88" s="260"/>
      <c r="BJ88" s="272"/>
      <c r="BK88" s="260"/>
      <c r="BL88" s="273"/>
      <c r="BN88" s="260"/>
      <c r="BO88" s="262"/>
      <c r="ED88" s="274" t="s">
        <v>451</v>
      </c>
      <c r="EE88" s="287">
        <v>18</v>
      </c>
      <c r="EG88" s="260" t="s">
        <v>452</v>
      </c>
      <c r="EH88" s="288">
        <v>99.79</v>
      </c>
      <c r="EJ88" s="260" t="s">
        <v>453</v>
      </c>
      <c r="EK88" s="259">
        <v>90</v>
      </c>
      <c r="EL88" s="260" t="s">
        <v>454</v>
      </c>
      <c r="EM88" s="289">
        <f>MAX(EM84:EM85)+EM87</f>
        <v>101.29059106787589</v>
      </c>
    </row>
    <row r="89" spans="2:176" ht="12" customHeight="1">
      <c r="B89" s="260"/>
      <c r="C89" s="279"/>
      <c r="D89" s="457"/>
      <c r="E89" s="457"/>
      <c r="F89" s="259"/>
      <c r="H89" s="458"/>
      <c r="I89" s="458"/>
      <c r="J89" s="260"/>
      <c r="K89" s="262"/>
      <c r="M89" s="260"/>
      <c r="N89" s="279"/>
      <c r="O89" s="457"/>
      <c r="P89" s="457"/>
      <c r="Q89" s="262"/>
      <c r="S89" s="458"/>
      <c r="T89" s="458"/>
      <c r="U89" s="260"/>
      <c r="V89" s="262"/>
      <c r="X89" s="260"/>
      <c r="Z89" s="260"/>
      <c r="AB89" s="261"/>
      <c r="AC89" s="259"/>
      <c r="AD89" s="261"/>
      <c r="AF89" s="260"/>
      <c r="AG89" s="262"/>
      <c r="AI89" s="260"/>
      <c r="AJ89" s="279"/>
      <c r="AK89" s="457"/>
      <c r="AL89" s="457"/>
      <c r="AM89" s="262"/>
      <c r="AO89" s="458"/>
      <c r="AP89" s="458"/>
      <c r="AQ89" s="260"/>
      <c r="AR89" s="262"/>
      <c r="AS89" s="262"/>
      <c r="AT89" s="279"/>
      <c r="AU89" s="260"/>
      <c r="AV89" s="279"/>
      <c r="AY89" s="262"/>
      <c r="BC89" s="260"/>
      <c r="BD89" s="262"/>
      <c r="BQ89" s="260"/>
      <c r="BR89" s="279"/>
      <c r="BU89" s="262"/>
      <c r="BY89" s="260"/>
      <c r="BZ89" s="262"/>
      <c r="CB89" s="260"/>
      <c r="CC89" s="279"/>
      <c r="CF89" s="262"/>
      <c r="CJ89" s="260"/>
      <c r="CK89" s="262"/>
      <c r="CM89" s="260"/>
      <c r="CN89" s="279"/>
      <c r="CQ89" s="262"/>
      <c r="CU89" s="260"/>
      <c r="CV89" s="262"/>
      <c r="CX89" s="260"/>
      <c r="CY89" s="279"/>
      <c r="DB89" s="262"/>
      <c r="DF89" s="260"/>
      <c r="DG89" s="262"/>
      <c r="DI89" s="260"/>
      <c r="DJ89" s="279"/>
      <c r="DM89" s="262"/>
      <c r="DQ89" s="260"/>
      <c r="DR89" s="262"/>
      <c r="DT89" s="260"/>
      <c r="DU89" s="279"/>
      <c r="DX89" s="262"/>
      <c r="EB89" s="260"/>
      <c r="EC89" s="262"/>
      <c r="ED89" s="274"/>
      <c r="EI89" s="260" t="s">
        <v>455</v>
      </c>
      <c r="EJ89" s="291">
        <f>0.33*(EG90^2/(2*32.2))</f>
        <v>7.8092328378386852E-2</v>
      </c>
      <c r="EL89" s="260" t="s">
        <v>456</v>
      </c>
      <c r="EM89" s="277">
        <f>EH87+('[3]Storm Sewer -10yr'!$W20/12)</f>
        <v>99.94250000000001</v>
      </c>
      <c r="EN89" s="262"/>
    </row>
    <row r="90" spans="2:176" ht="12" customHeight="1">
      <c r="C90" s="259"/>
      <c r="D90" s="457"/>
      <c r="E90" s="457"/>
      <c r="F90" s="259"/>
      <c r="H90" s="260"/>
      <c r="J90" s="260"/>
      <c r="K90" s="262"/>
      <c r="N90" s="259"/>
      <c r="O90" s="457"/>
      <c r="P90" s="457"/>
      <c r="Q90" s="262"/>
      <c r="S90" s="260"/>
      <c r="U90" s="260"/>
      <c r="V90" s="262"/>
      <c r="Y90" s="260"/>
      <c r="AB90" s="272"/>
      <c r="AC90" s="260"/>
      <c r="AD90" s="319"/>
      <c r="AF90" s="260"/>
      <c r="AG90" s="262"/>
      <c r="AJ90" s="259"/>
      <c r="AK90" s="457"/>
      <c r="AL90" s="457"/>
      <c r="AM90" s="262"/>
      <c r="AO90" s="260"/>
      <c r="AQ90" s="260"/>
      <c r="AR90" s="262"/>
      <c r="AS90" s="262"/>
      <c r="AT90" s="259"/>
      <c r="AV90" s="259"/>
      <c r="AY90" s="262"/>
      <c r="BA90" s="260"/>
      <c r="BC90" s="260"/>
      <c r="BD90" s="262"/>
      <c r="BF90" s="260"/>
      <c r="BG90" s="279"/>
      <c r="BH90" s="260"/>
      <c r="BI90" s="260"/>
      <c r="BJ90" s="262"/>
      <c r="BL90" s="259"/>
      <c r="BM90" s="259"/>
      <c r="BN90" s="260"/>
      <c r="BO90" s="262"/>
      <c r="BR90" s="259"/>
      <c r="BU90" s="262"/>
      <c r="BW90" s="260"/>
      <c r="BY90" s="260"/>
      <c r="BZ90" s="262"/>
      <c r="CC90" s="259"/>
      <c r="CF90" s="262"/>
      <c r="CH90" s="260"/>
      <c r="CJ90" s="260"/>
      <c r="CK90" s="262"/>
      <c r="CN90" s="259"/>
      <c r="CQ90" s="262"/>
      <c r="CS90" s="260"/>
      <c r="CU90" s="260"/>
      <c r="CV90" s="262"/>
      <c r="CY90" s="259"/>
      <c r="DB90" s="262"/>
      <c r="DD90" s="260"/>
      <c r="DF90" s="260"/>
      <c r="DG90" s="262"/>
      <c r="DJ90" s="259"/>
      <c r="DM90" s="262"/>
      <c r="DO90" s="260"/>
      <c r="DQ90" s="260"/>
      <c r="DR90" s="262"/>
      <c r="DU90" s="259"/>
      <c r="DX90" s="262"/>
      <c r="DZ90" s="260"/>
      <c r="EB90" s="260"/>
      <c r="EC90" s="262"/>
      <c r="ED90" s="283" t="s">
        <v>457</v>
      </c>
      <c r="EE90" s="285">
        <f>'[3]Storm Sewer -10yr'!J20*8</f>
        <v>0.35200000000000004</v>
      </c>
      <c r="EF90" s="260" t="s">
        <v>458</v>
      </c>
      <c r="EG90" s="285">
        <f>'[3]Storm Sewer -10yr'!T20</f>
        <v>3.9038232804203443</v>
      </c>
      <c r="EI90" s="260" t="s">
        <v>459</v>
      </c>
      <c r="EJ90" s="292">
        <f>(EG90^2/(2*32.2))-(EG91^2/(2*32.2))</f>
        <v>0</v>
      </c>
      <c r="EM90" s="293"/>
      <c r="EN90" s="262"/>
    </row>
    <row r="91" spans="2:176" ht="12" customHeight="1">
      <c r="G91" s="260"/>
      <c r="H91" s="290"/>
      <c r="J91" s="260"/>
      <c r="K91" s="259"/>
      <c r="R91" s="260"/>
      <c r="S91" s="290"/>
      <c r="U91" s="260"/>
      <c r="V91" s="262"/>
      <c r="AN91" s="260"/>
      <c r="AO91" s="290"/>
      <c r="AQ91" s="260"/>
      <c r="AR91" s="262"/>
      <c r="AS91" s="262"/>
      <c r="AZ91" s="260"/>
      <c r="BA91" s="290"/>
      <c r="BC91" s="260"/>
      <c r="BD91" s="262"/>
      <c r="BF91" s="260"/>
      <c r="BG91" s="259"/>
      <c r="BH91" s="260"/>
      <c r="BI91" s="260"/>
      <c r="BJ91" s="262"/>
      <c r="BL91" s="260"/>
      <c r="BN91" s="260"/>
      <c r="BO91" s="262"/>
      <c r="BV91" s="260"/>
      <c r="BW91" s="290"/>
      <c r="BY91" s="260"/>
      <c r="BZ91" s="262"/>
      <c r="CG91" s="260"/>
      <c r="CH91" s="290"/>
      <c r="CJ91" s="260"/>
      <c r="CK91" s="262"/>
      <c r="CR91" s="260"/>
      <c r="CS91" s="290"/>
      <c r="CU91" s="260"/>
      <c r="CV91" s="262"/>
      <c r="DC91" s="260"/>
      <c r="DD91" s="290"/>
      <c r="DF91" s="260"/>
      <c r="DG91" s="262"/>
      <c r="DN91" s="260"/>
      <c r="DO91" s="290"/>
      <c r="DQ91" s="260"/>
      <c r="DR91" s="262"/>
      <c r="DY91" s="260"/>
      <c r="DZ91" s="290"/>
      <c r="EB91" s="260"/>
      <c r="EC91" s="262"/>
      <c r="ED91" s="283" t="s">
        <v>460</v>
      </c>
      <c r="EE91" s="285">
        <f>EE90</f>
        <v>0.35200000000000004</v>
      </c>
      <c r="EF91" s="260" t="s">
        <v>461</v>
      </c>
      <c r="EG91" s="285">
        <f>EG90</f>
        <v>3.9038232804203443</v>
      </c>
      <c r="EI91" s="260" t="s">
        <v>462</v>
      </c>
      <c r="EJ91" s="291">
        <f>IF(EK88=0, 0, IF(EK88&gt;45,0.22*(EG90^2/(2*32.2))*2,IF(EK88=45,0.22*(EG90^2/(2*32.2)),0.22*(EG90^2/(2*32.2))*(2/3))))</f>
        <v>0.1041231045045158</v>
      </c>
      <c r="EL91" s="294" t="s">
        <v>463</v>
      </c>
      <c r="EM91" s="277">
        <f>MAX(EM88:EM89)</f>
        <v>101.29059106787589</v>
      </c>
      <c r="EN91" s="262"/>
    </row>
    <row r="92" spans="2:176" ht="12" customHeight="1">
      <c r="B92" s="260"/>
      <c r="C92" s="262"/>
      <c r="D92" s="260"/>
      <c r="E92" s="262"/>
      <c r="G92" s="260"/>
      <c r="H92" s="290"/>
      <c r="M92" s="260"/>
      <c r="N92" s="262"/>
      <c r="O92" s="260"/>
      <c r="P92" s="262"/>
      <c r="R92" s="260"/>
      <c r="S92" s="290"/>
      <c r="X92" s="260"/>
      <c r="Y92" s="279"/>
      <c r="Z92" s="457"/>
      <c r="AA92" s="457"/>
      <c r="AB92" s="262"/>
      <c r="AD92" s="458"/>
      <c r="AE92" s="458"/>
      <c r="AF92" s="260"/>
      <c r="AG92" s="262"/>
      <c r="AI92" s="260"/>
      <c r="AJ92" s="262"/>
      <c r="AK92" s="260"/>
      <c r="AL92" s="262"/>
      <c r="AN92" s="260"/>
      <c r="AO92" s="290"/>
      <c r="AT92" s="262"/>
      <c r="AU92" s="260"/>
      <c r="AV92" s="262"/>
      <c r="AW92" s="260"/>
      <c r="AX92" s="262"/>
      <c r="AZ92" s="260"/>
      <c r="BA92" s="290"/>
      <c r="BE92" s="260"/>
      <c r="BK92" s="260"/>
      <c r="BL92" s="290"/>
      <c r="BN92" s="260"/>
      <c r="BO92" s="262"/>
      <c r="BQ92" s="260"/>
      <c r="BR92" s="262"/>
      <c r="BS92" s="260"/>
      <c r="BT92" s="262"/>
      <c r="BV92" s="260"/>
      <c r="BW92" s="290"/>
      <c r="CB92" s="260"/>
      <c r="CC92" s="262"/>
      <c r="CD92" s="260"/>
      <c r="CE92" s="262"/>
      <c r="CG92" s="260"/>
      <c r="CH92" s="290"/>
      <c r="CM92" s="260"/>
      <c r="CN92" s="262"/>
      <c r="CO92" s="260"/>
      <c r="CP92" s="262"/>
      <c r="CR92" s="260"/>
      <c r="CS92" s="290"/>
      <c r="CX92" s="260"/>
      <c r="CY92" s="262"/>
      <c r="CZ92" s="260"/>
      <c r="DA92" s="262"/>
      <c r="DC92" s="260"/>
      <c r="DD92" s="290"/>
      <c r="DI92" s="260"/>
      <c r="DJ92" s="262"/>
      <c r="DK92" s="260"/>
      <c r="DL92" s="262"/>
      <c r="DN92" s="260"/>
      <c r="DO92" s="290"/>
      <c r="DT92" s="260"/>
      <c r="DU92" s="262"/>
      <c r="DV92" s="260"/>
      <c r="DW92" s="262"/>
      <c r="DY92" s="260"/>
      <c r="DZ92" s="290"/>
      <c r="ED92" s="283" t="s">
        <v>464</v>
      </c>
      <c r="EE92" s="288"/>
      <c r="EF92" s="260" t="s">
        <v>465</v>
      </c>
      <c r="EG92" s="285"/>
      <c r="EI92" s="260" t="s">
        <v>466</v>
      </c>
      <c r="EJ92" s="292">
        <f>EG91^2/(2*32.2)*(1-(EE91/(EE91+EE92)))</f>
        <v>0</v>
      </c>
      <c r="EL92" s="260" t="s">
        <v>467</v>
      </c>
      <c r="EM92" s="277">
        <f>EJ93</f>
        <v>0.18221543288290265</v>
      </c>
    </row>
    <row r="93" spans="2:176" ht="12" customHeight="1">
      <c r="B93" s="260"/>
      <c r="C93" s="262"/>
      <c r="D93" s="260"/>
      <c r="E93" s="262"/>
      <c r="G93" s="260"/>
      <c r="H93" s="290"/>
      <c r="J93" s="294"/>
      <c r="K93" s="262"/>
      <c r="M93" s="260"/>
      <c r="N93" s="262"/>
      <c r="O93" s="260"/>
      <c r="P93" s="262"/>
      <c r="R93" s="260"/>
      <c r="S93" s="290"/>
      <c r="U93" s="294"/>
      <c r="V93" s="262"/>
      <c r="Y93" s="259"/>
      <c r="Z93" s="457"/>
      <c r="AA93" s="457"/>
      <c r="AB93" s="262"/>
      <c r="AD93" s="260"/>
      <c r="AF93" s="260"/>
      <c r="AG93" s="262"/>
      <c r="AI93" s="260"/>
      <c r="AJ93" s="262"/>
      <c r="AK93" s="260"/>
      <c r="AL93" s="262"/>
      <c r="AN93" s="260"/>
      <c r="AO93" s="290"/>
      <c r="AQ93" s="294"/>
      <c r="AR93" s="262"/>
      <c r="AS93" s="262"/>
      <c r="AT93" s="262"/>
      <c r="AU93" s="260"/>
      <c r="AV93" s="262"/>
      <c r="AW93" s="260"/>
      <c r="AX93" s="262"/>
      <c r="AZ93" s="260"/>
      <c r="BA93" s="290"/>
      <c r="BC93" s="294"/>
      <c r="BD93" s="262"/>
      <c r="BE93" s="260"/>
      <c r="BF93" s="260"/>
      <c r="BG93" s="262"/>
      <c r="BH93" s="260"/>
      <c r="BI93" s="262"/>
      <c r="BK93" s="260"/>
      <c r="BL93" s="290"/>
      <c r="BQ93" s="260"/>
      <c r="BR93" s="262"/>
      <c r="BS93" s="260"/>
      <c r="BT93" s="262"/>
      <c r="BV93" s="260"/>
      <c r="BW93" s="290"/>
      <c r="BY93" s="294"/>
      <c r="BZ93" s="262"/>
      <c r="CB93" s="260"/>
      <c r="CC93" s="262"/>
      <c r="CD93" s="260"/>
      <c r="CE93" s="262"/>
      <c r="CG93" s="260"/>
      <c r="CH93" s="290"/>
      <c r="CJ93" s="294"/>
      <c r="CK93" s="262"/>
      <c r="CM93" s="260"/>
      <c r="CN93" s="262"/>
      <c r="CO93" s="260"/>
      <c r="CP93" s="262"/>
      <c r="CR93" s="260"/>
      <c r="CS93" s="290"/>
      <c r="CU93" s="294"/>
      <c r="CV93" s="262"/>
      <c r="CX93" s="260"/>
      <c r="CY93" s="262"/>
      <c r="CZ93" s="260"/>
      <c r="DA93" s="262"/>
      <c r="DC93" s="260"/>
      <c r="DD93" s="290"/>
      <c r="DF93" s="294"/>
      <c r="DG93" s="262"/>
      <c r="DI93" s="260"/>
      <c r="DJ93" s="262"/>
      <c r="DK93" s="260"/>
      <c r="DL93" s="262"/>
      <c r="DN93" s="260"/>
      <c r="DO93" s="290"/>
      <c r="DQ93" s="294"/>
      <c r="DR93" s="262"/>
      <c r="DT93" s="260"/>
      <c r="DU93" s="262"/>
      <c r="DV93" s="260"/>
      <c r="DW93" s="262"/>
      <c r="DY93" s="260"/>
      <c r="DZ93" s="290"/>
      <c r="EB93" s="294"/>
      <c r="EC93" s="262"/>
      <c r="ED93" s="283" t="s">
        <v>468</v>
      </c>
      <c r="EE93" s="285"/>
      <c r="EF93" s="260" t="s">
        <v>469</v>
      </c>
      <c r="EG93" s="285"/>
      <c r="EI93" s="260" t="s">
        <v>470</v>
      </c>
      <c r="EJ93" s="295">
        <f>SUM(EJ89:EJ92)</f>
        <v>0.18221543288290265</v>
      </c>
      <c r="EM93" s="293"/>
      <c r="EN93" s="262"/>
    </row>
    <row r="94" spans="2:176" ht="12" customHeight="1" thickBot="1">
      <c r="B94" s="260"/>
      <c r="C94" s="262"/>
      <c r="D94" s="260"/>
      <c r="E94" s="262"/>
      <c r="G94" s="260"/>
      <c r="H94" s="290"/>
      <c r="J94" s="260"/>
      <c r="K94" s="262"/>
      <c r="M94" s="260"/>
      <c r="N94" s="262"/>
      <c r="O94" s="260"/>
      <c r="P94" s="262"/>
      <c r="R94" s="260"/>
      <c r="S94" s="290"/>
      <c r="U94" s="260"/>
      <c r="V94" s="262"/>
      <c r="AC94" s="260"/>
      <c r="AD94" s="290"/>
      <c r="AF94" s="260"/>
      <c r="AG94" s="262"/>
      <c r="AI94" s="260"/>
      <c r="AJ94" s="262"/>
      <c r="AK94" s="260"/>
      <c r="AL94" s="262"/>
      <c r="AN94" s="260"/>
      <c r="AO94" s="290"/>
      <c r="AQ94" s="260"/>
      <c r="AR94" s="262"/>
      <c r="AS94" s="262"/>
      <c r="AT94" s="262"/>
      <c r="AU94" s="260"/>
      <c r="AV94" s="262"/>
      <c r="AW94" s="260"/>
      <c r="AX94" s="262"/>
      <c r="AZ94" s="260"/>
      <c r="BA94" s="290"/>
      <c r="BC94" s="260"/>
      <c r="BD94" s="262"/>
      <c r="BE94" s="260"/>
      <c r="BF94" s="260"/>
      <c r="BG94" s="262"/>
      <c r="BH94" s="260"/>
      <c r="BI94" s="262"/>
      <c r="BK94" s="260"/>
      <c r="BL94" s="290"/>
      <c r="BN94" s="294"/>
      <c r="BO94" s="262"/>
      <c r="BQ94" s="260"/>
      <c r="BR94" s="262"/>
      <c r="BS94" s="260"/>
      <c r="BT94" s="262"/>
      <c r="BV94" s="260"/>
      <c r="BW94" s="290"/>
      <c r="BY94" s="260"/>
      <c r="BZ94" s="262"/>
      <c r="CB94" s="260"/>
      <c r="CC94" s="262"/>
      <c r="CD94" s="260"/>
      <c r="CE94" s="262"/>
      <c r="CG94" s="260"/>
      <c r="CH94" s="290"/>
      <c r="CJ94" s="260"/>
      <c r="CK94" s="262"/>
      <c r="CM94" s="260"/>
      <c r="CN94" s="262"/>
      <c r="CO94" s="260"/>
      <c r="CP94" s="262"/>
      <c r="CR94" s="260"/>
      <c r="CS94" s="290"/>
      <c r="CU94" s="260"/>
      <c r="CV94" s="262"/>
      <c r="CX94" s="260"/>
      <c r="CY94" s="262"/>
      <c r="CZ94" s="260"/>
      <c r="DA94" s="262"/>
      <c r="DC94" s="260"/>
      <c r="DD94" s="290"/>
      <c r="DF94" s="260"/>
      <c r="DG94" s="262"/>
      <c r="DI94" s="260"/>
      <c r="DJ94" s="262"/>
      <c r="DK94" s="260"/>
      <c r="DL94" s="262"/>
      <c r="DN94" s="260"/>
      <c r="DO94" s="290"/>
      <c r="DQ94" s="260"/>
      <c r="DR94" s="262"/>
      <c r="DT94" s="260"/>
      <c r="DU94" s="262"/>
      <c r="DV94" s="260"/>
      <c r="DW94" s="262"/>
      <c r="DY94" s="260"/>
      <c r="DZ94" s="290"/>
      <c r="EB94" s="260"/>
      <c r="EC94" s="262"/>
      <c r="ED94" s="302"/>
      <c r="EE94" s="299"/>
      <c r="EF94" s="299"/>
      <c r="EG94" s="299"/>
      <c r="EH94" s="299"/>
      <c r="EI94" s="299"/>
      <c r="EJ94" s="299"/>
      <c r="EK94" s="299"/>
      <c r="EL94" s="300" t="s">
        <v>471</v>
      </c>
      <c r="EM94" s="301">
        <f>EM91+EM92</f>
        <v>101.47280650075879</v>
      </c>
      <c r="EN94" s="262"/>
    </row>
    <row r="95" spans="2:176" ht="12" customHeight="1">
      <c r="B95" s="260"/>
      <c r="C95" s="262"/>
      <c r="D95" s="260"/>
      <c r="E95" s="262"/>
      <c r="G95" s="260"/>
      <c r="H95" s="290"/>
      <c r="M95" s="260"/>
      <c r="N95" s="262"/>
      <c r="O95" s="260"/>
      <c r="P95" s="262"/>
      <c r="R95" s="260"/>
      <c r="S95" s="290"/>
      <c r="X95" s="260"/>
      <c r="Y95" s="262"/>
      <c r="Z95" s="260"/>
      <c r="AA95" s="262"/>
      <c r="AC95" s="260"/>
      <c r="AD95" s="290"/>
      <c r="AI95" s="260"/>
      <c r="AJ95" s="262"/>
      <c r="AK95" s="260"/>
      <c r="AL95" s="262"/>
      <c r="AN95" s="260"/>
      <c r="AO95" s="290"/>
      <c r="AT95" s="262"/>
      <c r="AU95" s="260"/>
      <c r="AV95" s="262"/>
      <c r="AW95" s="260"/>
      <c r="AX95" s="262"/>
      <c r="AZ95" s="260"/>
      <c r="BA95" s="290"/>
      <c r="BE95" s="260"/>
      <c r="BF95" s="260"/>
      <c r="BG95" s="262"/>
      <c r="BH95" s="260"/>
      <c r="BI95" s="262"/>
      <c r="BK95" s="260"/>
      <c r="BL95" s="290"/>
      <c r="BN95" s="260"/>
      <c r="BO95" s="262"/>
      <c r="BQ95" s="260"/>
      <c r="BR95" s="262"/>
      <c r="BS95" s="260"/>
      <c r="BT95" s="262"/>
      <c r="BV95" s="260"/>
      <c r="BW95" s="290"/>
      <c r="CB95" s="260"/>
      <c r="CC95" s="262"/>
      <c r="CD95" s="260"/>
      <c r="CE95" s="262"/>
      <c r="CG95" s="260"/>
      <c r="CH95" s="290"/>
      <c r="CM95" s="260"/>
      <c r="CN95" s="262"/>
      <c r="CO95" s="260"/>
      <c r="CP95" s="262"/>
      <c r="CR95" s="260"/>
      <c r="CS95" s="290"/>
      <c r="CX95" s="260"/>
      <c r="CY95" s="262"/>
      <c r="CZ95" s="260"/>
      <c r="DA95" s="262"/>
      <c r="DC95" s="260"/>
      <c r="DD95" s="290"/>
      <c r="DI95" s="260"/>
      <c r="DJ95" s="262"/>
      <c r="DK95" s="260"/>
      <c r="DL95" s="262"/>
      <c r="DN95" s="260"/>
      <c r="DO95" s="290"/>
      <c r="DT95" s="260"/>
      <c r="DU95" s="262"/>
      <c r="DV95" s="260"/>
      <c r="DW95" s="262"/>
      <c r="DY95" s="260"/>
      <c r="DZ95" s="290"/>
      <c r="EE95" s="260"/>
      <c r="EF95" s="262"/>
      <c r="EG95" s="260"/>
      <c r="EH95" s="262"/>
      <c r="EJ95" s="260"/>
      <c r="EK95" s="290"/>
    </row>
    <row r="96" spans="2:176" ht="12" customHeight="1">
      <c r="J96" s="260"/>
      <c r="K96" s="296"/>
      <c r="U96" s="260"/>
      <c r="V96" s="296"/>
      <c r="X96" s="260"/>
      <c r="Y96" s="262"/>
      <c r="Z96" s="260"/>
      <c r="AA96" s="262"/>
      <c r="AC96" s="260"/>
      <c r="AD96" s="290"/>
      <c r="AF96" s="294"/>
      <c r="AG96" s="262"/>
      <c r="AQ96" s="260"/>
      <c r="AR96" s="296"/>
      <c r="AS96" s="296"/>
      <c r="BC96" s="260"/>
      <c r="BD96" s="296"/>
      <c r="BF96" s="260"/>
      <c r="BG96" s="262"/>
      <c r="BH96" s="260"/>
      <c r="BI96" s="262"/>
      <c r="BK96" s="260"/>
      <c r="BL96" s="290"/>
      <c r="BY96" s="260"/>
      <c r="BZ96" s="296"/>
      <c r="CJ96" s="260"/>
      <c r="CK96" s="296"/>
      <c r="CU96" s="260"/>
      <c r="CV96" s="296"/>
      <c r="DF96" s="260"/>
      <c r="DG96" s="296"/>
      <c r="DQ96" s="260"/>
      <c r="DR96" s="296"/>
      <c r="EB96" s="260"/>
      <c r="EC96" s="296"/>
      <c r="EM96" s="260"/>
      <c r="EN96" s="296"/>
    </row>
    <row r="97" spans="2:144" ht="12" customHeight="1">
      <c r="J97" s="260"/>
      <c r="K97" s="296"/>
      <c r="U97" s="260"/>
      <c r="V97" s="296"/>
      <c r="X97" s="260"/>
      <c r="Y97" s="262"/>
      <c r="Z97" s="260"/>
      <c r="AA97" s="262"/>
      <c r="AC97" s="260"/>
      <c r="AD97" s="290"/>
      <c r="AF97" s="260"/>
      <c r="AG97" s="262"/>
      <c r="AQ97" s="260"/>
      <c r="AR97" s="296"/>
      <c r="AS97" s="296"/>
      <c r="BC97" s="260"/>
      <c r="BD97" s="296"/>
      <c r="BN97" s="260"/>
      <c r="BO97" s="296"/>
      <c r="BY97" s="260"/>
      <c r="BZ97" s="296"/>
      <c r="CJ97" s="260"/>
      <c r="CK97" s="296"/>
      <c r="CU97" s="260"/>
      <c r="CV97" s="296"/>
      <c r="DF97" s="260"/>
      <c r="DG97" s="296"/>
      <c r="DQ97" s="260"/>
      <c r="DR97" s="296"/>
      <c r="EB97" s="260"/>
      <c r="EC97" s="296"/>
      <c r="EM97" s="260"/>
      <c r="EN97" s="296"/>
    </row>
    <row r="98" spans="2:144" ht="12" customHeight="1">
      <c r="J98" s="260"/>
      <c r="K98" s="296"/>
      <c r="X98" s="260"/>
      <c r="Y98" s="262"/>
      <c r="Z98" s="260"/>
      <c r="AA98" s="262"/>
      <c r="AC98" s="260"/>
      <c r="AD98" s="290"/>
      <c r="BN98" s="260"/>
      <c r="BO98" s="296"/>
    </row>
    <row r="99" spans="2:144" ht="12" customHeight="1">
      <c r="AF99" s="260"/>
      <c r="AG99" s="296"/>
    </row>
    <row r="100" spans="2:144" ht="12" customHeight="1">
      <c r="B100" s="260"/>
      <c r="D100" s="260"/>
      <c r="F100" s="261"/>
      <c r="G100" s="259"/>
      <c r="H100" s="261"/>
      <c r="J100" s="260"/>
      <c r="K100" s="262"/>
      <c r="AF100" s="260"/>
      <c r="AG100" s="296"/>
    </row>
    <row r="101" spans="2:144" ht="12" customHeight="1">
      <c r="C101" s="260"/>
      <c r="F101" s="321"/>
      <c r="G101" s="260"/>
      <c r="H101" s="273"/>
      <c r="J101" s="260"/>
      <c r="K101" s="259"/>
      <c r="BF101" s="260"/>
      <c r="BH101" s="260"/>
      <c r="BJ101" s="261"/>
      <c r="BK101" s="259"/>
      <c r="BL101" s="261"/>
      <c r="BN101" s="260"/>
      <c r="BO101" s="262"/>
    </row>
    <row r="102" spans="2:144" ht="12" customHeight="1">
      <c r="BG102" s="260"/>
      <c r="BJ102" s="272"/>
      <c r="BK102" s="260"/>
      <c r="BL102" s="273"/>
      <c r="BN102" s="260"/>
      <c r="BO102" s="262"/>
    </row>
    <row r="103" spans="2:144" ht="12" customHeight="1">
      <c r="B103" s="260"/>
      <c r="C103" s="279"/>
      <c r="D103" s="457"/>
      <c r="E103" s="457"/>
      <c r="F103" s="259"/>
      <c r="H103" s="458"/>
      <c r="I103" s="458"/>
      <c r="J103" s="260"/>
      <c r="K103" s="262"/>
    </row>
    <row r="104" spans="2:144" ht="12" customHeight="1">
      <c r="C104" s="259"/>
      <c r="D104" s="457"/>
      <c r="E104" s="457"/>
      <c r="F104" s="259"/>
      <c r="H104" s="260"/>
      <c r="J104" s="260"/>
      <c r="K104" s="262"/>
      <c r="BF104" s="260"/>
      <c r="BG104" s="279"/>
      <c r="BH104" s="260"/>
      <c r="BI104" s="260"/>
      <c r="BJ104" s="262"/>
      <c r="BL104" s="259"/>
      <c r="BM104" s="259"/>
      <c r="BN104" s="260"/>
      <c r="BO104" s="262"/>
    </row>
    <row r="105" spans="2:144" ht="12" customHeight="1">
      <c r="G105" s="260"/>
      <c r="H105" s="290"/>
      <c r="J105" s="260"/>
      <c r="K105" s="262"/>
      <c r="BF105" s="260"/>
      <c r="BG105" s="259"/>
      <c r="BH105" s="260"/>
      <c r="BI105" s="260"/>
      <c r="BJ105" s="262"/>
      <c r="BL105" s="260"/>
      <c r="BN105" s="260"/>
      <c r="BO105" s="262"/>
    </row>
    <row r="106" spans="2:144" ht="12" customHeight="1">
      <c r="B106" s="260"/>
      <c r="C106" s="262"/>
      <c r="D106" s="260"/>
      <c r="E106" s="262"/>
      <c r="G106" s="260"/>
      <c r="H106" s="290"/>
      <c r="BK106" s="260"/>
      <c r="BL106" s="290"/>
      <c r="BN106" s="260"/>
      <c r="BO106" s="262"/>
    </row>
    <row r="107" spans="2:144" ht="12" customHeight="1">
      <c r="B107" s="260"/>
      <c r="C107" s="262"/>
      <c r="D107" s="260"/>
      <c r="E107" s="262"/>
      <c r="G107" s="260"/>
      <c r="H107" s="290"/>
      <c r="J107" s="294"/>
      <c r="K107" s="262"/>
      <c r="BF107" s="260"/>
      <c r="BG107" s="262"/>
      <c r="BH107" s="260"/>
      <c r="BI107" s="262"/>
      <c r="BK107" s="260"/>
      <c r="BL107" s="290"/>
    </row>
    <row r="108" spans="2:144" ht="12" customHeight="1">
      <c r="B108" s="260"/>
      <c r="C108" s="262"/>
      <c r="D108" s="260"/>
      <c r="E108" s="262"/>
      <c r="G108" s="260"/>
      <c r="H108" s="290"/>
      <c r="J108" s="260"/>
      <c r="K108" s="262"/>
      <c r="BF108" s="260"/>
      <c r="BG108" s="262"/>
      <c r="BH108" s="260"/>
      <c r="BI108" s="262"/>
      <c r="BK108" s="260"/>
      <c r="BL108" s="290"/>
      <c r="BN108" s="294"/>
      <c r="BO108" s="262"/>
    </row>
    <row r="109" spans="2:144" ht="12" customHeight="1">
      <c r="B109" s="260"/>
      <c r="C109" s="262"/>
      <c r="D109" s="260"/>
      <c r="E109" s="262"/>
      <c r="G109" s="260"/>
      <c r="H109" s="290"/>
      <c r="BF109" s="260"/>
      <c r="BG109" s="262"/>
      <c r="BH109" s="260"/>
      <c r="BI109" s="262"/>
      <c r="BK109" s="260"/>
      <c r="BL109" s="290"/>
      <c r="BN109" s="260"/>
      <c r="BO109" s="262"/>
    </row>
    <row r="110" spans="2:144" ht="12" customHeight="1">
      <c r="J110" s="260"/>
      <c r="K110" s="296"/>
      <c r="BF110" s="260"/>
      <c r="BG110" s="262"/>
      <c r="BH110" s="260"/>
      <c r="BI110" s="262"/>
      <c r="BK110" s="260"/>
      <c r="BL110" s="290"/>
    </row>
    <row r="111" spans="2:144" ht="12" customHeight="1">
      <c r="J111" s="260"/>
      <c r="K111" s="296"/>
      <c r="BN111" s="260"/>
      <c r="BO111" s="296"/>
    </row>
    <row r="112" spans="2:144" ht="12" customHeight="1">
      <c r="J112" s="260"/>
      <c r="K112" s="296"/>
      <c r="BN112" s="260"/>
      <c r="BO112" s="296"/>
    </row>
    <row r="114" spans="2:67" ht="12" customHeight="1">
      <c r="B114" s="260"/>
      <c r="D114" s="260"/>
      <c r="F114" s="261"/>
      <c r="G114" s="259"/>
      <c r="H114" s="261"/>
      <c r="J114" s="260"/>
      <c r="K114" s="262"/>
    </row>
    <row r="115" spans="2:67" ht="12" customHeight="1">
      <c r="C115" s="260"/>
      <c r="F115" s="321"/>
      <c r="G115" s="260"/>
      <c r="H115" s="273"/>
      <c r="J115" s="260"/>
      <c r="K115" s="259"/>
      <c r="BF115" s="260"/>
      <c r="BH115" s="260"/>
      <c r="BJ115" s="261"/>
      <c r="BK115" s="259"/>
      <c r="BL115" s="261"/>
      <c r="BN115" s="260"/>
      <c r="BO115" s="262"/>
    </row>
    <row r="116" spans="2:67" ht="12" customHeight="1">
      <c r="BG116" s="260"/>
      <c r="BJ116" s="272"/>
      <c r="BK116" s="260"/>
      <c r="BL116" s="273"/>
      <c r="BN116" s="260"/>
      <c r="BO116" s="262"/>
    </row>
    <row r="117" spans="2:67" ht="12" customHeight="1">
      <c r="B117" s="260"/>
      <c r="C117" s="279"/>
      <c r="D117" s="457"/>
      <c r="E117" s="457"/>
      <c r="F117" s="259"/>
      <c r="H117" s="458"/>
      <c r="I117" s="458"/>
      <c r="J117" s="260"/>
      <c r="K117" s="262"/>
    </row>
    <row r="118" spans="2:67" ht="12" customHeight="1">
      <c r="C118" s="259"/>
      <c r="D118" s="457"/>
      <c r="E118" s="457"/>
      <c r="F118" s="259"/>
      <c r="H118" s="260"/>
      <c r="J118" s="260"/>
      <c r="K118" s="262"/>
      <c r="BF118" s="260"/>
      <c r="BG118" s="279"/>
      <c r="BH118" s="260"/>
      <c r="BI118" s="260"/>
      <c r="BJ118" s="262"/>
      <c r="BL118" s="259"/>
      <c r="BM118" s="259"/>
      <c r="BN118" s="260"/>
      <c r="BO118" s="262"/>
    </row>
    <row r="119" spans="2:67" ht="12" customHeight="1">
      <c r="G119" s="260"/>
      <c r="H119" s="290"/>
      <c r="J119" s="260"/>
      <c r="K119" s="262"/>
      <c r="BF119" s="260"/>
      <c r="BG119" s="259"/>
      <c r="BH119" s="260"/>
      <c r="BI119" s="260"/>
      <c r="BJ119" s="262"/>
      <c r="BL119" s="260"/>
      <c r="BN119" s="260"/>
      <c r="BO119" s="262"/>
    </row>
    <row r="120" spans="2:67" ht="12" customHeight="1">
      <c r="B120" s="260"/>
      <c r="C120" s="262"/>
      <c r="D120" s="260"/>
      <c r="E120" s="262"/>
      <c r="G120" s="260"/>
      <c r="H120" s="290"/>
      <c r="BK120" s="260"/>
      <c r="BL120" s="290"/>
      <c r="BN120" s="260"/>
      <c r="BO120" s="262"/>
    </row>
    <row r="121" spans="2:67" ht="12" customHeight="1">
      <c r="B121" s="260"/>
      <c r="C121" s="262"/>
      <c r="D121" s="260"/>
      <c r="E121" s="262"/>
      <c r="G121" s="260"/>
      <c r="H121" s="290"/>
      <c r="J121" s="294"/>
      <c r="K121" s="262"/>
      <c r="BF121" s="260"/>
      <c r="BG121" s="262"/>
      <c r="BH121" s="260"/>
      <c r="BI121" s="262"/>
      <c r="BK121" s="260"/>
      <c r="BL121" s="290"/>
    </row>
    <row r="122" spans="2:67" ht="12" customHeight="1">
      <c r="B122" s="260"/>
      <c r="C122" s="262"/>
      <c r="D122" s="260"/>
      <c r="E122" s="262"/>
      <c r="G122" s="260"/>
      <c r="H122" s="290"/>
      <c r="J122" s="260"/>
      <c r="K122" s="262"/>
      <c r="BF122" s="260"/>
      <c r="BG122" s="262"/>
      <c r="BH122" s="260"/>
      <c r="BI122" s="262"/>
      <c r="BK122" s="260"/>
      <c r="BL122" s="290"/>
      <c r="BN122" s="294"/>
      <c r="BO122" s="262"/>
    </row>
    <row r="123" spans="2:67" ht="12" customHeight="1">
      <c r="B123" s="260"/>
      <c r="C123" s="262"/>
      <c r="D123" s="260"/>
      <c r="E123" s="262"/>
      <c r="G123" s="260"/>
      <c r="H123" s="290"/>
      <c r="BF123" s="260"/>
      <c r="BG123" s="262"/>
      <c r="BH123" s="260"/>
      <c r="BI123" s="262"/>
      <c r="BK123" s="260"/>
      <c r="BL123" s="290"/>
      <c r="BN123" s="260"/>
      <c r="BO123" s="262"/>
    </row>
    <row r="124" spans="2:67" ht="12" customHeight="1">
      <c r="J124" s="260"/>
      <c r="K124" s="296"/>
      <c r="BF124" s="260"/>
      <c r="BG124" s="262"/>
      <c r="BH124" s="260"/>
      <c r="BI124" s="262"/>
      <c r="BK124" s="260"/>
      <c r="BL124" s="290"/>
    </row>
    <row r="125" spans="2:67" ht="12" customHeight="1">
      <c r="J125" s="260"/>
      <c r="K125" s="296"/>
      <c r="BN125" s="260"/>
      <c r="BO125" s="296"/>
    </row>
    <row r="126" spans="2:67" ht="12" customHeight="1">
      <c r="J126" s="260"/>
      <c r="K126" s="296"/>
    </row>
    <row r="128" spans="2:67" ht="12" customHeight="1">
      <c r="B128" s="260"/>
      <c r="D128" s="260"/>
      <c r="F128" s="261"/>
      <c r="G128" s="259"/>
      <c r="H128" s="261"/>
      <c r="J128" s="260"/>
      <c r="K128" s="262"/>
    </row>
    <row r="129" spans="2:67" ht="12" customHeight="1">
      <c r="C129" s="260"/>
      <c r="F129" s="321"/>
      <c r="G129" s="260"/>
      <c r="H129" s="273"/>
      <c r="J129" s="260"/>
      <c r="K129" s="259"/>
      <c r="BF129" s="260"/>
      <c r="BH129" s="260"/>
      <c r="BJ129" s="261"/>
      <c r="BK129" s="259"/>
      <c r="BL129" s="261"/>
      <c r="BN129" s="260"/>
      <c r="BO129" s="262"/>
    </row>
    <row r="130" spans="2:67" ht="12" customHeight="1">
      <c r="BG130" s="260"/>
      <c r="BJ130" s="272"/>
      <c r="BK130" s="260"/>
      <c r="BL130" s="273"/>
      <c r="BN130" s="260"/>
      <c r="BO130" s="262"/>
    </row>
    <row r="131" spans="2:67" ht="12" customHeight="1">
      <c r="B131" s="260"/>
      <c r="C131" s="279"/>
      <c r="D131" s="457"/>
      <c r="E131" s="457"/>
      <c r="F131" s="259"/>
      <c r="H131" s="458"/>
      <c r="I131" s="458"/>
      <c r="J131" s="260"/>
      <c r="K131" s="262"/>
    </row>
    <row r="132" spans="2:67" ht="12" customHeight="1">
      <c r="C132" s="259"/>
      <c r="D132" s="457"/>
      <c r="E132" s="457"/>
      <c r="F132" s="259"/>
      <c r="H132" s="260"/>
      <c r="J132" s="260"/>
      <c r="K132" s="262"/>
      <c r="BF132" s="260"/>
      <c r="BG132" s="279"/>
      <c r="BH132" s="260"/>
      <c r="BI132" s="260"/>
      <c r="BJ132" s="262"/>
      <c r="BL132" s="259"/>
      <c r="BM132" s="259"/>
      <c r="BN132" s="260"/>
      <c r="BO132" s="262"/>
    </row>
    <row r="133" spans="2:67" ht="12" customHeight="1">
      <c r="G133" s="260"/>
      <c r="H133" s="290"/>
      <c r="J133" s="260"/>
      <c r="K133" s="262"/>
      <c r="BF133" s="260"/>
      <c r="BG133" s="259"/>
      <c r="BH133" s="260"/>
      <c r="BI133" s="260"/>
      <c r="BJ133" s="262"/>
      <c r="BL133" s="260"/>
      <c r="BN133" s="260"/>
      <c r="BO133" s="262"/>
    </row>
    <row r="134" spans="2:67" ht="12" customHeight="1">
      <c r="B134" s="260"/>
      <c r="C134" s="262"/>
      <c r="D134" s="260"/>
      <c r="E134" s="262"/>
      <c r="G134" s="260"/>
      <c r="H134" s="290"/>
      <c r="BK134" s="260"/>
      <c r="BL134" s="290"/>
      <c r="BN134" s="260"/>
      <c r="BO134" s="262"/>
    </row>
    <row r="135" spans="2:67" ht="12" customHeight="1">
      <c r="B135" s="260"/>
      <c r="C135" s="262"/>
      <c r="D135" s="260"/>
      <c r="E135" s="262"/>
      <c r="G135" s="260"/>
      <c r="H135" s="290"/>
      <c r="J135" s="294"/>
      <c r="K135" s="262"/>
      <c r="BF135" s="260"/>
      <c r="BG135" s="262"/>
      <c r="BH135" s="260"/>
      <c r="BI135" s="262"/>
      <c r="BK135" s="260"/>
      <c r="BL135" s="290"/>
    </row>
    <row r="136" spans="2:67" ht="12" customHeight="1">
      <c r="B136" s="260"/>
      <c r="C136" s="262"/>
      <c r="D136" s="260"/>
      <c r="E136" s="262"/>
      <c r="G136" s="260"/>
      <c r="H136" s="290"/>
      <c r="J136" s="260"/>
      <c r="K136" s="262"/>
      <c r="BF136" s="260"/>
      <c r="BG136" s="262"/>
      <c r="BH136" s="260"/>
      <c r="BI136" s="262"/>
      <c r="BK136" s="260"/>
      <c r="BL136" s="290"/>
      <c r="BN136" s="294"/>
      <c r="BO136" s="262"/>
    </row>
    <row r="137" spans="2:67" ht="12" customHeight="1">
      <c r="B137" s="260"/>
      <c r="C137" s="262"/>
      <c r="D137" s="260"/>
      <c r="E137" s="262"/>
      <c r="G137" s="260"/>
      <c r="H137" s="290"/>
      <c r="BF137" s="260"/>
      <c r="BG137" s="262"/>
      <c r="BH137" s="260"/>
      <c r="BI137" s="262"/>
      <c r="BK137" s="260"/>
      <c r="BL137" s="290"/>
      <c r="BN137" s="260"/>
      <c r="BO137" s="262"/>
    </row>
    <row r="138" spans="2:67" ht="12" customHeight="1">
      <c r="J138" s="260"/>
      <c r="K138" s="296"/>
      <c r="BF138" s="260"/>
      <c r="BG138" s="262"/>
      <c r="BH138" s="260"/>
      <c r="BI138" s="262"/>
      <c r="BK138" s="260"/>
      <c r="BL138" s="290"/>
    </row>
    <row r="139" spans="2:67" ht="12" customHeight="1">
      <c r="J139" s="260"/>
      <c r="K139" s="296"/>
      <c r="BN139" s="260"/>
      <c r="BO139" s="296"/>
    </row>
    <row r="140" spans="2:67" ht="12" customHeight="1">
      <c r="J140" s="260"/>
      <c r="K140" s="296"/>
    </row>
    <row r="142" spans="2:67" ht="12" customHeight="1">
      <c r="B142" s="260"/>
      <c r="D142" s="260"/>
      <c r="F142" s="261"/>
      <c r="G142" s="259"/>
      <c r="H142" s="261"/>
      <c r="J142" s="260"/>
      <c r="K142" s="262"/>
    </row>
    <row r="143" spans="2:67" ht="12" customHeight="1">
      <c r="C143" s="260"/>
      <c r="F143" s="321"/>
      <c r="G143" s="260"/>
      <c r="H143" s="273"/>
      <c r="J143" s="260"/>
      <c r="K143" s="259"/>
      <c r="BF143" s="260"/>
      <c r="BH143" s="260"/>
      <c r="BJ143" s="261"/>
      <c r="BK143" s="259"/>
      <c r="BL143" s="261"/>
      <c r="BN143" s="260"/>
      <c r="BO143" s="262"/>
    </row>
    <row r="144" spans="2:67" ht="12" customHeight="1">
      <c r="BG144" s="260"/>
      <c r="BJ144" s="272"/>
      <c r="BK144" s="260"/>
      <c r="BL144" s="273"/>
      <c r="BN144" s="260"/>
      <c r="BO144" s="262"/>
    </row>
    <row r="145" spans="2:67" ht="12" customHeight="1">
      <c r="B145" s="260"/>
      <c r="C145" s="279"/>
      <c r="D145" s="457"/>
      <c r="E145" s="457"/>
      <c r="F145" s="259"/>
      <c r="H145" s="458"/>
      <c r="I145" s="458"/>
      <c r="J145" s="260"/>
      <c r="K145" s="262"/>
    </row>
    <row r="146" spans="2:67" ht="12" customHeight="1">
      <c r="C146" s="259"/>
      <c r="D146" s="457"/>
      <c r="E146" s="457"/>
      <c r="F146" s="259"/>
      <c r="H146" s="260"/>
      <c r="J146" s="260"/>
      <c r="K146" s="262"/>
      <c r="BF146" s="260"/>
      <c r="BG146" s="279"/>
      <c r="BH146" s="260"/>
      <c r="BI146" s="260"/>
      <c r="BJ146" s="262"/>
      <c r="BL146" s="259"/>
      <c r="BM146" s="259"/>
      <c r="BN146" s="260"/>
      <c r="BO146" s="262"/>
    </row>
    <row r="147" spans="2:67" ht="12" customHeight="1">
      <c r="G147" s="260"/>
      <c r="H147" s="290"/>
      <c r="J147" s="260"/>
      <c r="K147" s="262"/>
      <c r="BF147" s="260"/>
      <c r="BG147" s="259"/>
      <c r="BH147" s="260"/>
      <c r="BI147" s="260"/>
      <c r="BJ147" s="262"/>
      <c r="BL147" s="260"/>
      <c r="BN147" s="260"/>
      <c r="BO147" s="262"/>
    </row>
    <row r="148" spans="2:67" ht="12" customHeight="1">
      <c r="B148" s="260"/>
      <c r="C148" s="262"/>
      <c r="D148" s="260"/>
      <c r="E148" s="262"/>
      <c r="G148" s="260"/>
      <c r="H148" s="290"/>
      <c r="BK148" s="260"/>
      <c r="BL148" s="290"/>
      <c r="BN148" s="260"/>
      <c r="BO148" s="262"/>
    </row>
    <row r="149" spans="2:67" ht="12" customHeight="1">
      <c r="B149" s="260"/>
      <c r="C149" s="262"/>
      <c r="D149" s="260"/>
      <c r="E149" s="262"/>
      <c r="G149" s="260"/>
      <c r="H149" s="290"/>
      <c r="J149" s="294"/>
      <c r="K149" s="262"/>
      <c r="BF149" s="260"/>
      <c r="BG149" s="262"/>
      <c r="BH149" s="260"/>
      <c r="BI149" s="262"/>
      <c r="BK149" s="260"/>
      <c r="BL149" s="290"/>
    </row>
    <row r="150" spans="2:67" ht="12" customHeight="1">
      <c r="B150" s="260"/>
      <c r="C150" s="262"/>
      <c r="D150" s="260"/>
      <c r="E150" s="262"/>
      <c r="G150" s="260"/>
      <c r="H150" s="290"/>
      <c r="J150" s="260"/>
      <c r="K150" s="262"/>
      <c r="BF150" s="260"/>
      <c r="BG150" s="262"/>
      <c r="BH150" s="260"/>
      <c r="BI150" s="262"/>
      <c r="BK150" s="260"/>
      <c r="BL150" s="290"/>
      <c r="BN150" s="294"/>
      <c r="BO150" s="262"/>
    </row>
    <row r="151" spans="2:67" ht="12" customHeight="1">
      <c r="B151" s="260"/>
      <c r="C151" s="262"/>
      <c r="D151" s="260"/>
      <c r="E151" s="262"/>
      <c r="G151" s="260"/>
      <c r="H151" s="290"/>
      <c r="BF151" s="260"/>
      <c r="BG151" s="262"/>
      <c r="BH151" s="260"/>
      <c r="BI151" s="262"/>
      <c r="BK151" s="260"/>
      <c r="BL151" s="290"/>
      <c r="BN151" s="260"/>
      <c r="BO151" s="262"/>
    </row>
    <row r="152" spans="2:67" ht="12" customHeight="1">
      <c r="J152" s="260"/>
      <c r="K152" s="296"/>
      <c r="BF152" s="260"/>
      <c r="BG152" s="262"/>
      <c r="BH152" s="260"/>
      <c r="BI152" s="262"/>
      <c r="BK152" s="260"/>
      <c r="BL152" s="290"/>
    </row>
    <row r="153" spans="2:67" ht="12" customHeight="1">
      <c r="J153" s="260"/>
      <c r="K153" s="296"/>
      <c r="BN153" s="260"/>
      <c r="BO153" s="296"/>
    </row>
    <row r="154" spans="2:67" ht="12" customHeight="1">
      <c r="J154" s="260"/>
      <c r="K154" s="296"/>
    </row>
    <row r="156" spans="2:67" ht="12" customHeight="1">
      <c r="B156" s="260"/>
      <c r="D156" s="260"/>
      <c r="F156" s="261"/>
      <c r="G156" s="259"/>
      <c r="H156" s="261"/>
      <c r="J156" s="260"/>
      <c r="K156" s="262"/>
    </row>
    <row r="157" spans="2:67" ht="12" customHeight="1">
      <c r="C157" s="260"/>
      <c r="F157" s="321"/>
      <c r="G157" s="260"/>
      <c r="H157" s="273"/>
      <c r="J157" s="260"/>
      <c r="K157" s="259"/>
      <c r="BF157" s="260"/>
      <c r="BH157" s="260"/>
      <c r="BJ157" s="261"/>
      <c r="BK157" s="259"/>
      <c r="BL157" s="261"/>
      <c r="BN157" s="260"/>
      <c r="BO157" s="262"/>
    </row>
    <row r="158" spans="2:67" ht="12" customHeight="1">
      <c r="BG158" s="260"/>
      <c r="BJ158" s="272"/>
      <c r="BK158" s="260"/>
      <c r="BL158" s="273"/>
      <c r="BN158" s="260"/>
      <c r="BO158" s="262"/>
    </row>
    <row r="159" spans="2:67" ht="12" customHeight="1">
      <c r="B159" s="260"/>
      <c r="C159" s="279"/>
      <c r="D159" s="457"/>
      <c r="E159" s="457"/>
      <c r="F159" s="259"/>
      <c r="H159" s="458"/>
      <c r="I159" s="458"/>
      <c r="J159" s="260"/>
      <c r="K159" s="262"/>
    </row>
    <row r="160" spans="2:67" ht="12" customHeight="1">
      <c r="C160" s="259"/>
      <c r="D160" s="457"/>
      <c r="E160" s="457"/>
      <c r="F160" s="259"/>
      <c r="H160" s="260"/>
      <c r="J160" s="260"/>
      <c r="K160" s="262"/>
      <c r="BF160" s="260"/>
      <c r="BG160" s="279"/>
      <c r="BH160" s="260"/>
      <c r="BI160" s="260"/>
      <c r="BJ160" s="262"/>
      <c r="BL160" s="259"/>
      <c r="BM160" s="259"/>
      <c r="BN160" s="260"/>
      <c r="BO160" s="262"/>
    </row>
    <row r="161" spans="2:67" ht="12" customHeight="1">
      <c r="G161" s="260"/>
      <c r="H161" s="290"/>
      <c r="J161" s="260"/>
      <c r="K161" s="262"/>
      <c r="BF161" s="260"/>
      <c r="BG161" s="259"/>
      <c r="BH161" s="260"/>
      <c r="BI161" s="260"/>
      <c r="BJ161" s="262"/>
      <c r="BL161" s="260"/>
      <c r="BN161" s="260"/>
      <c r="BO161" s="262"/>
    </row>
    <row r="162" spans="2:67" ht="12" customHeight="1">
      <c r="B162" s="260"/>
      <c r="C162" s="262"/>
      <c r="D162" s="260"/>
      <c r="E162" s="262"/>
      <c r="G162" s="260"/>
      <c r="H162" s="290"/>
      <c r="BK162" s="260"/>
      <c r="BL162" s="290"/>
      <c r="BN162" s="260"/>
      <c r="BO162" s="262"/>
    </row>
    <row r="163" spans="2:67" ht="12" customHeight="1">
      <c r="B163" s="260"/>
      <c r="C163" s="262"/>
      <c r="D163" s="260"/>
      <c r="E163" s="262"/>
      <c r="G163" s="260"/>
      <c r="H163" s="290"/>
      <c r="J163" s="294"/>
      <c r="K163" s="262"/>
      <c r="BF163" s="260"/>
      <c r="BG163" s="262"/>
      <c r="BH163" s="260"/>
      <c r="BI163" s="262"/>
      <c r="BK163" s="260"/>
      <c r="BL163" s="290"/>
    </row>
    <row r="164" spans="2:67" ht="12" customHeight="1">
      <c r="B164" s="260"/>
      <c r="C164" s="262"/>
      <c r="D164" s="260"/>
      <c r="E164" s="262"/>
      <c r="G164" s="260"/>
      <c r="H164" s="290"/>
      <c r="J164" s="260"/>
      <c r="K164" s="262"/>
      <c r="BF164" s="260"/>
      <c r="BG164" s="262"/>
      <c r="BH164" s="260"/>
      <c r="BI164" s="262"/>
      <c r="BK164" s="260"/>
      <c r="BL164" s="290"/>
      <c r="BN164" s="294"/>
      <c r="BO164" s="262"/>
    </row>
    <row r="165" spans="2:67" ht="12" customHeight="1">
      <c r="B165" s="260"/>
      <c r="C165" s="262"/>
      <c r="D165" s="260"/>
      <c r="E165" s="262"/>
      <c r="G165" s="260"/>
      <c r="H165" s="290"/>
      <c r="BF165" s="260"/>
      <c r="BG165" s="262"/>
      <c r="BH165" s="260"/>
      <c r="BI165" s="262"/>
      <c r="BK165" s="260"/>
      <c r="BL165" s="290"/>
      <c r="BN165" s="260"/>
      <c r="BO165" s="262"/>
    </row>
    <row r="166" spans="2:67" ht="12" customHeight="1">
      <c r="J166" s="260"/>
      <c r="K166" s="296"/>
      <c r="BF166" s="260"/>
      <c r="BG166" s="262"/>
      <c r="BH166" s="260"/>
      <c r="BI166" s="262"/>
      <c r="BK166" s="260"/>
      <c r="BL166" s="290"/>
    </row>
    <row r="167" spans="2:67" ht="12" customHeight="1">
      <c r="J167" s="260"/>
      <c r="K167" s="296"/>
      <c r="BN167" s="260"/>
      <c r="BO167" s="296"/>
    </row>
    <row r="168" spans="2:67" ht="12" customHeight="1">
      <c r="J168" s="260"/>
      <c r="K168" s="296"/>
    </row>
    <row r="170" spans="2:67" ht="12" customHeight="1">
      <c r="B170" s="260"/>
      <c r="D170" s="260"/>
      <c r="F170" s="261"/>
      <c r="G170" s="259"/>
      <c r="H170" s="261"/>
      <c r="J170" s="260"/>
      <c r="K170" s="262"/>
    </row>
    <row r="171" spans="2:67" ht="12" customHeight="1">
      <c r="C171" s="260"/>
      <c r="F171" s="321"/>
      <c r="G171" s="260"/>
      <c r="H171" s="273"/>
      <c r="J171" s="260"/>
      <c r="K171" s="259"/>
      <c r="BF171" s="260"/>
      <c r="BH171" s="260"/>
      <c r="BJ171" s="261"/>
      <c r="BK171" s="259"/>
      <c r="BL171" s="261"/>
      <c r="BN171" s="260"/>
      <c r="BO171" s="262"/>
    </row>
    <row r="172" spans="2:67" ht="12" customHeight="1">
      <c r="BG172" s="260"/>
      <c r="BJ172" s="272"/>
      <c r="BK172" s="260"/>
      <c r="BL172" s="273"/>
      <c r="BN172" s="260"/>
      <c r="BO172" s="262"/>
    </row>
    <row r="173" spans="2:67" ht="12" customHeight="1">
      <c r="B173" s="260"/>
      <c r="C173" s="279"/>
      <c r="D173" s="457"/>
      <c r="E173" s="457"/>
      <c r="F173" s="259"/>
      <c r="H173" s="458"/>
      <c r="I173" s="458"/>
      <c r="J173" s="260"/>
      <c r="K173" s="262"/>
    </row>
    <row r="174" spans="2:67" ht="12" customHeight="1">
      <c r="C174" s="259"/>
      <c r="D174" s="457"/>
      <c r="E174" s="457"/>
      <c r="F174" s="259"/>
      <c r="H174" s="260"/>
      <c r="J174" s="260"/>
      <c r="K174" s="262"/>
      <c r="BF174" s="260"/>
      <c r="BG174" s="279"/>
      <c r="BH174" s="260"/>
      <c r="BI174" s="260"/>
      <c r="BJ174" s="262"/>
      <c r="BL174" s="259"/>
      <c r="BM174" s="259"/>
      <c r="BN174" s="260"/>
      <c r="BO174" s="262"/>
    </row>
    <row r="175" spans="2:67" ht="12" customHeight="1">
      <c r="G175" s="260"/>
      <c r="H175" s="290"/>
      <c r="J175" s="260"/>
      <c r="K175" s="262"/>
      <c r="BF175" s="260"/>
      <c r="BG175" s="259"/>
      <c r="BH175" s="260"/>
      <c r="BI175" s="260"/>
      <c r="BJ175" s="262"/>
      <c r="BL175" s="260"/>
      <c r="BN175" s="260"/>
      <c r="BO175" s="262"/>
    </row>
    <row r="176" spans="2:67" ht="12" customHeight="1">
      <c r="B176" s="260"/>
      <c r="C176" s="262"/>
      <c r="D176" s="260"/>
      <c r="E176" s="262"/>
      <c r="G176" s="260"/>
      <c r="H176" s="290"/>
      <c r="BK176" s="260"/>
      <c r="BL176" s="290"/>
      <c r="BN176" s="260"/>
      <c r="BO176" s="262"/>
    </row>
    <row r="177" spans="2:67" ht="12" customHeight="1">
      <c r="B177" s="260"/>
      <c r="C177" s="262"/>
      <c r="D177" s="260"/>
      <c r="E177" s="262"/>
      <c r="G177" s="260"/>
      <c r="H177" s="290"/>
      <c r="J177" s="294"/>
      <c r="K177" s="262"/>
      <c r="BF177" s="260"/>
      <c r="BG177" s="262"/>
      <c r="BH177" s="260"/>
      <c r="BI177" s="262"/>
      <c r="BK177" s="260"/>
      <c r="BL177" s="290"/>
    </row>
    <row r="178" spans="2:67" ht="12" customHeight="1">
      <c r="B178" s="260"/>
      <c r="C178" s="262"/>
      <c r="D178" s="260"/>
      <c r="E178" s="262"/>
      <c r="G178" s="260"/>
      <c r="H178" s="290"/>
      <c r="J178" s="260"/>
      <c r="K178" s="262"/>
      <c r="BF178" s="260"/>
      <c r="BG178" s="262"/>
      <c r="BH178" s="260"/>
      <c r="BI178" s="262"/>
      <c r="BK178" s="260"/>
      <c r="BL178" s="290"/>
      <c r="BN178" s="294"/>
      <c r="BO178" s="262"/>
    </row>
    <row r="179" spans="2:67" ht="12" customHeight="1">
      <c r="B179" s="260"/>
      <c r="C179" s="262"/>
      <c r="D179" s="260"/>
      <c r="E179" s="262"/>
      <c r="G179" s="260"/>
      <c r="H179" s="290"/>
      <c r="BF179" s="260"/>
      <c r="BG179" s="262"/>
      <c r="BH179" s="260"/>
      <c r="BI179" s="262"/>
      <c r="BK179" s="260"/>
      <c r="BL179" s="290"/>
      <c r="BN179" s="260"/>
      <c r="BO179" s="262"/>
    </row>
    <row r="180" spans="2:67" ht="12" customHeight="1">
      <c r="J180" s="260"/>
      <c r="K180" s="296"/>
      <c r="BF180" s="260"/>
      <c r="BG180" s="262"/>
      <c r="BH180" s="260"/>
      <c r="BI180" s="262"/>
      <c r="BK180" s="260"/>
      <c r="BL180" s="290"/>
    </row>
    <row r="181" spans="2:67" ht="12" customHeight="1">
      <c r="J181" s="260"/>
      <c r="K181" s="296"/>
      <c r="BN181" s="260"/>
      <c r="BO181" s="296"/>
    </row>
    <row r="182" spans="2:67" ht="12" customHeight="1">
      <c r="J182" s="260"/>
      <c r="K182" s="296"/>
    </row>
    <row r="184" spans="2:67" ht="12" customHeight="1">
      <c r="B184" s="260"/>
      <c r="D184" s="260"/>
      <c r="F184" s="261"/>
      <c r="G184" s="259"/>
      <c r="H184" s="261"/>
      <c r="J184" s="260"/>
      <c r="K184" s="262"/>
    </row>
    <row r="185" spans="2:67" ht="12" customHeight="1">
      <c r="C185" s="260"/>
      <c r="F185" s="321"/>
      <c r="G185" s="260"/>
      <c r="H185" s="273"/>
      <c r="J185" s="260"/>
      <c r="K185" s="262"/>
      <c r="BF185" s="260"/>
      <c r="BH185" s="260"/>
      <c r="BJ185" s="261"/>
      <c r="BK185" s="259"/>
      <c r="BL185" s="261"/>
      <c r="BN185" s="260"/>
      <c r="BO185" s="262"/>
    </row>
    <row r="186" spans="2:67" ht="12" customHeight="1">
      <c r="BG186" s="260"/>
      <c r="BJ186" s="272"/>
      <c r="BK186" s="260"/>
      <c r="BL186" s="273"/>
      <c r="BN186" s="260"/>
      <c r="BO186" s="262"/>
    </row>
    <row r="187" spans="2:67" ht="12" customHeight="1">
      <c r="B187" s="260"/>
      <c r="C187" s="279"/>
      <c r="D187" s="457"/>
      <c r="E187" s="457"/>
      <c r="F187" s="262"/>
      <c r="H187" s="458"/>
      <c r="I187" s="458"/>
      <c r="J187" s="260"/>
      <c r="K187" s="262"/>
    </row>
    <row r="188" spans="2:67" ht="12" customHeight="1">
      <c r="C188" s="259"/>
      <c r="D188" s="457"/>
      <c r="E188" s="457"/>
      <c r="F188" s="262"/>
      <c r="H188" s="260"/>
      <c r="J188" s="260"/>
      <c r="K188" s="262"/>
      <c r="BF188" s="260"/>
      <c r="BG188" s="279"/>
      <c r="BH188" s="260"/>
      <c r="BI188" s="260"/>
      <c r="BJ188" s="262"/>
      <c r="BL188" s="259"/>
      <c r="BM188" s="259"/>
      <c r="BN188" s="260"/>
      <c r="BO188" s="262"/>
    </row>
    <row r="189" spans="2:67" ht="12" customHeight="1">
      <c r="G189" s="260"/>
      <c r="H189" s="290"/>
      <c r="J189" s="260"/>
      <c r="K189" s="262"/>
      <c r="BF189" s="260"/>
      <c r="BG189" s="259"/>
      <c r="BH189" s="260"/>
      <c r="BI189" s="260"/>
      <c r="BJ189" s="262"/>
      <c r="BL189" s="260"/>
      <c r="BN189" s="260"/>
      <c r="BO189" s="262"/>
    </row>
    <row r="190" spans="2:67" ht="12" customHeight="1">
      <c r="B190" s="260"/>
      <c r="C190" s="262"/>
      <c r="D190" s="260"/>
      <c r="E190" s="262"/>
      <c r="G190" s="260"/>
      <c r="H190" s="290"/>
      <c r="BK190" s="260"/>
      <c r="BL190" s="290"/>
      <c r="BN190" s="260"/>
      <c r="BO190" s="262"/>
    </row>
    <row r="191" spans="2:67" ht="12" customHeight="1">
      <c r="B191" s="260"/>
      <c r="C191" s="262"/>
      <c r="D191" s="260"/>
      <c r="E191" s="262"/>
      <c r="G191" s="260"/>
      <c r="H191" s="290"/>
      <c r="J191" s="294"/>
      <c r="K191" s="262"/>
      <c r="BF191" s="260"/>
      <c r="BG191" s="262"/>
      <c r="BH191" s="260"/>
      <c r="BI191" s="262"/>
      <c r="BK191" s="260"/>
      <c r="BL191" s="290"/>
    </row>
    <row r="192" spans="2:67" ht="12" customHeight="1">
      <c r="B192" s="260"/>
      <c r="C192" s="262"/>
      <c r="D192" s="260"/>
      <c r="E192" s="262"/>
      <c r="G192" s="260"/>
      <c r="H192" s="290"/>
      <c r="J192" s="260"/>
      <c r="K192" s="262"/>
      <c r="BF192" s="260"/>
      <c r="BG192" s="262"/>
      <c r="BH192" s="260"/>
      <c r="BI192" s="262"/>
      <c r="BK192" s="260"/>
      <c r="BL192" s="290"/>
      <c r="BN192" s="294"/>
      <c r="BO192" s="262"/>
    </row>
    <row r="193" spans="2:67" ht="12" customHeight="1">
      <c r="B193" s="260"/>
      <c r="C193" s="262"/>
      <c r="D193" s="260"/>
      <c r="E193" s="262"/>
      <c r="G193" s="260"/>
      <c r="H193" s="290"/>
      <c r="BF193" s="260"/>
      <c r="BG193" s="262"/>
      <c r="BH193" s="260"/>
      <c r="BI193" s="262"/>
      <c r="BK193" s="260"/>
      <c r="BL193" s="290"/>
      <c r="BN193" s="260"/>
      <c r="BO193" s="262"/>
    </row>
    <row r="194" spans="2:67" ht="12" customHeight="1">
      <c r="J194" s="260"/>
      <c r="K194" s="296"/>
      <c r="BF194" s="260"/>
      <c r="BG194" s="262"/>
      <c r="BH194" s="260"/>
      <c r="BI194" s="262"/>
      <c r="BK194" s="260"/>
      <c r="BL194" s="290"/>
    </row>
    <row r="195" spans="2:67" ht="12" customHeight="1">
      <c r="J195" s="260"/>
      <c r="K195" s="296"/>
      <c r="BN195" s="260"/>
      <c r="BO195" s="296"/>
    </row>
    <row r="196" spans="2:67" ht="12" customHeight="1">
      <c r="J196" s="260"/>
      <c r="K196" s="296"/>
    </row>
    <row r="198" spans="2:67" ht="12" customHeight="1">
      <c r="B198" s="260"/>
      <c r="D198" s="260"/>
      <c r="F198" s="261"/>
      <c r="G198" s="259"/>
      <c r="H198" s="261"/>
      <c r="J198" s="260"/>
      <c r="K198" s="262"/>
    </row>
    <row r="199" spans="2:67" ht="12" customHeight="1">
      <c r="C199" s="260"/>
      <c r="F199" s="321"/>
      <c r="G199" s="260"/>
      <c r="H199" s="273"/>
      <c r="J199" s="260"/>
      <c r="K199" s="262"/>
      <c r="BF199" s="260"/>
      <c r="BH199" s="260"/>
      <c r="BJ199" s="261"/>
      <c r="BK199" s="259"/>
      <c r="BL199" s="261"/>
      <c r="BN199" s="260"/>
      <c r="BO199" s="262"/>
    </row>
    <row r="200" spans="2:67" ht="12" customHeight="1">
      <c r="BG200" s="260"/>
      <c r="BJ200" s="272"/>
      <c r="BK200" s="260"/>
      <c r="BL200" s="273"/>
      <c r="BN200" s="260"/>
      <c r="BO200" s="262"/>
    </row>
    <row r="201" spans="2:67" ht="12" customHeight="1">
      <c r="B201" s="260"/>
      <c r="C201" s="279"/>
      <c r="D201" s="457"/>
      <c r="E201" s="457"/>
      <c r="F201" s="259"/>
      <c r="H201" s="458"/>
      <c r="I201" s="458"/>
      <c r="J201" s="260"/>
      <c r="K201" s="262"/>
    </row>
    <row r="202" spans="2:67" ht="12" customHeight="1">
      <c r="C202" s="259"/>
      <c r="D202" s="457"/>
      <c r="E202" s="457"/>
      <c r="F202" s="262"/>
      <c r="H202" s="260"/>
      <c r="J202" s="260"/>
      <c r="K202" s="262"/>
      <c r="BF202" s="260"/>
      <c r="BG202" s="279"/>
      <c r="BH202" s="260"/>
      <c r="BI202" s="260"/>
      <c r="BJ202" s="262"/>
      <c r="BL202" s="259"/>
      <c r="BM202" s="259"/>
      <c r="BN202" s="260"/>
      <c r="BO202" s="262"/>
    </row>
    <row r="203" spans="2:67" ht="12" customHeight="1">
      <c r="G203" s="260"/>
      <c r="H203" s="290"/>
      <c r="J203" s="260"/>
      <c r="K203" s="262"/>
      <c r="BF203" s="260"/>
      <c r="BG203" s="259"/>
      <c r="BH203" s="260"/>
      <c r="BI203" s="260"/>
      <c r="BJ203" s="262"/>
      <c r="BL203" s="260"/>
      <c r="BN203" s="260"/>
      <c r="BO203" s="262"/>
    </row>
    <row r="204" spans="2:67" ht="12" customHeight="1">
      <c r="B204" s="260"/>
      <c r="C204" s="262"/>
      <c r="D204" s="260"/>
      <c r="E204" s="262"/>
      <c r="G204" s="260"/>
      <c r="H204" s="290"/>
      <c r="BK204" s="260"/>
      <c r="BL204" s="290"/>
      <c r="BN204" s="260"/>
      <c r="BO204" s="262"/>
    </row>
    <row r="205" spans="2:67" ht="12" customHeight="1">
      <c r="B205" s="260"/>
      <c r="C205" s="262"/>
      <c r="D205" s="260"/>
      <c r="E205" s="262"/>
      <c r="G205" s="260"/>
      <c r="H205" s="290"/>
      <c r="J205" s="294"/>
      <c r="K205" s="262"/>
      <c r="BF205" s="260"/>
      <c r="BG205" s="262"/>
      <c r="BH205" s="260"/>
      <c r="BI205" s="262"/>
      <c r="BK205" s="260"/>
      <c r="BL205" s="290"/>
    </row>
    <row r="206" spans="2:67" ht="12" customHeight="1">
      <c r="B206" s="260"/>
      <c r="C206" s="262"/>
      <c r="D206" s="260"/>
      <c r="E206" s="262"/>
      <c r="G206" s="260"/>
      <c r="H206" s="290"/>
      <c r="J206" s="260"/>
      <c r="K206" s="262"/>
      <c r="BF206" s="260"/>
      <c r="BG206" s="262"/>
      <c r="BH206" s="260"/>
      <c r="BI206" s="262"/>
      <c r="BK206" s="260"/>
      <c r="BL206" s="290"/>
      <c r="BN206" s="294"/>
      <c r="BO206" s="262"/>
    </row>
    <row r="207" spans="2:67" ht="12" customHeight="1">
      <c r="B207" s="260"/>
      <c r="C207" s="262"/>
      <c r="D207" s="260"/>
      <c r="E207" s="262"/>
      <c r="G207" s="260"/>
      <c r="H207" s="290"/>
      <c r="BF207" s="260"/>
      <c r="BG207" s="262"/>
      <c r="BH207" s="260"/>
      <c r="BI207" s="262"/>
      <c r="BK207" s="260"/>
      <c r="BL207" s="290"/>
      <c r="BN207" s="260"/>
      <c r="BO207" s="262"/>
    </row>
    <row r="208" spans="2:67" ht="12" customHeight="1">
      <c r="J208" s="260"/>
      <c r="K208" s="296"/>
      <c r="BF208" s="260"/>
      <c r="BG208" s="262"/>
      <c r="BH208" s="260"/>
      <c r="BI208" s="262"/>
      <c r="BK208" s="260"/>
      <c r="BL208" s="290"/>
    </row>
    <row r="209" spans="2:67" ht="12" customHeight="1">
      <c r="J209" s="260"/>
      <c r="K209" s="296"/>
      <c r="BN209" s="260"/>
      <c r="BO209" s="296"/>
    </row>
    <row r="210" spans="2:67" ht="11.25" customHeight="1">
      <c r="J210" s="260"/>
      <c r="K210" s="296"/>
    </row>
    <row r="212" spans="2:67" ht="12" customHeight="1">
      <c r="B212" s="260"/>
      <c r="D212" s="260"/>
      <c r="F212" s="261"/>
      <c r="G212" s="259"/>
      <c r="H212" s="261"/>
      <c r="J212" s="260"/>
      <c r="K212" s="262"/>
    </row>
    <row r="213" spans="2:67" ht="12" customHeight="1">
      <c r="C213" s="260"/>
      <c r="F213" s="321"/>
      <c r="G213" s="260"/>
      <c r="H213" s="273"/>
      <c r="J213" s="260"/>
      <c r="K213" s="259"/>
      <c r="BF213" s="260"/>
      <c r="BH213" s="260"/>
      <c r="BJ213" s="261"/>
      <c r="BK213" s="259"/>
      <c r="BL213" s="261"/>
      <c r="BN213" s="260"/>
      <c r="BO213" s="262"/>
    </row>
    <row r="214" spans="2:67" ht="12" customHeight="1">
      <c r="BG214" s="260"/>
      <c r="BJ214" s="272"/>
      <c r="BK214" s="260"/>
      <c r="BL214" s="273"/>
      <c r="BN214" s="260"/>
      <c r="BO214" s="262"/>
    </row>
    <row r="215" spans="2:67" ht="12" customHeight="1">
      <c r="B215" s="260"/>
      <c r="C215" s="279"/>
      <c r="D215" s="457"/>
      <c r="E215" s="457"/>
      <c r="F215" s="259"/>
      <c r="H215" s="458"/>
      <c r="I215" s="458"/>
      <c r="J215" s="260"/>
      <c r="K215" s="262"/>
    </row>
    <row r="216" spans="2:67" ht="12" customHeight="1">
      <c r="C216" s="259"/>
      <c r="D216" s="457"/>
      <c r="E216" s="457"/>
      <c r="F216" s="259"/>
      <c r="H216" s="260"/>
      <c r="J216" s="260"/>
      <c r="K216" s="262"/>
      <c r="BF216" s="260"/>
      <c r="BG216" s="279"/>
      <c r="BH216" s="260"/>
      <c r="BI216" s="260"/>
      <c r="BJ216" s="262"/>
      <c r="BL216" s="259"/>
      <c r="BM216" s="259"/>
      <c r="BN216" s="260"/>
      <c r="BO216" s="262"/>
    </row>
    <row r="217" spans="2:67" ht="12" customHeight="1">
      <c r="G217" s="260"/>
      <c r="H217" s="290"/>
      <c r="J217" s="260"/>
      <c r="K217" s="262"/>
      <c r="BF217" s="260"/>
      <c r="BG217" s="259"/>
      <c r="BH217" s="260"/>
      <c r="BI217" s="260"/>
      <c r="BJ217" s="262"/>
      <c r="BL217" s="260"/>
      <c r="BN217" s="260"/>
      <c r="BO217" s="262"/>
    </row>
    <row r="218" spans="2:67" ht="12" customHeight="1">
      <c r="B218" s="260"/>
      <c r="C218" s="262"/>
      <c r="D218" s="260"/>
      <c r="E218" s="262"/>
      <c r="G218" s="260"/>
      <c r="H218" s="290"/>
      <c r="BK218" s="260"/>
      <c r="BL218" s="290"/>
      <c r="BN218" s="260"/>
      <c r="BO218" s="262"/>
    </row>
    <row r="219" spans="2:67" ht="12" customHeight="1">
      <c r="B219" s="260"/>
      <c r="C219" s="262"/>
      <c r="D219" s="260"/>
      <c r="E219" s="262"/>
      <c r="G219" s="260"/>
      <c r="H219" s="290"/>
      <c r="J219" s="294"/>
      <c r="K219" s="262"/>
      <c r="BF219" s="260"/>
      <c r="BG219" s="262"/>
      <c r="BH219" s="260"/>
      <c r="BI219" s="262"/>
      <c r="BK219" s="260"/>
      <c r="BL219" s="290"/>
    </row>
    <row r="220" spans="2:67" ht="12" customHeight="1">
      <c r="B220" s="260"/>
      <c r="C220" s="262"/>
      <c r="D220" s="260"/>
      <c r="E220" s="262"/>
      <c r="G220" s="260"/>
      <c r="H220" s="290"/>
      <c r="J220" s="260"/>
      <c r="K220" s="262"/>
      <c r="BF220" s="260"/>
      <c r="BG220" s="262"/>
      <c r="BH220" s="260"/>
      <c r="BI220" s="262"/>
      <c r="BK220" s="260"/>
      <c r="BL220" s="290"/>
      <c r="BN220" s="294"/>
      <c r="BO220" s="262"/>
    </row>
    <row r="221" spans="2:67" ht="12" customHeight="1">
      <c r="B221" s="260"/>
      <c r="C221" s="262"/>
      <c r="D221" s="260"/>
      <c r="E221" s="262"/>
      <c r="G221" s="260"/>
      <c r="H221" s="290"/>
      <c r="BF221" s="260"/>
      <c r="BG221" s="262"/>
      <c r="BH221" s="260"/>
      <c r="BI221" s="262"/>
      <c r="BK221" s="260"/>
      <c r="BL221" s="290"/>
      <c r="BN221" s="260"/>
      <c r="BO221" s="262"/>
    </row>
    <row r="222" spans="2:67" ht="12" customHeight="1">
      <c r="J222" s="260"/>
      <c r="K222" s="296"/>
      <c r="BF222" s="260"/>
      <c r="BG222" s="262"/>
      <c r="BH222" s="260"/>
      <c r="BI222" s="262"/>
      <c r="BK222" s="260"/>
      <c r="BL222" s="290"/>
    </row>
    <row r="223" spans="2:67" ht="12" customHeight="1">
      <c r="J223" s="260"/>
      <c r="K223" s="296"/>
      <c r="BN223" s="260"/>
      <c r="BO223" s="296"/>
    </row>
    <row r="224" spans="2:67" ht="12" customHeight="1">
      <c r="J224" s="260"/>
      <c r="K224" s="296"/>
    </row>
    <row r="226" spans="2:67" ht="12" customHeight="1">
      <c r="B226" s="260"/>
      <c r="D226" s="260"/>
      <c r="F226" s="261"/>
      <c r="G226" s="259"/>
      <c r="H226" s="261"/>
      <c r="J226" s="260"/>
      <c r="K226" s="262"/>
    </row>
    <row r="227" spans="2:67" ht="12" customHeight="1">
      <c r="C227" s="260"/>
      <c r="F227" s="321"/>
      <c r="G227" s="260"/>
      <c r="H227" s="273"/>
      <c r="J227" s="260"/>
      <c r="K227" s="259"/>
      <c r="BF227" s="260"/>
      <c r="BH227" s="260"/>
      <c r="BJ227" s="261"/>
      <c r="BK227" s="259"/>
      <c r="BL227" s="261"/>
      <c r="BN227" s="260"/>
      <c r="BO227" s="262"/>
    </row>
    <row r="228" spans="2:67" ht="12" customHeight="1">
      <c r="BG228" s="260"/>
      <c r="BJ228" s="272"/>
      <c r="BK228" s="260"/>
      <c r="BL228" s="273"/>
      <c r="BN228" s="260"/>
      <c r="BO228" s="262"/>
    </row>
    <row r="229" spans="2:67" ht="12" customHeight="1">
      <c r="B229" s="260"/>
      <c r="C229" s="279"/>
      <c r="D229" s="457"/>
      <c r="E229" s="457"/>
      <c r="F229" s="262"/>
      <c r="H229" s="458"/>
      <c r="I229" s="458"/>
      <c r="J229" s="260"/>
      <c r="K229" s="262"/>
    </row>
    <row r="230" spans="2:67" ht="12" customHeight="1">
      <c r="C230" s="259"/>
      <c r="D230" s="457"/>
      <c r="E230" s="457"/>
      <c r="F230" s="259"/>
      <c r="H230" s="260"/>
      <c r="J230" s="260"/>
      <c r="K230" s="262"/>
      <c r="BF230" s="260"/>
      <c r="BG230" s="279"/>
      <c r="BH230" s="260"/>
      <c r="BI230" s="260"/>
      <c r="BJ230" s="262"/>
      <c r="BL230" s="259"/>
      <c r="BM230" s="259"/>
      <c r="BN230" s="260"/>
      <c r="BO230" s="262"/>
    </row>
    <row r="231" spans="2:67" ht="12" customHeight="1">
      <c r="G231" s="260"/>
      <c r="H231" s="290"/>
      <c r="J231" s="260"/>
      <c r="K231" s="262"/>
      <c r="BF231" s="260"/>
      <c r="BG231" s="259"/>
      <c r="BH231" s="260"/>
      <c r="BI231" s="260"/>
      <c r="BJ231" s="262"/>
      <c r="BL231" s="260"/>
      <c r="BN231" s="260"/>
      <c r="BO231" s="262"/>
    </row>
    <row r="232" spans="2:67" ht="12" customHeight="1">
      <c r="B232" s="260"/>
      <c r="C232" s="262"/>
      <c r="D232" s="260"/>
      <c r="E232" s="262"/>
      <c r="G232" s="260"/>
      <c r="H232" s="290"/>
      <c r="BK232" s="260"/>
      <c r="BL232" s="290"/>
      <c r="BN232" s="260"/>
      <c r="BO232" s="262"/>
    </row>
    <row r="233" spans="2:67" ht="12" customHeight="1">
      <c r="B233" s="260"/>
      <c r="C233" s="262"/>
      <c r="D233" s="260"/>
      <c r="E233" s="262"/>
      <c r="G233" s="260"/>
      <c r="H233" s="290"/>
      <c r="J233" s="294"/>
      <c r="K233" s="262"/>
      <c r="BF233" s="260"/>
      <c r="BG233" s="262"/>
      <c r="BH233" s="260"/>
      <c r="BI233" s="262"/>
      <c r="BK233" s="260"/>
      <c r="BL233" s="290"/>
    </row>
    <row r="234" spans="2:67" ht="12" customHeight="1">
      <c r="B234" s="260"/>
      <c r="C234" s="262"/>
      <c r="D234" s="260"/>
      <c r="E234" s="262"/>
      <c r="G234" s="260"/>
      <c r="H234" s="290"/>
      <c r="J234" s="260"/>
      <c r="K234" s="262"/>
      <c r="BF234" s="260"/>
      <c r="BG234" s="262"/>
      <c r="BH234" s="260"/>
      <c r="BI234" s="262"/>
      <c r="BK234" s="260"/>
      <c r="BL234" s="290"/>
      <c r="BN234" s="294"/>
      <c r="BO234" s="262"/>
    </row>
    <row r="235" spans="2:67" ht="12" customHeight="1">
      <c r="B235" s="260"/>
      <c r="C235" s="262"/>
      <c r="D235" s="260"/>
      <c r="E235" s="262"/>
      <c r="G235" s="260"/>
      <c r="H235" s="290"/>
      <c r="BF235" s="260"/>
      <c r="BG235" s="262"/>
      <c r="BH235" s="260"/>
      <c r="BI235" s="262"/>
      <c r="BK235" s="260"/>
      <c r="BL235" s="290"/>
      <c r="BN235" s="260"/>
      <c r="BO235" s="262"/>
    </row>
    <row r="236" spans="2:67" ht="12" customHeight="1">
      <c r="J236" s="260"/>
      <c r="K236" s="296"/>
      <c r="BF236" s="260"/>
      <c r="BG236" s="262"/>
      <c r="BH236" s="260"/>
      <c r="BI236" s="262"/>
      <c r="BK236" s="260"/>
      <c r="BL236" s="290"/>
    </row>
    <row r="237" spans="2:67" ht="12" customHeight="1">
      <c r="J237" s="260"/>
      <c r="K237" s="296"/>
      <c r="BN237" s="260"/>
      <c r="BO237" s="296"/>
    </row>
    <row r="238" spans="2:67" ht="12" customHeight="1">
      <c r="J238" s="260"/>
      <c r="K238" s="296"/>
    </row>
    <row r="240" spans="2:67" ht="12" customHeight="1">
      <c r="B240" s="260"/>
      <c r="D240" s="260"/>
      <c r="F240" s="261"/>
      <c r="G240" s="259"/>
      <c r="H240" s="261"/>
      <c r="J240" s="260"/>
      <c r="K240" s="262"/>
    </row>
    <row r="241" spans="2:67" ht="12" customHeight="1">
      <c r="C241" s="260"/>
      <c r="F241" s="321"/>
      <c r="G241" s="260"/>
      <c r="H241" s="273"/>
      <c r="J241" s="260"/>
      <c r="K241" s="262"/>
      <c r="BF241" s="260"/>
      <c r="BH241" s="260"/>
      <c r="BJ241" s="261"/>
      <c r="BK241" s="259"/>
      <c r="BL241" s="261"/>
      <c r="BN241" s="260"/>
      <c r="BO241" s="262"/>
    </row>
    <row r="242" spans="2:67" ht="12" customHeight="1">
      <c r="BG242" s="260"/>
      <c r="BJ242" s="272"/>
      <c r="BK242" s="260"/>
      <c r="BL242" s="273"/>
      <c r="BN242" s="260"/>
      <c r="BO242" s="262"/>
    </row>
    <row r="243" spans="2:67" ht="12" customHeight="1">
      <c r="B243" s="260"/>
      <c r="C243" s="279"/>
      <c r="D243" s="457"/>
      <c r="E243" s="457"/>
      <c r="F243" s="262"/>
      <c r="H243" s="458"/>
      <c r="I243" s="458"/>
      <c r="J243" s="260"/>
      <c r="K243" s="262"/>
    </row>
    <row r="244" spans="2:67" ht="12" customHeight="1">
      <c r="C244" s="259"/>
      <c r="D244" s="457"/>
      <c r="E244" s="457"/>
      <c r="F244" s="262"/>
      <c r="H244" s="260"/>
      <c r="J244" s="260"/>
      <c r="K244" s="262"/>
      <c r="BF244" s="260"/>
      <c r="BG244" s="279"/>
      <c r="BH244" s="260"/>
      <c r="BI244" s="260"/>
      <c r="BJ244" s="262"/>
      <c r="BL244" s="259"/>
      <c r="BM244" s="259"/>
      <c r="BN244" s="260"/>
      <c r="BO244" s="262"/>
    </row>
    <row r="245" spans="2:67" ht="12" customHeight="1">
      <c r="G245" s="260"/>
      <c r="H245" s="290"/>
      <c r="J245" s="260"/>
      <c r="K245" s="262"/>
      <c r="BF245" s="260"/>
      <c r="BG245" s="259"/>
      <c r="BH245" s="260"/>
      <c r="BI245" s="260"/>
      <c r="BJ245" s="262"/>
      <c r="BL245" s="260"/>
      <c r="BN245" s="260"/>
      <c r="BO245" s="262"/>
    </row>
    <row r="246" spans="2:67" ht="12" customHeight="1">
      <c r="B246" s="260"/>
      <c r="C246" s="262"/>
      <c r="D246" s="260"/>
      <c r="E246" s="262"/>
      <c r="G246" s="260"/>
      <c r="H246" s="290"/>
      <c r="BK246" s="260"/>
      <c r="BL246" s="290"/>
      <c r="BN246" s="260"/>
      <c r="BO246" s="262"/>
    </row>
    <row r="247" spans="2:67" ht="12" customHeight="1">
      <c r="B247" s="260"/>
      <c r="C247" s="262"/>
      <c r="D247" s="260"/>
      <c r="E247" s="262"/>
      <c r="G247" s="260"/>
      <c r="H247" s="290"/>
      <c r="J247" s="294"/>
      <c r="K247" s="262"/>
      <c r="BF247" s="260"/>
      <c r="BG247" s="262"/>
      <c r="BH247" s="260"/>
      <c r="BI247" s="262"/>
      <c r="BK247" s="260"/>
      <c r="BL247" s="290"/>
    </row>
    <row r="248" spans="2:67" ht="12" customHeight="1">
      <c r="B248" s="260"/>
      <c r="C248" s="262"/>
      <c r="D248" s="260"/>
      <c r="E248" s="262"/>
      <c r="G248" s="260"/>
      <c r="H248" s="290"/>
      <c r="J248" s="260"/>
      <c r="K248" s="262"/>
      <c r="BF248" s="260"/>
      <c r="BG248" s="262"/>
      <c r="BH248" s="260"/>
      <c r="BI248" s="262"/>
      <c r="BK248" s="260"/>
      <c r="BL248" s="290"/>
      <c r="BN248" s="294"/>
      <c r="BO248" s="262"/>
    </row>
    <row r="249" spans="2:67" ht="12" customHeight="1">
      <c r="B249" s="260"/>
      <c r="C249" s="262"/>
      <c r="D249" s="260"/>
      <c r="E249" s="262"/>
      <c r="G249" s="260"/>
      <c r="H249" s="290"/>
      <c r="BF249" s="260"/>
      <c r="BG249" s="262"/>
      <c r="BH249" s="260"/>
      <c r="BI249" s="262"/>
      <c r="BK249" s="260"/>
      <c r="BL249" s="290"/>
      <c r="BN249" s="260"/>
      <c r="BO249" s="262"/>
    </row>
    <row r="250" spans="2:67" ht="12" customHeight="1">
      <c r="J250" s="260"/>
      <c r="K250" s="296"/>
      <c r="BF250" s="260"/>
      <c r="BG250" s="262"/>
      <c r="BH250" s="260"/>
      <c r="BI250" s="262"/>
      <c r="BK250" s="260"/>
      <c r="BL250" s="290"/>
    </row>
    <row r="251" spans="2:67" ht="12" customHeight="1">
      <c r="BN251" s="260"/>
      <c r="BO251" s="296"/>
    </row>
    <row r="255" spans="2:67" ht="12" customHeight="1">
      <c r="BF255" s="260"/>
      <c r="BH255" s="260"/>
      <c r="BJ255" s="261"/>
      <c r="BK255" s="259"/>
      <c r="BL255" s="261"/>
      <c r="BN255" s="260"/>
      <c r="BO255" s="262"/>
    </row>
    <row r="256" spans="2:67" ht="12" customHeight="1">
      <c r="BG256" s="260"/>
      <c r="BJ256" s="272"/>
      <c r="BK256" s="260"/>
      <c r="BL256" s="273"/>
      <c r="BN256" s="260"/>
      <c r="BO256" s="262"/>
    </row>
    <row r="258" spans="58:67" ht="12" customHeight="1">
      <c r="BF258" s="260"/>
      <c r="BG258" s="279"/>
      <c r="BH258" s="260"/>
      <c r="BI258" s="260"/>
      <c r="BJ258" s="262"/>
      <c r="BL258" s="259"/>
      <c r="BM258" s="259"/>
      <c r="BN258" s="260"/>
      <c r="BO258" s="262"/>
    </row>
    <row r="259" spans="58:67" ht="12" customHeight="1">
      <c r="BF259" s="260"/>
      <c r="BG259" s="259"/>
      <c r="BH259" s="260"/>
      <c r="BI259" s="260"/>
      <c r="BJ259" s="262"/>
      <c r="BL259" s="260"/>
      <c r="BN259" s="260"/>
      <c r="BO259" s="262"/>
    </row>
    <row r="260" spans="58:67" ht="12" customHeight="1">
      <c r="BK260" s="260"/>
      <c r="BL260" s="290"/>
      <c r="BN260" s="260"/>
      <c r="BO260" s="262"/>
    </row>
    <row r="261" spans="58:67" ht="12" customHeight="1">
      <c r="BF261" s="260"/>
      <c r="BG261" s="262"/>
      <c r="BH261" s="260"/>
      <c r="BI261" s="262"/>
      <c r="BK261" s="260"/>
      <c r="BL261" s="290"/>
    </row>
    <row r="262" spans="58:67" ht="12" customHeight="1">
      <c r="BF262" s="260"/>
      <c r="BG262" s="262"/>
      <c r="BH262" s="260"/>
      <c r="BI262" s="262"/>
      <c r="BK262" s="260"/>
      <c r="BL262" s="290"/>
      <c r="BN262" s="294"/>
      <c r="BO262" s="262"/>
    </row>
    <row r="263" spans="58:67" ht="12" customHeight="1">
      <c r="BF263" s="260"/>
      <c r="BG263" s="262"/>
      <c r="BH263" s="260"/>
      <c r="BI263" s="262"/>
      <c r="BK263" s="260"/>
      <c r="BL263" s="290"/>
      <c r="BN263" s="260"/>
      <c r="BO263" s="262"/>
    </row>
    <row r="264" spans="58:67" ht="12" customHeight="1">
      <c r="BF264" s="260"/>
      <c r="BG264" s="262"/>
      <c r="BH264" s="260"/>
      <c r="BI264" s="262"/>
      <c r="BK264" s="260"/>
      <c r="BL264" s="290"/>
    </row>
    <row r="265" spans="58:67" ht="12" customHeight="1">
      <c r="BN265" s="260"/>
      <c r="BO265" s="296"/>
    </row>
    <row r="267" spans="58:67" ht="12" customHeight="1">
      <c r="BF267" s="303"/>
      <c r="BG267" s="303"/>
      <c r="BH267" s="303"/>
      <c r="BI267" s="303"/>
      <c r="BJ267" s="303"/>
      <c r="BK267" s="303"/>
      <c r="BL267" s="303"/>
      <c r="BM267" s="303"/>
      <c r="BN267" s="303"/>
      <c r="BO267" s="303"/>
    </row>
    <row r="269" spans="58:67" ht="12" customHeight="1">
      <c r="BF269" s="260"/>
      <c r="BH269" s="260"/>
      <c r="BJ269" s="261"/>
      <c r="BK269" s="259"/>
      <c r="BL269" s="261"/>
      <c r="BN269" s="260"/>
      <c r="BO269" s="262"/>
    </row>
    <row r="270" spans="58:67" ht="12" customHeight="1">
      <c r="BG270" s="260"/>
      <c r="BJ270" s="272"/>
      <c r="BK270" s="260"/>
      <c r="BL270" s="273"/>
      <c r="BN270" s="260"/>
      <c r="BO270" s="262"/>
    </row>
    <row r="272" spans="58:67" ht="12" customHeight="1">
      <c r="BF272" s="260"/>
      <c r="BG272" s="279"/>
      <c r="BH272" s="260"/>
      <c r="BI272" s="260"/>
      <c r="BJ272" s="262"/>
      <c r="BL272" s="259"/>
      <c r="BM272" s="259"/>
      <c r="BN272" s="260"/>
      <c r="BO272" s="262"/>
    </row>
    <row r="273" spans="58:67" ht="12" customHeight="1">
      <c r="BF273" s="260"/>
      <c r="BG273" s="259"/>
      <c r="BH273" s="260"/>
      <c r="BI273" s="260"/>
      <c r="BJ273" s="262"/>
      <c r="BL273" s="260"/>
      <c r="BN273" s="260"/>
      <c r="BO273" s="262"/>
    </row>
    <row r="274" spans="58:67" ht="12" customHeight="1">
      <c r="BK274" s="260"/>
      <c r="BL274" s="290"/>
      <c r="BN274" s="260"/>
      <c r="BO274" s="262"/>
    </row>
    <row r="275" spans="58:67" ht="12" customHeight="1">
      <c r="BF275" s="260"/>
      <c r="BG275" s="262"/>
      <c r="BH275" s="260"/>
      <c r="BI275" s="262"/>
      <c r="BK275" s="260"/>
      <c r="BL275" s="290"/>
    </row>
    <row r="276" spans="58:67" ht="12" customHeight="1">
      <c r="BF276" s="260"/>
      <c r="BG276" s="262"/>
      <c r="BH276" s="260"/>
      <c r="BI276" s="262"/>
      <c r="BK276" s="260"/>
      <c r="BL276" s="290"/>
      <c r="BN276" s="294"/>
      <c r="BO276" s="262"/>
    </row>
    <row r="277" spans="58:67" ht="12" customHeight="1">
      <c r="BF277" s="260"/>
      <c r="BG277" s="262"/>
      <c r="BH277" s="260"/>
      <c r="BI277" s="262"/>
      <c r="BK277" s="260"/>
      <c r="BL277" s="290"/>
      <c r="BN277" s="260"/>
      <c r="BO277" s="262"/>
    </row>
    <row r="278" spans="58:67" ht="12" customHeight="1">
      <c r="BF278" s="260"/>
      <c r="BG278" s="262"/>
      <c r="BH278" s="260"/>
      <c r="BI278" s="262"/>
      <c r="BK278" s="260"/>
      <c r="BL278" s="290"/>
    </row>
    <row r="279" spans="58:67" ht="12" customHeight="1">
      <c r="BN279" s="260"/>
      <c r="BO279" s="296"/>
    </row>
  </sheetData>
  <mergeCells count="167">
    <mergeCell ref="AI4:AR4"/>
    <mergeCell ref="AT4:BC4"/>
    <mergeCell ref="BE4:BN4"/>
    <mergeCell ref="DC9:DD9"/>
    <mergeCell ref="AZ9:BA9"/>
    <mergeCell ref="Z10:AA10"/>
    <mergeCell ref="AK10:AL10"/>
    <mergeCell ref="AV10:AW10"/>
    <mergeCell ref="BG10:BH10"/>
    <mergeCell ref="BR10:BS10"/>
    <mergeCell ref="CN10:CO10"/>
    <mergeCell ref="CY10:CZ10"/>
    <mergeCell ref="FK4:FT4"/>
    <mergeCell ref="D9:E9"/>
    <mergeCell ref="H9:I9"/>
    <mergeCell ref="O9:P9"/>
    <mergeCell ref="S9:T9"/>
    <mergeCell ref="Z9:AA9"/>
    <mergeCell ref="AD9:AE9"/>
    <mergeCell ref="AK9:AL9"/>
    <mergeCell ref="AO9:AP9"/>
    <mergeCell ref="AV9:AW9"/>
    <mergeCell ref="BP4:BY4"/>
    <mergeCell ref="CL4:CU4"/>
    <mergeCell ref="CW4:DF4"/>
    <mergeCell ref="DH4:DQ4"/>
    <mergeCell ref="DS4:EB4"/>
    <mergeCell ref="ED4:EM4"/>
    <mergeCell ref="B4:K4"/>
    <mergeCell ref="BG9:BH9"/>
    <mergeCell ref="BK9:BL9"/>
    <mergeCell ref="BR9:BS9"/>
    <mergeCell ref="CN9:CO9"/>
    <mergeCell ref="CY9:CZ9"/>
    <mergeCell ref="M4:V4"/>
    <mergeCell ref="X4:AG4"/>
    <mergeCell ref="EO18:EX18"/>
    <mergeCell ref="D22:E22"/>
    <mergeCell ref="H22:I22"/>
    <mergeCell ref="O22:P22"/>
    <mergeCell ref="S22:T22"/>
    <mergeCell ref="Z22:AA22"/>
    <mergeCell ref="AD22:AE22"/>
    <mergeCell ref="AK22:AL22"/>
    <mergeCell ref="AO22:AP22"/>
    <mergeCell ref="AV22:AW22"/>
    <mergeCell ref="DC22:DD22"/>
    <mergeCell ref="AZ22:BA22"/>
    <mergeCell ref="BG22:BH22"/>
    <mergeCell ref="BK22:BL22"/>
    <mergeCell ref="BR22:BS22"/>
    <mergeCell ref="CN22:CO22"/>
    <mergeCell ref="CY22:CZ22"/>
    <mergeCell ref="D10:E10"/>
    <mergeCell ref="O10:P10"/>
    <mergeCell ref="D23:E23"/>
    <mergeCell ref="O23:P23"/>
    <mergeCell ref="Z23:AA23"/>
    <mergeCell ref="AK23:AL23"/>
    <mergeCell ref="AV23:AW23"/>
    <mergeCell ref="BG23:BH23"/>
    <mergeCell ref="BR23:BS23"/>
    <mergeCell ref="CN23:CO23"/>
    <mergeCell ref="CY23:CZ23"/>
    <mergeCell ref="D36:E36"/>
    <mergeCell ref="O36:P36"/>
    <mergeCell ref="Z36:AA36"/>
    <mergeCell ref="AK36:AL36"/>
    <mergeCell ref="BG36:BH36"/>
    <mergeCell ref="BR36:BS36"/>
    <mergeCell ref="AK35:AL35"/>
    <mergeCell ref="AO35:AP35"/>
    <mergeCell ref="BG35:BH35"/>
    <mergeCell ref="BK35:BL35"/>
    <mergeCell ref="BR35:BS35"/>
    <mergeCell ref="D35:E35"/>
    <mergeCell ref="H35:I35"/>
    <mergeCell ref="O35:P35"/>
    <mergeCell ref="S35:T35"/>
    <mergeCell ref="Z35:AA35"/>
    <mergeCell ref="AD35:AE35"/>
    <mergeCell ref="EZ44:FI44"/>
    <mergeCell ref="AK48:AL48"/>
    <mergeCell ref="AO48:AP48"/>
    <mergeCell ref="BG48:BH48"/>
    <mergeCell ref="CC48:CD48"/>
    <mergeCell ref="CG48:CH48"/>
    <mergeCell ref="CN48:CO48"/>
    <mergeCell ref="CN35:CO35"/>
    <mergeCell ref="CR35:CS35"/>
    <mergeCell ref="CY35:CZ35"/>
    <mergeCell ref="DC35:DD35"/>
    <mergeCell ref="BV35:BW35"/>
    <mergeCell ref="CR48:CS48"/>
    <mergeCell ref="CY48:CZ48"/>
    <mergeCell ref="AK49:AL49"/>
    <mergeCell ref="BG49:BH49"/>
    <mergeCell ref="BR49:BS49"/>
    <mergeCell ref="CC49:CD49"/>
    <mergeCell ref="CN49:CO49"/>
    <mergeCell ref="CY49:CZ49"/>
    <mergeCell ref="CN36:CO36"/>
    <mergeCell ref="CY36:CZ36"/>
    <mergeCell ref="BP44:BY44"/>
    <mergeCell ref="AK62:AL62"/>
    <mergeCell ref="BR62:BS62"/>
    <mergeCell ref="CN62:CO62"/>
    <mergeCell ref="CY62:CZ62"/>
    <mergeCell ref="BR63:BS63"/>
    <mergeCell ref="AK75:AL75"/>
    <mergeCell ref="AO75:AP75"/>
    <mergeCell ref="BR50:BS50"/>
    <mergeCell ref="DH57:DQ57"/>
    <mergeCell ref="AK61:AL61"/>
    <mergeCell ref="AO61:AP61"/>
    <mergeCell ref="CN61:CO61"/>
    <mergeCell ref="CR61:CS61"/>
    <mergeCell ref="CY61:CZ61"/>
    <mergeCell ref="AO89:AP89"/>
    <mergeCell ref="D90:E90"/>
    <mergeCell ref="O90:P90"/>
    <mergeCell ref="AK90:AL90"/>
    <mergeCell ref="Z92:AA92"/>
    <mergeCell ref="AD92:AE92"/>
    <mergeCell ref="AK76:AL76"/>
    <mergeCell ref="Z78:AA78"/>
    <mergeCell ref="AD78:AE78"/>
    <mergeCell ref="Z79:AA79"/>
    <mergeCell ref="D89:E89"/>
    <mergeCell ref="H89:I89"/>
    <mergeCell ref="O89:P89"/>
    <mergeCell ref="S89:T89"/>
    <mergeCell ref="AK89:AL89"/>
    <mergeCell ref="D118:E118"/>
    <mergeCell ref="D131:E131"/>
    <mergeCell ref="H131:I131"/>
    <mergeCell ref="D132:E132"/>
    <mergeCell ref="D145:E145"/>
    <mergeCell ref="H145:I145"/>
    <mergeCell ref="Z93:AA93"/>
    <mergeCell ref="D103:E103"/>
    <mergeCell ref="H103:I103"/>
    <mergeCell ref="D104:E104"/>
    <mergeCell ref="D117:E117"/>
    <mergeCell ref="H117:I117"/>
    <mergeCell ref="D174:E174"/>
    <mergeCell ref="D187:E187"/>
    <mergeCell ref="H187:I187"/>
    <mergeCell ref="D188:E188"/>
    <mergeCell ref="D201:E201"/>
    <mergeCell ref="H201:I201"/>
    <mergeCell ref="D146:E146"/>
    <mergeCell ref="D159:E159"/>
    <mergeCell ref="H159:I159"/>
    <mergeCell ref="D160:E160"/>
    <mergeCell ref="D173:E173"/>
    <mergeCell ref="H173:I173"/>
    <mergeCell ref="D230:E230"/>
    <mergeCell ref="D243:E243"/>
    <mergeCell ref="H243:I243"/>
    <mergeCell ref="D244:E244"/>
    <mergeCell ref="D202:E202"/>
    <mergeCell ref="D215:E215"/>
    <mergeCell ref="H215:I215"/>
    <mergeCell ref="D216:E216"/>
    <mergeCell ref="D229:E229"/>
    <mergeCell ref="H229:I229"/>
  </mergeCells>
  <printOptions horizontalCentered="1"/>
  <pageMargins left="0.25" right="0.25" top="0.75" bottom="0.75" header="0.3" footer="0.3"/>
  <pageSetup paperSize="3" scale="60" fitToHeight="0" pageOrder="overThenDown" orientation="landscape" r:id="rId1"/>
  <headerFooter alignWithMargins="0">
    <oddHeader>&amp;CPage &amp;P&amp;RStormDrain_Comps_MD212.xlsx</oddHeader>
    <oddFooter>Page &amp;P&amp;RStormDrain_Comps_MD212.xlsx</oddFooter>
  </headerFooter>
  <rowBreaks count="3" manualBreakCount="3">
    <brk id="111" max="16383" man="1"/>
    <brk id="167" max="16383" man="1"/>
    <brk id="223" max="16383" man="1"/>
  </rowBreaks>
  <colBreaks count="2" manualBreakCount="2">
    <brk id="144" min="2" max="94" man="1"/>
    <brk id="165" min="2" max="94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CF3-4ED0-4003-A995-8ACA79115A3D}">
  <dimension ref="A1:L101"/>
  <sheetViews>
    <sheetView workbookViewId="0">
      <selection activeCell="AB32" sqref="AB32"/>
    </sheetView>
  </sheetViews>
  <sheetFormatPr defaultColWidth="9.1328125" defaultRowHeight="12.75"/>
  <cols>
    <col min="1" max="16384" width="9.1328125" style="250"/>
  </cols>
  <sheetData>
    <row r="1" spans="1:12" ht="15.4">
      <c r="A1" s="250" t="s">
        <v>408</v>
      </c>
      <c r="B1" s="250" t="s">
        <v>403</v>
      </c>
      <c r="C1" s="250" t="s">
        <v>402</v>
      </c>
      <c r="E1" s="250" t="s">
        <v>407</v>
      </c>
      <c r="F1" s="250" t="s">
        <v>406</v>
      </c>
      <c r="G1" s="250" t="s">
        <v>405</v>
      </c>
      <c r="H1" s="250" t="s">
        <v>404</v>
      </c>
      <c r="J1" s="250" t="s">
        <v>403</v>
      </c>
      <c r="K1" s="250" t="s">
        <v>402</v>
      </c>
      <c r="L1" s="250" t="s">
        <v>401</v>
      </c>
    </row>
    <row r="2" spans="1:12">
      <c r="A2" s="250">
        <v>0</v>
      </c>
      <c r="B2" s="250">
        <v>0.01</v>
      </c>
      <c r="C2" s="250">
        <v>1.2999999999999999E-3</v>
      </c>
      <c r="E2" s="250">
        <v>1</v>
      </c>
      <c r="F2" s="250">
        <v>0.5</v>
      </c>
      <c r="G2" s="250">
        <v>0.15</v>
      </c>
      <c r="H2" s="250">
        <v>0.01</v>
      </c>
      <c r="J2" s="250">
        <v>0.01</v>
      </c>
      <c r="K2" s="250">
        <v>1.2999999999999999E-3</v>
      </c>
      <c r="L2" s="250">
        <v>0</v>
      </c>
    </row>
    <row r="3" spans="1:12">
      <c r="A3" s="250">
        <v>2.0000000000000001E-4</v>
      </c>
      <c r="B3" s="250">
        <v>0.02</v>
      </c>
      <c r="C3" s="250">
        <v>3.7000000000000002E-3</v>
      </c>
      <c r="E3" s="250">
        <v>2</v>
      </c>
      <c r="F3" s="250">
        <v>0.51</v>
      </c>
      <c r="G3" s="250">
        <v>0.16</v>
      </c>
      <c r="H3" s="250">
        <v>0.01</v>
      </c>
      <c r="J3" s="250">
        <v>0.02</v>
      </c>
      <c r="K3" s="250">
        <v>3.7000000000000002E-3</v>
      </c>
      <c r="L3" s="250">
        <v>2.0000000000000001E-4</v>
      </c>
    </row>
    <row r="4" spans="1:12">
      <c r="A4" s="250">
        <v>5.0000000000000001E-4</v>
      </c>
      <c r="B4" s="250">
        <v>0.03</v>
      </c>
      <c r="C4" s="250">
        <v>6.8999999999999999E-3</v>
      </c>
      <c r="E4" s="250">
        <v>3</v>
      </c>
      <c r="F4" s="250">
        <v>0.52</v>
      </c>
      <c r="G4" s="250">
        <v>0.18</v>
      </c>
      <c r="H4" s="250">
        <v>0.02</v>
      </c>
      <c r="J4" s="250">
        <v>0.03</v>
      </c>
      <c r="K4" s="250">
        <v>6.8999999999999999E-3</v>
      </c>
      <c r="L4" s="250">
        <v>5.0000000000000001E-4</v>
      </c>
    </row>
    <row r="5" spans="1:12">
      <c r="A5" s="250">
        <v>8.9999999999999998E-4</v>
      </c>
      <c r="B5" s="250">
        <v>0.04</v>
      </c>
      <c r="C5" s="250">
        <v>1.0500000000000001E-2</v>
      </c>
      <c r="E5" s="250">
        <v>4</v>
      </c>
      <c r="F5" s="250">
        <v>0.53</v>
      </c>
      <c r="G5" s="250">
        <v>0.19</v>
      </c>
      <c r="H5" s="250">
        <v>0.02</v>
      </c>
      <c r="J5" s="250">
        <v>0.04</v>
      </c>
      <c r="K5" s="250">
        <v>1.0500000000000001E-2</v>
      </c>
      <c r="L5" s="250">
        <v>8.9999999999999998E-4</v>
      </c>
    </row>
    <row r="6" spans="1:12">
      <c r="A6" s="250">
        <v>1.5E-3</v>
      </c>
      <c r="B6" s="250">
        <v>0.05</v>
      </c>
      <c r="C6" s="250">
        <v>1.47E-2</v>
      </c>
      <c r="E6" s="250">
        <v>5</v>
      </c>
      <c r="F6" s="250">
        <v>0.54</v>
      </c>
      <c r="G6" s="250">
        <v>0.2</v>
      </c>
      <c r="H6" s="250">
        <v>0.03</v>
      </c>
      <c r="J6" s="250">
        <v>0.05</v>
      </c>
      <c r="K6" s="250">
        <v>1.47E-2</v>
      </c>
      <c r="L6" s="250">
        <v>1.5E-3</v>
      </c>
    </row>
    <row r="7" spans="1:12">
      <c r="A7" s="250">
        <v>2.2000000000000001E-3</v>
      </c>
      <c r="B7" s="250">
        <v>0.06</v>
      </c>
      <c r="C7" s="250">
        <v>1.9199999999999998E-2</v>
      </c>
      <c r="E7" s="250">
        <v>6</v>
      </c>
      <c r="F7" s="250">
        <v>0.55000000000000004</v>
      </c>
      <c r="G7" s="250">
        <v>0.22</v>
      </c>
      <c r="H7" s="250">
        <v>0.03</v>
      </c>
      <c r="J7" s="250">
        <v>0.06</v>
      </c>
      <c r="K7" s="250">
        <v>1.9199999999999998E-2</v>
      </c>
      <c r="L7" s="250">
        <v>2.2000000000000001E-3</v>
      </c>
    </row>
    <row r="8" spans="1:12">
      <c r="A8" s="250">
        <v>3.0999999999999999E-3</v>
      </c>
      <c r="B8" s="250">
        <v>7.0000000000000007E-2</v>
      </c>
      <c r="C8" s="250">
        <v>2.4199999999999999E-2</v>
      </c>
      <c r="E8" s="250">
        <v>7</v>
      </c>
      <c r="F8" s="250">
        <v>0.56000000000000005</v>
      </c>
      <c r="G8" s="250">
        <v>0.22</v>
      </c>
      <c r="H8" s="250">
        <v>0.04</v>
      </c>
      <c r="J8" s="250">
        <v>7.0000000000000007E-2</v>
      </c>
      <c r="K8" s="250">
        <v>2.4199999999999999E-2</v>
      </c>
      <c r="L8" s="250">
        <v>3.0999999999999999E-3</v>
      </c>
    </row>
    <row r="9" spans="1:12">
      <c r="A9" s="250">
        <v>4.0000000000000001E-3</v>
      </c>
      <c r="B9" s="250">
        <v>0.08</v>
      </c>
      <c r="C9" s="250">
        <v>2.9399999999999999E-2</v>
      </c>
      <c r="E9" s="250">
        <v>8</v>
      </c>
      <c r="F9" s="250">
        <v>0.56999999999999995</v>
      </c>
      <c r="G9" s="250">
        <v>0.24</v>
      </c>
      <c r="H9" s="250">
        <v>0.05</v>
      </c>
      <c r="J9" s="250">
        <v>0.08</v>
      </c>
      <c r="K9" s="250">
        <v>2.9399999999999999E-2</v>
      </c>
      <c r="L9" s="250">
        <v>4.0000000000000001E-3</v>
      </c>
    </row>
    <row r="10" spans="1:12">
      <c r="A10" s="250">
        <v>5.1999999999999998E-3</v>
      </c>
      <c r="B10" s="250">
        <v>0.09</v>
      </c>
      <c r="C10" s="250">
        <v>3.5000000000000003E-2</v>
      </c>
      <c r="E10" s="250">
        <v>9</v>
      </c>
      <c r="F10" s="250">
        <v>0.57999999999999996</v>
      </c>
      <c r="G10" s="250">
        <v>0.26</v>
      </c>
      <c r="H10" s="250">
        <v>0.05</v>
      </c>
      <c r="J10" s="250">
        <v>0.09</v>
      </c>
      <c r="K10" s="250">
        <v>3.5000000000000003E-2</v>
      </c>
      <c r="L10" s="250">
        <v>5.1999999999999998E-3</v>
      </c>
    </row>
    <row r="11" spans="1:12">
      <c r="A11" s="250">
        <v>6.4999999999999997E-3</v>
      </c>
      <c r="B11" s="250">
        <v>0.1</v>
      </c>
      <c r="C11" s="250">
        <v>4.0899999999999999E-2</v>
      </c>
      <c r="E11" s="250">
        <v>10</v>
      </c>
      <c r="F11" s="250">
        <v>0.59</v>
      </c>
      <c r="G11" s="250">
        <v>0.28000000000000003</v>
      </c>
      <c r="H11" s="250">
        <v>0.06</v>
      </c>
      <c r="J11" s="250">
        <v>0.1</v>
      </c>
      <c r="K11" s="250">
        <v>4.0899999999999999E-2</v>
      </c>
      <c r="L11" s="250">
        <v>6.4999999999999997E-3</v>
      </c>
    </row>
    <row r="12" spans="1:12">
      <c r="A12" s="250">
        <v>7.9000000000000008E-3</v>
      </c>
      <c r="B12" s="250">
        <v>0.11</v>
      </c>
      <c r="C12" s="250">
        <v>4.7E-2</v>
      </c>
      <c r="E12" s="250">
        <v>11</v>
      </c>
      <c r="F12" s="250">
        <v>0.6</v>
      </c>
      <c r="G12" s="250">
        <v>0.3</v>
      </c>
      <c r="H12" s="250">
        <v>0.06</v>
      </c>
      <c r="J12" s="250">
        <v>0.11</v>
      </c>
      <c r="K12" s="250">
        <v>4.7E-2</v>
      </c>
      <c r="L12" s="250">
        <v>7.9000000000000008E-3</v>
      </c>
    </row>
    <row r="13" spans="1:12">
      <c r="A13" s="250">
        <v>9.4999999999999998E-3</v>
      </c>
      <c r="B13" s="250">
        <v>0.12</v>
      </c>
      <c r="C13" s="250">
        <v>5.3400000000000003E-2</v>
      </c>
      <c r="E13" s="250">
        <v>12</v>
      </c>
      <c r="F13" s="250">
        <v>0.61</v>
      </c>
      <c r="G13" s="250">
        <v>0.31</v>
      </c>
      <c r="H13" s="250">
        <v>7.0000000000000007E-2</v>
      </c>
      <c r="J13" s="250">
        <v>0.12</v>
      </c>
      <c r="K13" s="250">
        <v>5.3400000000000003E-2</v>
      </c>
      <c r="L13" s="250">
        <v>9.4999999999999998E-3</v>
      </c>
    </row>
    <row r="14" spans="1:12">
      <c r="A14" s="250">
        <v>1.1299999999999999E-2</v>
      </c>
      <c r="B14" s="250">
        <v>0.13</v>
      </c>
      <c r="C14" s="250">
        <v>0.06</v>
      </c>
      <c r="E14" s="250">
        <v>13</v>
      </c>
      <c r="F14" s="250">
        <v>0.62</v>
      </c>
      <c r="G14" s="250">
        <v>0.34</v>
      </c>
      <c r="H14" s="250">
        <v>7.0000000000000007E-2</v>
      </c>
      <c r="J14" s="250">
        <v>0.13</v>
      </c>
      <c r="K14" s="250">
        <v>0.06</v>
      </c>
      <c r="L14" s="250">
        <v>1.1299999999999999E-2</v>
      </c>
    </row>
    <row r="15" spans="1:12">
      <c r="A15" s="250">
        <v>1.3100000000000001E-2</v>
      </c>
      <c r="B15" s="250">
        <v>0.14000000000000001</v>
      </c>
      <c r="C15" s="250">
        <v>6.6799999999999998E-2</v>
      </c>
      <c r="E15" s="250">
        <v>14</v>
      </c>
      <c r="F15" s="250">
        <v>0.62</v>
      </c>
      <c r="G15" s="250">
        <v>0.34</v>
      </c>
      <c r="H15" s="250">
        <v>7.0000000000000007E-2</v>
      </c>
      <c r="J15" s="250">
        <v>0.14000000000000001</v>
      </c>
      <c r="K15" s="250">
        <v>6.6799999999999998E-2</v>
      </c>
      <c r="L15" s="250">
        <v>1.3100000000000001E-2</v>
      </c>
    </row>
    <row r="16" spans="1:12">
      <c r="A16" s="250">
        <v>1.52E-2</v>
      </c>
      <c r="B16" s="250">
        <v>0.15</v>
      </c>
      <c r="C16" s="250">
        <v>7.3899999999999993E-2</v>
      </c>
      <c r="E16" s="250">
        <v>15</v>
      </c>
      <c r="F16" s="250">
        <v>0.63</v>
      </c>
      <c r="G16" s="250">
        <v>0.35</v>
      </c>
      <c r="H16" s="250">
        <v>0.08</v>
      </c>
      <c r="J16" s="250">
        <v>0.15</v>
      </c>
      <c r="K16" s="250">
        <v>7.3899999999999993E-2</v>
      </c>
      <c r="L16" s="250">
        <v>1.52E-2</v>
      </c>
    </row>
    <row r="17" spans="1:12">
      <c r="A17" s="250">
        <v>1.7299999999999999E-2</v>
      </c>
      <c r="B17" s="250">
        <v>0.16</v>
      </c>
      <c r="C17" s="250">
        <v>8.1100000000000005E-2</v>
      </c>
      <c r="E17" s="250">
        <v>16</v>
      </c>
      <c r="F17" s="250">
        <v>0.64</v>
      </c>
      <c r="G17" s="250">
        <v>0.36</v>
      </c>
      <c r="H17" s="250">
        <v>0.08</v>
      </c>
      <c r="J17" s="250">
        <v>0.16</v>
      </c>
      <c r="K17" s="250">
        <v>8.1100000000000005E-2</v>
      </c>
      <c r="L17" s="250">
        <v>1.7299999999999999E-2</v>
      </c>
    </row>
    <row r="18" spans="1:12">
      <c r="A18" s="250">
        <v>1.9599999999999999E-2</v>
      </c>
      <c r="B18" s="250">
        <v>0.17</v>
      </c>
      <c r="C18" s="250">
        <v>8.8499999999999995E-2</v>
      </c>
      <c r="E18" s="250">
        <v>17</v>
      </c>
      <c r="F18" s="250">
        <v>0.65</v>
      </c>
      <c r="G18" s="250">
        <v>0.38</v>
      </c>
      <c r="H18" s="250">
        <v>0.09</v>
      </c>
      <c r="J18" s="250">
        <v>0.17</v>
      </c>
      <c r="K18" s="250">
        <v>8.8499999999999995E-2</v>
      </c>
      <c r="L18" s="250">
        <v>1.9599999999999999E-2</v>
      </c>
    </row>
    <row r="19" spans="1:12">
      <c r="A19" s="250">
        <v>2.1999999999999999E-2</v>
      </c>
      <c r="B19" s="250">
        <v>0.18</v>
      </c>
      <c r="C19" s="250">
        <v>9.6100000000000005E-2</v>
      </c>
      <c r="E19" s="250">
        <v>18</v>
      </c>
      <c r="F19" s="250">
        <v>66</v>
      </c>
      <c r="G19" s="250">
        <v>0.39</v>
      </c>
      <c r="H19" s="250">
        <v>0.09</v>
      </c>
      <c r="J19" s="250">
        <v>0.18</v>
      </c>
      <c r="K19" s="250">
        <v>9.6100000000000005E-2</v>
      </c>
      <c r="L19" s="250">
        <v>2.1999999999999999E-2</v>
      </c>
    </row>
    <row r="20" spans="1:12">
      <c r="A20" s="250">
        <v>2.47E-2</v>
      </c>
      <c r="B20" s="250">
        <v>0.19</v>
      </c>
      <c r="C20" s="250">
        <v>0.10390000000000001</v>
      </c>
      <c r="E20" s="250">
        <v>19</v>
      </c>
      <c r="F20" s="250">
        <v>0.67</v>
      </c>
      <c r="G20" s="250">
        <v>0.4</v>
      </c>
      <c r="H20" s="250">
        <v>0.09</v>
      </c>
      <c r="J20" s="250">
        <v>0.19</v>
      </c>
      <c r="K20" s="250">
        <v>0.10390000000000001</v>
      </c>
      <c r="L20" s="250">
        <v>2.47E-2</v>
      </c>
    </row>
    <row r="21" spans="1:12">
      <c r="A21" s="250">
        <v>2.7300000000000001E-2</v>
      </c>
      <c r="B21" s="250">
        <v>0.2</v>
      </c>
      <c r="C21" s="250">
        <v>0.1118</v>
      </c>
      <c r="E21" s="250">
        <v>20</v>
      </c>
      <c r="F21" s="250">
        <v>0.68</v>
      </c>
      <c r="G21" s="250">
        <v>0.42</v>
      </c>
      <c r="H21" s="250">
        <v>0.1</v>
      </c>
      <c r="J21" s="250">
        <v>0.2</v>
      </c>
      <c r="K21" s="250">
        <v>0.1118</v>
      </c>
      <c r="L21" s="250">
        <v>2.7300000000000001E-2</v>
      </c>
    </row>
    <row r="22" spans="1:12">
      <c r="A22" s="250">
        <v>3.0099999999999998E-2</v>
      </c>
      <c r="B22" s="250">
        <v>0.21</v>
      </c>
      <c r="C22" s="250">
        <v>0.11990000000000001</v>
      </c>
      <c r="E22" s="250">
        <v>21</v>
      </c>
      <c r="F22" s="250">
        <v>0.69</v>
      </c>
      <c r="G22" s="250">
        <v>0.43</v>
      </c>
      <c r="H22" s="250">
        <v>0.1</v>
      </c>
      <c r="J22" s="250">
        <v>0.21</v>
      </c>
      <c r="K22" s="250">
        <v>0.11990000000000001</v>
      </c>
      <c r="L22" s="250">
        <v>3.0099999999999998E-2</v>
      </c>
    </row>
    <row r="23" spans="1:12">
      <c r="A23" s="250">
        <v>3.3300000000000003E-2</v>
      </c>
      <c r="B23" s="250">
        <v>0.22</v>
      </c>
      <c r="C23" s="250">
        <v>0.12809999999999999</v>
      </c>
      <c r="E23" s="250">
        <v>22</v>
      </c>
      <c r="F23" s="250">
        <v>0.7</v>
      </c>
      <c r="G23" s="250">
        <v>0.44</v>
      </c>
      <c r="H23" s="250">
        <v>0.11</v>
      </c>
      <c r="J23" s="250">
        <v>0.22</v>
      </c>
      <c r="K23" s="250">
        <v>0.12809999999999999</v>
      </c>
      <c r="L23" s="250">
        <v>3.3300000000000003E-2</v>
      </c>
    </row>
    <row r="24" spans="1:12">
      <c r="A24" s="250">
        <v>3.5900000000000001E-2</v>
      </c>
      <c r="B24" s="250">
        <v>0.23</v>
      </c>
      <c r="C24" s="250">
        <v>0.13650000000000001</v>
      </c>
      <c r="E24" s="250">
        <v>23</v>
      </c>
      <c r="F24" s="250">
        <v>0.71</v>
      </c>
      <c r="G24" s="250">
        <v>0.46</v>
      </c>
      <c r="H24" s="250">
        <v>0.11</v>
      </c>
      <c r="J24" s="250">
        <v>0.23</v>
      </c>
      <c r="K24" s="250">
        <v>0.13650000000000001</v>
      </c>
      <c r="L24" s="250">
        <v>3.5900000000000001E-2</v>
      </c>
    </row>
    <row r="25" spans="1:12">
      <c r="A25" s="250">
        <v>3.9399999999999998E-2</v>
      </c>
      <c r="B25" s="250">
        <v>0.24</v>
      </c>
      <c r="C25" s="250">
        <v>0.1449</v>
      </c>
      <c r="E25" s="250">
        <v>24</v>
      </c>
      <c r="F25" s="250">
        <v>0.73</v>
      </c>
      <c r="G25" s="250">
        <v>0.47</v>
      </c>
      <c r="H25" s="250">
        <v>0.11</v>
      </c>
      <c r="J25" s="250">
        <v>0.24</v>
      </c>
      <c r="K25" s="250">
        <v>0.1449</v>
      </c>
      <c r="L25" s="250">
        <v>3.9399999999999998E-2</v>
      </c>
    </row>
    <row r="26" spans="1:12">
      <c r="A26" s="250">
        <v>4.2700000000000002E-2</v>
      </c>
      <c r="B26" s="250">
        <v>0.25</v>
      </c>
      <c r="C26" s="250">
        <v>0.1535</v>
      </c>
      <c r="E26" s="250">
        <v>25</v>
      </c>
      <c r="F26" s="250">
        <v>0.74</v>
      </c>
      <c r="G26" s="250">
        <v>0.48</v>
      </c>
      <c r="H26" s="250">
        <v>0.12</v>
      </c>
      <c r="J26" s="250">
        <v>0.25</v>
      </c>
      <c r="K26" s="250">
        <v>0.1535</v>
      </c>
      <c r="L26" s="250">
        <v>4.2700000000000002E-2</v>
      </c>
    </row>
    <row r="27" spans="1:12">
      <c r="A27" s="250">
        <v>4.6399999999999997E-2</v>
      </c>
      <c r="B27" s="250">
        <v>0.26</v>
      </c>
      <c r="C27" s="250">
        <v>0.1623</v>
      </c>
      <c r="E27" s="250">
        <v>26</v>
      </c>
      <c r="F27" s="250">
        <v>0.76</v>
      </c>
      <c r="G27" s="250">
        <v>0.5</v>
      </c>
      <c r="H27" s="250">
        <v>0.12</v>
      </c>
      <c r="J27" s="250">
        <v>0.26</v>
      </c>
      <c r="K27" s="250">
        <v>0.1623</v>
      </c>
      <c r="L27" s="250">
        <v>4.6399999999999997E-2</v>
      </c>
    </row>
    <row r="28" spans="1:12">
      <c r="A28" s="250">
        <v>4.9700000000000001E-2</v>
      </c>
      <c r="B28" s="250">
        <v>0.27</v>
      </c>
      <c r="C28" s="250">
        <v>0.1711</v>
      </c>
      <c r="E28" s="250">
        <v>27</v>
      </c>
      <c r="F28" s="250">
        <v>0.78</v>
      </c>
      <c r="G28" s="250">
        <v>0.51</v>
      </c>
      <c r="H28" s="250">
        <v>0.13</v>
      </c>
      <c r="J28" s="250">
        <v>0.27</v>
      </c>
      <c r="K28" s="250">
        <v>0.1711</v>
      </c>
      <c r="L28" s="250">
        <v>4.9700000000000001E-2</v>
      </c>
    </row>
    <row r="29" spans="1:12">
      <c r="A29" s="250">
        <v>5.3600000000000002E-2</v>
      </c>
      <c r="B29" s="250">
        <v>0.28000000000000003</v>
      </c>
      <c r="C29" s="250">
        <v>0.18</v>
      </c>
      <c r="E29" s="250">
        <v>28</v>
      </c>
      <c r="F29" s="250">
        <v>0.8</v>
      </c>
      <c r="G29" s="250">
        <v>0.52</v>
      </c>
      <c r="H29" s="250">
        <v>0.13</v>
      </c>
      <c r="J29" s="250">
        <v>0.28000000000000003</v>
      </c>
      <c r="K29" s="250">
        <v>0.18</v>
      </c>
      <c r="L29" s="250">
        <v>5.3600000000000002E-2</v>
      </c>
    </row>
    <row r="30" spans="1:12">
      <c r="A30" s="250">
        <v>5.7099999999999998E-2</v>
      </c>
      <c r="B30" s="250">
        <v>0.28999999999999998</v>
      </c>
      <c r="C30" s="250">
        <v>0.189</v>
      </c>
      <c r="E30" s="250">
        <v>29</v>
      </c>
      <c r="F30" s="250">
        <v>0.82</v>
      </c>
      <c r="G30" s="250">
        <v>0.54</v>
      </c>
      <c r="H30" s="250">
        <v>0.13</v>
      </c>
      <c r="J30" s="250">
        <v>0.28999999999999998</v>
      </c>
      <c r="K30" s="250">
        <v>0.189</v>
      </c>
      <c r="L30" s="250">
        <v>5.7099999999999998E-2</v>
      </c>
    </row>
    <row r="31" spans="1:12">
      <c r="A31" s="250">
        <v>6.0999999999999999E-2</v>
      </c>
      <c r="B31" s="250">
        <v>0.3</v>
      </c>
      <c r="C31" s="250">
        <v>0.19819999999999999</v>
      </c>
      <c r="E31" s="250">
        <v>30</v>
      </c>
      <c r="F31" s="250">
        <v>0.83</v>
      </c>
      <c r="G31" s="250">
        <v>0.55000000000000004</v>
      </c>
      <c r="H31" s="250">
        <v>0.14000000000000001</v>
      </c>
      <c r="J31" s="250">
        <v>0.3</v>
      </c>
      <c r="K31" s="250">
        <v>0.19819999999999999</v>
      </c>
      <c r="L31" s="250">
        <v>6.0999999999999999E-2</v>
      </c>
    </row>
    <row r="32" spans="1:12">
      <c r="A32" s="250">
        <v>6.5000000000000002E-2</v>
      </c>
      <c r="B32" s="250">
        <v>0.31</v>
      </c>
      <c r="C32" s="250">
        <v>0.2074</v>
      </c>
      <c r="E32" s="250">
        <v>31</v>
      </c>
      <c r="F32" s="250">
        <v>0.85</v>
      </c>
      <c r="G32" s="250">
        <v>0.56000000000000005</v>
      </c>
      <c r="H32" s="250">
        <v>0.14000000000000001</v>
      </c>
      <c r="J32" s="250">
        <v>0.31</v>
      </c>
      <c r="K32" s="250">
        <v>0.2074</v>
      </c>
      <c r="L32" s="250">
        <v>6.5000000000000002E-2</v>
      </c>
    </row>
    <row r="33" spans="1:12">
      <c r="A33" s="250">
        <v>6.9000000000000006E-2</v>
      </c>
      <c r="B33" s="250">
        <v>0.32</v>
      </c>
      <c r="C33" s="250">
        <v>0.2167</v>
      </c>
      <c r="E33" s="250">
        <v>32</v>
      </c>
      <c r="F33" s="250">
        <v>0.87</v>
      </c>
      <c r="G33" s="250">
        <v>0.57999999999999996</v>
      </c>
      <c r="H33" s="250">
        <v>0.14000000000000001</v>
      </c>
      <c r="J33" s="250">
        <v>0.32</v>
      </c>
      <c r="K33" s="250">
        <v>0.2167</v>
      </c>
      <c r="L33" s="250">
        <v>6.9000000000000006E-2</v>
      </c>
    </row>
    <row r="34" spans="1:12">
      <c r="A34" s="250">
        <v>7.3599999999999999E-2</v>
      </c>
      <c r="B34" s="250">
        <v>0.33</v>
      </c>
      <c r="C34" s="250">
        <v>0.22600000000000001</v>
      </c>
      <c r="E34" s="250">
        <v>33</v>
      </c>
      <c r="F34" s="250">
        <v>0.89</v>
      </c>
      <c r="G34" s="250">
        <v>0.59</v>
      </c>
      <c r="H34" s="250">
        <v>0.14000000000000001</v>
      </c>
      <c r="J34" s="250">
        <v>0.33</v>
      </c>
      <c r="K34" s="250">
        <v>0.22600000000000001</v>
      </c>
      <c r="L34" s="250">
        <v>7.3599999999999999E-2</v>
      </c>
    </row>
    <row r="35" spans="1:12">
      <c r="A35" s="250">
        <v>7.7600000000000002E-2</v>
      </c>
      <c r="B35" s="250">
        <v>0.34</v>
      </c>
      <c r="C35" s="250">
        <v>0.23350000000000001</v>
      </c>
      <c r="E35" s="250">
        <v>34</v>
      </c>
      <c r="F35" s="250">
        <v>0.9</v>
      </c>
      <c r="G35" s="250">
        <v>0.6</v>
      </c>
      <c r="H35" s="250">
        <v>0.14000000000000001</v>
      </c>
      <c r="J35" s="250">
        <v>0.34</v>
      </c>
      <c r="K35" s="250">
        <v>0.23350000000000001</v>
      </c>
      <c r="L35" s="250">
        <v>7.7600000000000002E-2</v>
      </c>
    </row>
    <row r="36" spans="1:12">
      <c r="A36" s="250">
        <v>8.2000000000000003E-2</v>
      </c>
      <c r="B36" s="250">
        <v>0.35</v>
      </c>
      <c r="C36" s="250">
        <v>0.245</v>
      </c>
      <c r="E36" s="250">
        <v>35</v>
      </c>
      <c r="F36" s="250">
        <v>0.92</v>
      </c>
      <c r="G36" s="250">
        <v>0.62</v>
      </c>
      <c r="H36" s="250">
        <v>0.15</v>
      </c>
      <c r="J36" s="250">
        <v>0.35</v>
      </c>
      <c r="K36" s="250">
        <v>0.245</v>
      </c>
      <c r="L36" s="250">
        <v>8.2000000000000003E-2</v>
      </c>
    </row>
    <row r="37" spans="1:12">
      <c r="A37" s="250">
        <v>8.6400000000000005E-2</v>
      </c>
      <c r="B37" s="250">
        <v>0.36</v>
      </c>
      <c r="C37" s="250">
        <v>0.25459999999999999</v>
      </c>
      <c r="E37" s="250">
        <v>36</v>
      </c>
      <c r="F37" s="250">
        <v>0.94</v>
      </c>
      <c r="G37" s="250">
        <v>0.63</v>
      </c>
      <c r="H37" s="250">
        <v>0.15</v>
      </c>
      <c r="J37" s="250">
        <v>0.36</v>
      </c>
      <c r="K37" s="250">
        <v>0.25459999999999999</v>
      </c>
      <c r="L37" s="250">
        <v>8.6400000000000005E-2</v>
      </c>
    </row>
    <row r="38" spans="1:12">
      <c r="A38" s="250">
        <v>9.0899999999999995E-2</v>
      </c>
      <c r="B38" s="250">
        <v>0.37</v>
      </c>
      <c r="C38" s="250">
        <v>0.26419999999999999</v>
      </c>
      <c r="E38" s="250">
        <v>37</v>
      </c>
      <c r="F38" s="250">
        <v>0.96</v>
      </c>
      <c r="G38" s="250">
        <v>0.64</v>
      </c>
      <c r="H38" s="250">
        <v>0.16</v>
      </c>
      <c r="J38" s="250">
        <v>0.37</v>
      </c>
      <c r="K38" s="250">
        <v>0.26419999999999999</v>
      </c>
      <c r="L38" s="250">
        <v>9.0899999999999995E-2</v>
      </c>
    </row>
    <row r="39" spans="1:12">
      <c r="A39" s="250">
        <v>9.5500000000000002E-2</v>
      </c>
      <c r="B39" s="250">
        <v>0.38</v>
      </c>
      <c r="C39" s="250">
        <v>0.27389999999999998</v>
      </c>
      <c r="E39" s="250">
        <v>38</v>
      </c>
      <c r="F39" s="250">
        <v>0.98</v>
      </c>
      <c r="G39" s="250">
        <v>0.66</v>
      </c>
      <c r="H39" s="250">
        <v>0.16</v>
      </c>
      <c r="J39" s="250">
        <v>0.38</v>
      </c>
      <c r="K39" s="250">
        <v>0.27389999999999998</v>
      </c>
      <c r="L39" s="250">
        <v>9.5500000000000002E-2</v>
      </c>
    </row>
    <row r="40" spans="1:12">
      <c r="A40" s="250">
        <v>0.10199999999999999</v>
      </c>
      <c r="B40" s="250">
        <v>0.39</v>
      </c>
      <c r="C40" s="250">
        <v>0.28360000000000002</v>
      </c>
      <c r="E40" s="250">
        <v>39</v>
      </c>
      <c r="F40" s="250">
        <v>0.99</v>
      </c>
      <c r="G40" s="250">
        <v>0.67</v>
      </c>
      <c r="H40" s="250">
        <v>0.16</v>
      </c>
      <c r="J40" s="250">
        <v>0.39</v>
      </c>
      <c r="K40" s="250">
        <v>0.28360000000000002</v>
      </c>
      <c r="L40" s="250">
        <v>0.10199999999999999</v>
      </c>
    </row>
    <row r="41" spans="1:12">
      <c r="A41" s="250">
        <v>0.105</v>
      </c>
      <c r="B41" s="250">
        <v>0.4</v>
      </c>
      <c r="C41" s="250">
        <v>0.29339999999999999</v>
      </c>
      <c r="E41" s="250">
        <v>40</v>
      </c>
      <c r="F41" s="250">
        <v>1.01</v>
      </c>
      <c r="G41" s="250">
        <v>0.68</v>
      </c>
      <c r="H41" s="250">
        <v>0.17</v>
      </c>
      <c r="J41" s="250">
        <v>0.4</v>
      </c>
      <c r="K41" s="250">
        <v>0.29339999999999999</v>
      </c>
      <c r="L41" s="250">
        <v>0.105</v>
      </c>
    </row>
    <row r="42" spans="1:12">
      <c r="A42" s="250">
        <v>0.11</v>
      </c>
      <c r="B42" s="250">
        <v>0.41</v>
      </c>
      <c r="C42" s="250">
        <v>0.30320000000000003</v>
      </c>
      <c r="E42" s="250">
        <v>41</v>
      </c>
      <c r="F42" s="250">
        <v>1.03</v>
      </c>
      <c r="G42" s="250">
        <v>0.7</v>
      </c>
      <c r="H42" s="250">
        <v>0.17</v>
      </c>
      <c r="J42" s="250">
        <v>0.41</v>
      </c>
      <c r="K42" s="250">
        <v>0.30320000000000003</v>
      </c>
      <c r="L42" s="250">
        <v>0.11</v>
      </c>
    </row>
    <row r="43" spans="1:12">
      <c r="A43" s="250">
        <v>0.1147</v>
      </c>
      <c r="B43" s="250">
        <v>0.42</v>
      </c>
      <c r="C43" s="250">
        <v>0.31319999999999998</v>
      </c>
      <c r="E43" s="250">
        <v>42</v>
      </c>
      <c r="F43" s="250">
        <v>1.05</v>
      </c>
      <c r="G43" s="250">
        <v>0.71</v>
      </c>
      <c r="H43" s="250">
        <v>0.17</v>
      </c>
      <c r="J43" s="250">
        <v>0.42</v>
      </c>
      <c r="K43" s="250">
        <v>0.31319999999999998</v>
      </c>
      <c r="L43" s="250">
        <v>0.1147</v>
      </c>
    </row>
    <row r="44" spans="1:12">
      <c r="A44" s="250">
        <v>0.1196</v>
      </c>
      <c r="B44" s="250">
        <v>0.43</v>
      </c>
      <c r="C44" s="250">
        <v>0.32290000000000002</v>
      </c>
      <c r="E44" s="250">
        <v>43</v>
      </c>
      <c r="F44" s="250">
        <v>1.06</v>
      </c>
      <c r="G44" s="250">
        <v>0.72</v>
      </c>
      <c r="H44" s="250">
        <v>0.17</v>
      </c>
      <c r="J44" s="250">
        <v>0.43</v>
      </c>
      <c r="K44" s="250">
        <v>0.32290000000000002</v>
      </c>
      <c r="L44" s="250">
        <v>0.1196</v>
      </c>
    </row>
    <row r="45" spans="1:12">
      <c r="A45" s="250">
        <v>0.1245</v>
      </c>
      <c r="B45" s="250">
        <v>0.44</v>
      </c>
      <c r="C45" s="250">
        <v>0.33279999999999998</v>
      </c>
      <c r="E45" s="250">
        <v>44</v>
      </c>
      <c r="F45" s="250">
        <v>1.08</v>
      </c>
      <c r="G45" s="250">
        <v>0.74</v>
      </c>
      <c r="H45" s="250">
        <v>0.18</v>
      </c>
      <c r="J45" s="250">
        <v>0.44</v>
      </c>
      <c r="K45" s="250">
        <v>0.33279999999999998</v>
      </c>
      <c r="L45" s="250">
        <v>0.1245</v>
      </c>
    </row>
    <row r="46" spans="1:12">
      <c r="A46" s="250">
        <v>0.1298</v>
      </c>
      <c r="B46" s="250">
        <v>0.45</v>
      </c>
      <c r="C46" s="250">
        <v>0.34279999999999999</v>
      </c>
      <c r="E46" s="250">
        <v>45</v>
      </c>
      <c r="F46" s="250">
        <v>1.1000000000000001</v>
      </c>
      <c r="G46" s="250">
        <v>0.75</v>
      </c>
      <c r="H46" s="250">
        <v>0.18</v>
      </c>
      <c r="J46" s="250">
        <v>0.45</v>
      </c>
      <c r="K46" s="250">
        <v>0.34279999999999999</v>
      </c>
      <c r="L46" s="250">
        <v>0.1298</v>
      </c>
    </row>
    <row r="47" spans="1:12">
      <c r="A47" s="250">
        <v>0.1348</v>
      </c>
      <c r="B47" s="250">
        <v>0.46</v>
      </c>
      <c r="C47" s="250">
        <v>0.35270000000000001</v>
      </c>
      <c r="E47" s="250">
        <v>46</v>
      </c>
      <c r="F47" s="250">
        <v>1.1100000000000001</v>
      </c>
      <c r="G47" s="250">
        <v>0.76</v>
      </c>
      <c r="H47" s="250">
        <v>0.18</v>
      </c>
      <c r="J47" s="250">
        <v>0.46</v>
      </c>
      <c r="K47" s="250">
        <v>0.35270000000000001</v>
      </c>
      <c r="L47" s="250">
        <v>0.1348</v>
      </c>
    </row>
    <row r="48" spans="1:12">
      <c r="A48" s="250">
        <v>0.1401</v>
      </c>
      <c r="B48" s="250">
        <v>0.47</v>
      </c>
      <c r="C48" s="250">
        <v>0.36270000000000002</v>
      </c>
      <c r="E48" s="250">
        <v>47</v>
      </c>
      <c r="F48" s="250">
        <v>1.1200000000000001</v>
      </c>
      <c r="G48" s="250">
        <v>0.76</v>
      </c>
      <c r="H48" s="250">
        <v>0.19</v>
      </c>
      <c r="J48" s="250">
        <v>0.47</v>
      </c>
      <c r="K48" s="250">
        <v>0.36270000000000002</v>
      </c>
      <c r="L48" s="250">
        <v>0.1401</v>
      </c>
    </row>
    <row r="49" spans="1:12">
      <c r="A49" s="250">
        <v>0.1452</v>
      </c>
      <c r="B49" s="250">
        <v>0.48</v>
      </c>
      <c r="C49" s="250">
        <v>0.37269999999999998</v>
      </c>
      <c r="E49" s="250">
        <v>48</v>
      </c>
      <c r="F49" s="250">
        <v>1.1299999999999999</v>
      </c>
      <c r="G49" s="250">
        <v>0.77</v>
      </c>
      <c r="H49" s="250">
        <v>0.19</v>
      </c>
      <c r="J49" s="250">
        <v>0.48</v>
      </c>
      <c r="K49" s="250">
        <v>0.37269999999999998</v>
      </c>
      <c r="L49" s="250">
        <v>0.1452</v>
      </c>
    </row>
    <row r="50" spans="1:12">
      <c r="A50" s="250">
        <v>0.15049999999999999</v>
      </c>
      <c r="B50" s="250">
        <v>0.49</v>
      </c>
      <c r="C50" s="250">
        <v>0.38269999999999998</v>
      </c>
      <c r="E50" s="250">
        <v>49</v>
      </c>
      <c r="F50" s="250">
        <v>1.1399999999999999</v>
      </c>
      <c r="G50" s="250">
        <v>0.78</v>
      </c>
      <c r="H50" s="250">
        <v>0.19</v>
      </c>
      <c r="J50" s="250">
        <v>0.49</v>
      </c>
      <c r="K50" s="250">
        <v>0.38269999999999998</v>
      </c>
      <c r="L50" s="250">
        <v>0.15049999999999999</v>
      </c>
    </row>
    <row r="51" spans="1:12">
      <c r="A51" s="250">
        <v>0.15579999999999999</v>
      </c>
      <c r="B51" s="250">
        <v>0.5</v>
      </c>
      <c r="C51" s="250">
        <v>0.39269999999999999</v>
      </c>
      <c r="E51" s="250">
        <v>50</v>
      </c>
      <c r="F51" s="250">
        <v>1.1499999999999999</v>
      </c>
      <c r="G51" s="250">
        <v>0.78</v>
      </c>
      <c r="H51" s="250">
        <v>0.19</v>
      </c>
      <c r="J51" s="250">
        <v>0.5</v>
      </c>
      <c r="K51" s="250">
        <v>0.39269999999999999</v>
      </c>
      <c r="L51" s="250">
        <v>0.15579999999999999</v>
      </c>
    </row>
    <row r="52" spans="1:12">
      <c r="A52" s="250">
        <v>0.161</v>
      </c>
      <c r="B52" s="250">
        <v>0.51</v>
      </c>
      <c r="C52" s="250">
        <v>0.4027</v>
      </c>
      <c r="E52" s="250">
        <v>51</v>
      </c>
      <c r="F52" s="250">
        <v>1.1599999999999999</v>
      </c>
      <c r="G52" s="250">
        <v>0.79</v>
      </c>
      <c r="H52" s="250">
        <v>0.19</v>
      </c>
      <c r="J52" s="250">
        <v>0.51</v>
      </c>
      <c r="K52" s="250">
        <v>0.4027</v>
      </c>
      <c r="L52" s="250">
        <v>0.161</v>
      </c>
    </row>
    <row r="53" spans="1:12">
      <c r="A53" s="250">
        <v>0.16639999999999999</v>
      </c>
      <c r="B53" s="250">
        <v>0.52</v>
      </c>
      <c r="C53" s="250">
        <v>0.41270000000000001</v>
      </c>
      <c r="E53" s="250">
        <v>52</v>
      </c>
      <c r="F53" s="250">
        <v>1.17</v>
      </c>
      <c r="G53" s="250">
        <v>0.8</v>
      </c>
      <c r="H53" s="250">
        <v>0.19</v>
      </c>
      <c r="J53" s="250">
        <v>0.52</v>
      </c>
      <c r="K53" s="250">
        <v>0.41270000000000001</v>
      </c>
      <c r="L53" s="250">
        <v>0.16639999999999999</v>
      </c>
    </row>
    <row r="54" spans="1:12">
      <c r="A54" s="250">
        <v>0.17150000000000001</v>
      </c>
      <c r="B54" s="250">
        <v>0.53</v>
      </c>
      <c r="C54" s="250">
        <v>0.42270000000000002</v>
      </c>
      <c r="E54" s="250">
        <v>53</v>
      </c>
      <c r="F54" s="250">
        <v>1.18</v>
      </c>
      <c r="G54" s="250">
        <v>0.8</v>
      </c>
      <c r="H54" s="250">
        <v>0.19</v>
      </c>
      <c r="J54" s="250">
        <v>0.53</v>
      </c>
      <c r="K54" s="250">
        <v>0.42270000000000002</v>
      </c>
      <c r="L54" s="250">
        <v>0.17150000000000001</v>
      </c>
    </row>
    <row r="55" spans="1:12">
      <c r="A55" s="250">
        <v>0.1772</v>
      </c>
      <c r="B55" s="250">
        <v>0.54</v>
      </c>
      <c r="C55" s="250">
        <v>0.43269999999999997</v>
      </c>
      <c r="E55" s="250">
        <v>54</v>
      </c>
      <c r="F55" s="250">
        <v>1.19</v>
      </c>
      <c r="G55" s="250">
        <v>0.81</v>
      </c>
      <c r="H55" s="250">
        <v>0.2</v>
      </c>
      <c r="J55" s="250">
        <v>0.54</v>
      </c>
      <c r="K55" s="250">
        <v>0.43269999999999997</v>
      </c>
      <c r="L55" s="250">
        <v>0.1772</v>
      </c>
    </row>
    <row r="56" spans="1:12">
      <c r="A56" s="250">
        <v>0.1825</v>
      </c>
      <c r="B56" s="250">
        <v>0.55000000000000004</v>
      </c>
      <c r="C56" s="250">
        <v>0.44259999999999999</v>
      </c>
      <c r="E56" s="250">
        <v>55</v>
      </c>
      <c r="F56" s="250">
        <v>1.2</v>
      </c>
      <c r="G56" s="250">
        <v>0.82</v>
      </c>
      <c r="H56" s="250">
        <v>0.2</v>
      </c>
      <c r="J56" s="250">
        <v>0.55000000000000004</v>
      </c>
      <c r="K56" s="250">
        <v>0.44259999999999999</v>
      </c>
      <c r="L56" s="250">
        <v>0.1825</v>
      </c>
    </row>
    <row r="57" spans="1:12">
      <c r="A57" s="250">
        <v>0.18779999999999999</v>
      </c>
      <c r="B57" s="250">
        <v>0.56000000000000005</v>
      </c>
      <c r="C57" s="250">
        <v>0.4526</v>
      </c>
      <c r="E57" s="250">
        <v>56</v>
      </c>
      <c r="F57" s="250">
        <v>1.21</v>
      </c>
      <c r="G57" s="250">
        <v>0.82</v>
      </c>
      <c r="H57" s="250">
        <v>0.2</v>
      </c>
      <c r="J57" s="250">
        <v>0.56000000000000005</v>
      </c>
      <c r="K57" s="250">
        <v>0.4526</v>
      </c>
      <c r="L57" s="250">
        <v>0.18779999999999999</v>
      </c>
    </row>
    <row r="58" spans="1:12">
      <c r="A58" s="250">
        <v>0.1933</v>
      </c>
      <c r="B58" s="250">
        <v>0.56999999999999995</v>
      </c>
      <c r="C58" s="250">
        <v>0.46250000000000002</v>
      </c>
      <c r="E58" s="250">
        <v>57</v>
      </c>
      <c r="F58" s="250">
        <v>1.22</v>
      </c>
      <c r="G58" s="250">
        <v>0.83</v>
      </c>
      <c r="H58" s="250">
        <v>0.2</v>
      </c>
      <c r="J58" s="250">
        <v>0.56999999999999995</v>
      </c>
      <c r="K58" s="250">
        <v>0.46250000000000002</v>
      </c>
      <c r="L58" s="250">
        <v>0.1933</v>
      </c>
    </row>
    <row r="59" spans="1:12">
      <c r="A59" s="250">
        <v>0.19869999999999999</v>
      </c>
      <c r="B59" s="250">
        <v>0.57999999999999996</v>
      </c>
      <c r="C59" s="250">
        <v>0.4723</v>
      </c>
      <c r="E59" s="250">
        <v>58</v>
      </c>
      <c r="F59" s="250">
        <v>1.23</v>
      </c>
      <c r="G59" s="250">
        <v>0.84</v>
      </c>
      <c r="H59" s="250">
        <v>0.2</v>
      </c>
      <c r="J59" s="250">
        <v>0.57999999999999996</v>
      </c>
      <c r="K59" s="250">
        <v>0.4723</v>
      </c>
      <c r="L59" s="250">
        <v>0.19869999999999999</v>
      </c>
    </row>
    <row r="60" spans="1:12">
      <c r="A60" s="250">
        <v>0.2041</v>
      </c>
      <c r="B60" s="250">
        <v>0.59</v>
      </c>
      <c r="C60" s="250">
        <v>0.48220000000000002</v>
      </c>
      <c r="E60" s="250">
        <v>59</v>
      </c>
      <c r="F60" s="250">
        <v>1.24</v>
      </c>
      <c r="G60" s="250">
        <v>0.84</v>
      </c>
      <c r="H60" s="250">
        <v>0.2</v>
      </c>
      <c r="J60" s="250">
        <v>0.59</v>
      </c>
      <c r="K60" s="250">
        <v>0.48220000000000002</v>
      </c>
      <c r="L60" s="250">
        <v>0.2041</v>
      </c>
    </row>
    <row r="61" spans="1:12">
      <c r="A61" s="250">
        <v>0.2092</v>
      </c>
      <c r="B61" s="250">
        <v>0.6</v>
      </c>
      <c r="C61" s="250">
        <v>0.49199999999999999</v>
      </c>
      <c r="E61" s="250">
        <v>60</v>
      </c>
      <c r="F61" s="250">
        <v>1.25</v>
      </c>
      <c r="G61" s="250">
        <v>0.85</v>
      </c>
      <c r="H61" s="250">
        <v>0.2</v>
      </c>
      <c r="J61" s="250">
        <v>0.6</v>
      </c>
      <c r="K61" s="250">
        <v>0.49199999999999999</v>
      </c>
      <c r="L61" s="250">
        <v>0.2092</v>
      </c>
    </row>
    <row r="62" spans="1:12">
      <c r="A62" s="250">
        <v>0.21460000000000001</v>
      </c>
      <c r="B62" s="250">
        <v>0.61</v>
      </c>
      <c r="C62" s="250">
        <v>0.50180000000000002</v>
      </c>
      <c r="E62" s="250">
        <v>61</v>
      </c>
      <c r="F62" s="250">
        <v>1.26</v>
      </c>
      <c r="G62" s="250">
        <v>0.85</v>
      </c>
      <c r="H62" s="250">
        <v>0.2</v>
      </c>
      <c r="J62" s="250">
        <v>0.61</v>
      </c>
      <c r="K62" s="250">
        <v>0.50180000000000002</v>
      </c>
      <c r="L62" s="250">
        <v>0.21460000000000001</v>
      </c>
    </row>
    <row r="63" spans="1:12">
      <c r="A63" s="250">
        <v>0.21990000000000001</v>
      </c>
      <c r="B63" s="250">
        <v>0.62</v>
      </c>
      <c r="C63" s="250">
        <v>0.51149999999999995</v>
      </c>
      <c r="E63" s="250">
        <v>62</v>
      </c>
      <c r="F63" s="250">
        <v>1.27</v>
      </c>
      <c r="G63" s="250">
        <v>0.86</v>
      </c>
      <c r="H63" s="250">
        <v>0.2</v>
      </c>
      <c r="J63" s="250">
        <v>0.62</v>
      </c>
      <c r="K63" s="250">
        <v>0.51149999999999995</v>
      </c>
      <c r="L63" s="250">
        <v>0.21990000000000001</v>
      </c>
    </row>
    <row r="64" spans="1:12">
      <c r="A64" s="250">
        <v>0.22520000000000001</v>
      </c>
      <c r="B64" s="250">
        <v>0.63</v>
      </c>
      <c r="C64" s="250">
        <v>0.5212</v>
      </c>
      <c r="E64" s="250">
        <v>63</v>
      </c>
      <c r="F64" s="250">
        <v>1.27</v>
      </c>
      <c r="G64" s="250">
        <v>0.86</v>
      </c>
      <c r="H64" s="250">
        <v>0.2</v>
      </c>
      <c r="J64" s="250">
        <v>0.63</v>
      </c>
      <c r="K64" s="250">
        <v>0.5212</v>
      </c>
      <c r="L64" s="250">
        <v>0.22520000000000001</v>
      </c>
    </row>
    <row r="65" spans="1:12">
      <c r="A65" s="250">
        <v>0.23019999999999999</v>
      </c>
      <c r="B65" s="250">
        <v>0.64</v>
      </c>
      <c r="C65" s="250">
        <v>0.53080000000000005</v>
      </c>
      <c r="E65" s="250">
        <v>64</v>
      </c>
      <c r="F65" s="250">
        <v>1.28</v>
      </c>
      <c r="G65" s="250">
        <v>0.87</v>
      </c>
      <c r="H65" s="250">
        <v>0.2</v>
      </c>
      <c r="J65" s="250">
        <v>0.64</v>
      </c>
      <c r="K65" s="250">
        <v>0.53080000000000005</v>
      </c>
      <c r="L65" s="250">
        <v>0.23019999999999999</v>
      </c>
    </row>
    <row r="66" spans="1:12">
      <c r="A66" s="250">
        <v>0.23580000000000001</v>
      </c>
      <c r="B66" s="250">
        <v>0.65</v>
      </c>
      <c r="C66" s="250">
        <v>0.54039999999999999</v>
      </c>
      <c r="E66" s="250">
        <v>65</v>
      </c>
      <c r="F66" s="250">
        <v>1.29</v>
      </c>
      <c r="G66" s="250">
        <v>0.87</v>
      </c>
      <c r="H66" s="250">
        <v>0.2</v>
      </c>
      <c r="J66" s="250">
        <v>0.65</v>
      </c>
      <c r="K66" s="250">
        <v>0.54039999999999999</v>
      </c>
      <c r="L66" s="250">
        <v>0.23580000000000001</v>
      </c>
    </row>
    <row r="67" spans="1:12">
      <c r="A67" s="250">
        <v>0.2407</v>
      </c>
      <c r="B67" s="250">
        <v>0.66</v>
      </c>
      <c r="C67" s="250">
        <v>0.54990000000000006</v>
      </c>
      <c r="E67" s="250">
        <v>66</v>
      </c>
      <c r="F67" s="250">
        <v>1.3</v>
      </c>
      <c r="G67" s="250">
        <v>0.88</v>
      </c>
      <c r="H67" s="250">
        <v>0.21</v>
      </c>
      <c r="J67" s="250">
        <v>0.66</v>
      </c>
      <c r="K67" s="250">
        <v>0.54990000000000006</v>
      </c>
      <c r="L67" s="250">
        <v>0.2407</v>
      </c>
    </row>
    <row r="68" spans="1:12">
      <c r="A68" s="250">
        <v>0.246</v>
      </c>
      <c r="B68" s="250">
        <v>0.67</v>
      </c>
      <c r="C68" s="250">
        <v>0.55940000000000001</v>
      </c>
      <c r="E68" s="250">
        <v>67</v>
      </c>
      <c r="F68" s="250">
        <v>1.31</v>
      </c>
      <c r="G68" s="250">
        <v>0.88</v>
      </c>
      <c r="H68" s="250">
        <v>0.21</v>
      </c>
      <c r="J68" s="250">
        <v>0.67</v>
      </c>
      <c r="K68" s="250">
        <v>0.55940000000000001</v>
      </c>
      <c r="L68" s="250">
        <v>0.246</v>
      </c>
    </row>
    <row r="69" spans="1:12">
      <c r="A69" s="250">
        <v>0.251</v>
      </c>
      <c r="B69" s="250">
        <v>0.68</v>
      </c>
      <c r="C69" s="250">
        <v>0.56869999999999998</v>
      </c>
      <c r="E69" s="250">
        <v>68</v>
      </c>
      <c r="F69" s="250">
        <v>1.32</v>
      </c>
      <c r="G69" s="250">
        <v>0.89</v>
      </c>
      <c r="H69" s="250">
        <v>0.21</v>
      </c>
      <c r="J69" s="250">
        <v>0.68</v>
      </c>
      <c r="K69" s="250">
        <v>0.56869999999999998</v>
      </c>
      <c r="L69" s="250">
        <v>0.251</v>
      </c>
    </row>
    <row r="70" spans="1:12">
      <c r="A70" s="250">
        <v>0.25600000000000001</v>
      </c>
      <c r="B70" s="250">
        <v>0.69</v>
      </c>
      <c r="C70" s="250">
        <v>0.57799999999999996</v>
      </c>
      <c r="E70" s="250">
        <v>69</v>
      </c>
      <c r="F70" s="250">
        <v>1.32</v>
      </c>
      <c r="G70" s="250">
        <v>0.89</v>
      </c>
      <c r="H70" s="250">
        <v>0.21</v>
      </c>
      <c r="J70" s="250">
        <v>0.69</v>
      </c>
      <c r="K70" s="250">
        <v>0.57799999999999996</v>
      </c>
      <c r="L70" s="250">
        <v>0.25600000000000001</v>
      </c>
    </row>
    <row r="71" spans="1:12">
      <c r="A71" s="250">
        <v>0.26079999999999998</v>
      </c>
      <c r="B71" s="250">
        <v>0.7</v>
      </c>
      <c r="C71" s="250">
        <v>0.58720000000000006</v>
      </c>
      <c r="E71" s="250">
        <v>70</v>
      </c>
      <c r="F71" s="250">
        <v>1.33</v>
      </c>
      <c r="G71" s="250">
        <v>0.9</v>
      </c>
      <c r="H71" s="250">
        <v>0.21</v>
      </c>
      <c r="J71" s="250">
        <v>0.7</v>
      </c>
      <c r="K71" s="250">
        <v>0.58720000000000006</v>
      </c>
      <c r="L71" s="250">
        <v>0.26079999999999998</v>
      </c>
    </row>
    <row r="72" spans="1:12">
      <c r="A72" s="250">
        <v>0.26529999999999998</v>
      </c>
      <c r="B72" s="250">
        <v>0.71</v>
      </c>
      <c r="C72" s="250">
        <v>0.59640000000000004</v>
      </c>
      <c r="E72" s="250">
        <v>71</v>
      </c>
      <c r="F72" s="250">
        <v>1.34</v>
      </c>
      <c r="G72" s="250">
        <v>0.91</v>
      </c>
      <c r="H72" s="250">
        <v>0.21</v>
      </c>
      <c r="J72" s="250">
        <v>0.71</v>
      </c>
      <c r="K72" s="250">
        <v>0.59640000000000004</v>
      </c>
      <c r="L72" s="250">
        <v>0.26529999999999998</v>
      </c>
    </row>
    <row r="73" spans="1:12">
      <c r="A73" s="250">
        <v>0.2702</v>
      </c>
      <c r="B73" s="250">
        <v>0.72</v>
      </c>
      <c r="C73" s="250">
        <v>0.60540000000000005</v>
      </c>
      <c r="E73" s="250">
        <v>72</v>
      </c>
      <c r="F73" s="250">
        <v>1.35</v>
      </c>
      <c r="G73" s="250">
        <v>0.91</v>
      </c>
      <c r="H73" s="250">
        <v>0.21</v>
      </c>
      <c r="J73" s="250">
        <v>0.72</v>
      </c>
      <c r="K73" s="250">
        <v>0.60540000000000005</v>
      </c>
      <c r="L73" s="250">
        <v>0.2702</v>
      </c>
    </row>
    <row r="74" spans="1:12">
      <c r="A74" s="250">
        <v>0.27510000000000001</v>
      </c>
      <c r="B74" s="250">
        <v>0.73</v>
      </c>
      <c r="C74" s="250">
        <v>0.61429999999999996</v>
      </c>
      <c r="E74" s="250">
        <v>73</v>
      </c>
      <c r="F74" s="250">
        <v>1.36</v>
      </c>
      <c r="G74" s="250">
        <v>0.91</v>
      </c>
      <c r="H74" s="250">
        <v>0.21</v>
      </c>
      <c r="J74" s="250">
        <v>0.73</v>
      </c>
      <c r="K74" s="250">
        <v>0.61429999999999996</v>
      </c>
      <c r="L74" s="250">
        <v>0.27510000000000001</v>
      </c>
    </row>
    <row r="75" spans="1:12">
      <c r="A75" s="250">
        <v>0.27939999999999998</v>
      </c>
      <c r="B75" s="250">
        <v>0.74</v>
      </c>
      <c r="C75" s="250">
        <v>0.62309999999999999</v>
      </c>
      <c r="E75" s="250">
        <v>74</v>
      </c>
      <c r="F75" s="250">
        <v>1.37</v>
      </c>
      <c r="G75" s="250">
        <v>0.92</v>
      </c>
      <c r="H75" s="250">
        <v>0.22</v>
      </c>
      <c r="J75" s="250">
        <v>0.74</v>
      </c>
      <c r="K75" s="250">
        <v>0.62309999999999999</v>
      </c>
      <c r="L75" s="250">
        <v>0.27939999999999998</v>
      </c>
    </row>
    <row r="76" spans="1:12">
      <c r="A76" s="250">
        <v>0.28399999999999997</v>
      </c>
      <c r="B76" s="250">
        <v>0.75</v>
      </c>
      <c r="C76" s="250">
        <v>0.63180000000000003</v>
      </c>
      <c r="E76" s="250">
        <v>75</v>
      </c>
      <c r="F76" s="250">
        <v>1.37</v>
      </c>
      <c r="G76" s="250">
        <v>0.92</v>
      </c>
      <c r="H76" s="250">
        <v>0.22</v>
      </c>
      <c r="J76" s="250">
        <v>0.75</v>
      </c>
      <c r="K76" s="250">
        <v>0.63180000000000003</v>
      </c>
      <c r="L76" s="250">
        <v>0.28399999999999997</v>
      </c>
    </row>
    <row r="77" spans="1:12">
      <c r="A77" s="250">
        <v>0.2888</v>
      </c>
      <c r="B77" s="250">
        <v>0.76</v>
      </c>
      <c r="C77" s="250">
        <v>0.64039999999999997</v>
      </c>
      <c r="E77" s="250">
        <v>76</v>
      </c>
      <c r="F77" s="250">
        <v>1.38</v>
      </c>
      <c r="G77" s="250">
        <v>0.93</v>
      </c>
      <c r="H77" s="250">
        <v>0.22</v>
      </c>
      <c r="J77" s="250">
        <v>0.76</v>
      </c>
      <c r="K77" s="250">
        <v>0.64039999999999997</v>
      </c>
      <c r="L77" s="250">
        <v>0.2888</v>
      </c>
    </row>
    <row r="78" spans="1:12">
      <c r="A78" s="250">
        <v>0.29299999999999998</v>
      </c>
      <c r="B78" s="250">
        <v>0.77</v>
      </c>
      <c r="C78" s="250">
        <v>0.64890000000000003</v>
      </c>
      <c r="E78" s="250">
        <v>77</v>
      </c>
      <c r="F78" s="250">
        <v>1.39</v>
      </c>
      <c r="G78" s="250">
        <v>0.93</v>
      </c>
      <c r="H78" s="250">
        <v>0.22</v>
      </c>
      <c r="J78" s="250">
        <v>0.77</v>
      </c>
      <c r="K78" s="250">
        <v>0.64890000000000003</v>
      </c>
      <c r="L78" s="250">
        <v>0.29299999999999998</v>
      </c>
    </row>
    <row r="79" spans="1:12">
      <c r="A79" s="250">
        <v>0.2969</v>
      </c>
      <c r="B79" s="250">
        <v>0.78</v>
      </c>
      <c r="C79" s="250">
        <v>0.6573</v>
      </c>
      <c r="E79" s="250">
        <v>78</v>
      </c>
      <c r="F79" s="250">
        <v>1.4</v>
      </c>
      <c r="G79" s="250">
        <v>0.94</v>
      </c>
      <c r="H79" s="250">
        <v>0.22</v>
      </c>
      <c r="J79" s="250">
        <v>0.78</v>
      </c>
      <c r="K79" s="250">
        <v>0.6573</v>
      </c>
      <c r="L79" s="250">
        <v>0.2969</v>
      </c>
    </row>
    <row r="80" spans="1:12">
      <c r="A80" s="250">
        <v>0.30080000000000001</v>
      </c>
      <c r="B80" s="250">
        <v>0.79</v>
      </c>
      <c r="C80" s="250">
        <v>0.66549999999999998</v>
      </c>
      <c r="E80" s="250">
        <v>79</v>
      </c>
      <c r="F80" s="250">
        <v>1.41</v>
      </c>
      <c r="G80" s="250">
        <v>0.94</v>
      </c>
      <c r="H80" s="250">
        <v>0.22</v>
      </c>
      <c r="J80" s="250">
        <v>0.79</v>
      </c>
      <c r="K80" s="250">
        <v>0.66549999999999998</v>
      </c>
      <c r="L80" s="250">
        <v>0.30080000000000001</v>
      </c>
    </row>
    <row r="81" spans="1:12">
      <c r="A81" s="250">
        <v>0.30449999999999999</v>
      </c>
      <c r="B81" s="250">
        <v>0.8</v>
      </c>
      <c r="C81" s="250">
        <v>0.67359999999999998</v>
      </c>
      <c r="E81" s="250">
        <v>80</v>
      </c>
      <c r="F81" s="250">
        <v>1.42</v>
      </c>
      <c r="G81" s="250">
        <v>0.95</v>
      </c>
      <c r="H81" s="250">
        <v>0.23</v>
      </c>
      <c r="J81" s="250">
        <v>0.8</v>
      </c>
      <c r="K81" s="250">
        <v>0.67359999999999998</v>
      </c>
      <c r="L81" s="250">
        <v>0.30449999999999999</v>
      </c>
    </row>
    <row r="82" spans="1:12">
      <c r="A82" s="250">
        <v>0.30819999999999997</v>
      </c>
      <c r="B82" s="250">
        <v>0.81</v>
      </c>
      <c r="C82" s="250">
        <v>0.68149999999999999</v>
      </c>
      <c r="E82" s="250">
        <v>81</v>
      </c>
      <c r="F82" s="250">
        <v>1.42</v>
      </c>
      <c r="G82" s="250">
        <v>0.95</v>
      </c>
      <c r="H82" s="250">
        <v>0.23</v>
      </c>
      <c r="J82" s="250">
        <v>0.81</v>
      </c>
      <c r="K82" s="250">
        <v>0.68149999999999999</v>
      </c>
      <c r="L82" s="250">
        <v>3.8199999999999998E-2</v>
      </c>
    </row>
    <row r="83" spans="1:12">
      <c r="A83" s="250">
        <v>0.31180000000000002</v>
      </c>
      <c r="B83" s="250">
        <v>0.82</v>
      </c>
      <c r="C83" s="250">
        <v>0.68930000000000002</v>
      </c>
      <c r="E83" s="250">
        <v>82</v>
      </c>
      <c r="F83" s="250">
        <v>1.43</v>
      </c>
      <c r="G83" s="250">
        <v>0.96</v>
      </c>
      <c r="H83" s="250">
        <v>0.23</v>
      </c>
      <c r="J83" s="250">
        <v>0.82</v>
      </c>
      <c r="K83" s="250">
        <v>0.68930000000000002</v>
      </c>
      <c r="L83" s="250">
        <v>0.31180000000000002</v>
      </c>
    </row>
    <row r="84" spans="1:12">
      <c r="A84" s="250">
        <v>0.31509999999999999</v>
      </c>
      <c r="B84" s="250">
        <v>0.83</v>
      </c>
      <c r="C84" s="250">
        <v>0.69689999999999996</v>
      </c>
      <c r="E84" s="250">
        <v>83</v>
      </c>
      <c r="F84" s="250">
        <v>1.44</v>
      </c>
      <c r="G84" s="250">
        <v>0.96</v>
      </c>
      <c r="H84" s="250">
        <v>0.23</v>
      </c>
      <c r="J84" s="250">
        <v>0.83</v>
      </c>
      <c r="K84" s="250">
        <v>0.69689999999999996</v>
      </c>
      <c r="L84" s="250">
        <v>0.31509999999999999</v>
      </c>
    </row>
    <row r="85" spans="1:12">
      <c r="A85" s="250">
        <v>0.31819999999999998</v>
      </c>
      <c r="B85" s="250">
        <v>0.84</v>
      </c>
      <c r="C85" s="250">
        <v>0.70430000000000004</v>
      </c>
      <c r="E85" s="250">
        <v>84</v>
      </c>
      <c r="F85" s="250">
        <v>1.45</v>
      </c>
      <c r="G85" s="250">
        <v>0.97</v>
      </c>
      <c r="H85" s="250">
        <v>0.24</v>
      </c>
      <c r="J85" s="250">
        <v>0.84</v>
      </c>
      <c r="K85" s="250">
        <v>0.70430000000000004</v>
      </c>
      <c r="L85" s="250">
        <v>0.31819999999999998</v>
      </c>
    </row>
    <row r="86" spans="1:12">
      <c r="A86" s="250">
        <v>0.32119999999999999</v>
      </c>
      <c r="B86" s="250">
        <v>0.85</v>
      </c>
      <c r="C86" s="250">
        <v>0.71150000000000002</v>
      </c>
      <c r="E86" s="250">
        <v>85</v>
      </c>
      <c r="F86" s="250">
        <v>1.46</v>
      </c>
      <c r="G86" s="250">
        <v>0.97</v>
      </c>
      <c r="H86" s="250">
        <v>0.24</v>
      </c>
      <c r="J86" s="250">
        <v>0.85</v>
      </c>
      <c r="K86" s="250">
        <v>0.71150000000000002</v>
      </c>
      <c r="L86" s="250">
        <v>0.32119999999999999</v>
      </c>
    </row>
    <row r="87" spans="1:12">
      <c r="A87" s="250">
        <v>0.32400000000000001</v>
      </c>
      <c r="B87" s="250">
        <v>0.86</v>
      </c>
      <c r="C87" s="250">
        <v>0.71860000000000002</v>
      </c>
      <c r="E87" s="250">
        <v>86</v>
      </c>
      <c r="F87" s="250">
        <v>1.47</v>
      </c>
      <c r="G87" s="250">
        <v>0.98</v>
      </c>
      <c r="H87" s="250">
        <v>0.24</v>
      </c>
      <c r="J87" s="250">
        <v>0.86</v>
      </c>
      <c r="K87" s="250">
        <v>0.71860000000000002</v>
      </c>
      <c r="L87" s="250">
        <v>0.32400000000000001</v>
      </c>
    </row>
    <row r="88" spans="1:12">
      <c r="A88" s="250">
        <v>0.32640000000000002</v>
      </c>
      <c r="B88" s="250">
        <v>0.87</v>
      </c>
      <c r="C88" s="250">
        <v>0.72540000000000004</v>
      </c>
      <c r="E88" s="250">
        <v>87</v>
      </c>
      <c r="F88" s="250">
        <v>1.47</v>
      </c>
      <c r="G88" s="250">
        <v>0.98</v>
      </c>
      <c r="H88" s="250">
        <v>0.24</v>
      </c>
      <c r="J88" s="250">
        <v>0.87</v>
      </c>
      <c r="K88" s="250">
        <v>0.72540000000000004</v>
      </c>
      <c r="L88" s="250">
        <v>0.32640000000000002</v>
      </c>
    </row>
    <row r="89" spans="1:12">
      <c r="A89" s="250">
        <v>0.3286</v>
      </c>
      <c r="B89" s="250">
        <v>0.88</v>
      </c>
      <c r="C89" s="250">
        <v>0.73199999999999998</v>
      </c>
      <c r="E89" s="250">
        <v>88</v>
      </c>
      <c r="F89" s="250">
        <v>1.49</v>
      </c>
      <c r="G89" s="250">
        <v>0.99</v>
      </c>
      <c r="H89" s="250">
        <v>0.25</v>
      </c>
      <c r="J89" s="250">
        <v>0.88</v>
      </c>
      <c r="K89" s="250">
        <v>0.73199999999999998</v>
      </c>
      <c r="L89" s="250">
        <v>0.3286</v>
      </c>
    </row>
    <row r="90" spans="1:12">
      <c r="A90" s="250">
        <v>0.33069999999999999</v>
      </c>
      <c r="B90" s="250">
        <v>0.89</v>
      </c>
      <c r="C90" s="250">
        <v>0.73799999999999999</v>
      </c>
      <c r="E90" s="250">
        <v>89</v>
      </c>
      <c r="F90" s="250">
        <v>1.49</v>
      </c>
      <c r="G90" s="250">
        <v>0.99</v>
      </c>
      <c r="H90" s="250">
        <v>0.25</v>
      </c>
      <c r="J90" s="250">
        <v>0.89</v>
      </c>
      <c r="K90" s="250">
        <v>0.73799999999999999</v>
      </c>
      <c r="L90" s="250">
        <v>0.33069999999999999</v>
      </c>
    </row>
    <row r="91" spans="1:12">
      <c r="A91" s="250">
        <v>0.33239999999999997</v>
      </c>
      <c r="B91" s="250">
        <v>0.9</v>
      </c>
      <c r="C91" s="250">
        <v>0.74450000000000005</v>
      </c>
      <c r="E91" s="250">
        <v>90</v>
      </c>
      <c r="F91" s="250">
        <v>1.5</v>
      </c>
      <c r="G91" s="250">
        <v>1</v>
      </c>
      <c r="H91" s="250">
        <v>0.25</v>
      </c>
      <c r="J91" s="250">
        <v>0.9</v>
      </c>
      <c r="K91" s="250">
        <v>0.74450000000000005</v>
      </c>
      <c r="L91" s="250">
        <v>0.33239999999999997</v>
      </c>
    </row>
    <row r="92" spans="1:12">
      <c r="A92" s="250">
        <v>0.33360000000000001</v>
      </c>
      <c r="B92" s="250">
        <v>0.91</v>
      </c>
      <c r="C92" s="250">
        <v>0.75039999999999996</v>
      </c>
      <c r="J92" s="250">
        <v>0.91</v>
      </c>
      <c r="K92" s="250">
        <v>0.75039999999999996</v>
      </c>
      <c r="L92" s="250">
        <v>0.33360000000000001</v>
      </c>
    </row>
    <row r="93" spans="1:12">
      <c r="A93" s="250">
        <v>0.33450000000000002</v>
      </c>
      <c r="B93" s="250">
        <v>0.92</v>
      </c>
      <c r="C93" s="250">
        <v>0.75600000000000001</v>
      </c>
      <c r="J93" s="250">
        <v>0.92</v>
      </c>
      <c r="K93" s="250">
        <v>0.75600000000000001</v>
      </c>
      <c r="L93" s="250">
        <v>0.33450000000000002</v>
      </c>
    </row>
    <row r="94" spans="1:12">
      <c r="A94" s="250">
        <v>0.33500000000000002</v>
      </c>
      <c r="B94" s="250">
        <v>0.93</v>
      </c>
      <c r="C94" s="250">
        <v>0.76119999999999999</v>
      </c>
      <c r="J94" s="250">
        <v>0.93</v>
      </c>
      <c r="K94" s="250">
        <v>0.76119999999999999</v>
      </c>
      <c r="L94" s="250">
        <v>0.33500000000000002</v>
      </c>
    </row>
    <row r="95" spans="1:12">
      <c r="A95" s="250">
        <v>0.33529999999999999</v>
      </c>
      <c r="B95" s="250">
        <v>0.94</v>
      </c>
      <c r="C95" s="250">
        <v>0.76619999999999999</v>
      </c>
      <c r="J95" s="250">
        <v>0.94</v>
      </c>
      <c r="K95" s="250">
        <v>0.76619999999999999</v>
      </c>
      <c r="L95" s="250">
        <v>0.33529999999999999</v>
      </c>
    </row>
    <row r="96" spans="1:12">
      <c r="A96" s="250">
        <v>0.33489999999999998</v>
      </c>
      <c r="B96" s="250">
        <v>0.95</v>
      </c>
      <c r="C96" s="250">
        <v>0.77070000000000005</v>
      </c>
      <c r="J96" s="250">
        <v>0.95</v>
      </c>
      <c r="K96" s="250">
        <v>0.77070000000000005</v>
      </c>
      <c r="L96" s="250">
        <v>0.33489999999999998</v>
      </c>
    </row>
    <row r="97" spans="1:12">
      <c r="A97" s="250">
        <v>0.33400000000000002</v>
      </c>
      <c r="B97" s="250">
        <v>0.96</v>
      </c>
      <c r="C97" s="250">
        <v>0.77490000000000003</v>
      </c>
      <c r="J97" s="250">
        <v>0.96</v>
      </c>
      <c r="K97" s="250">
        <v>0.77490000000000003</v>
      </c>
      <c r="L97" s="250">
        <v>0.33400000000000002</v>
      </c>
    </row>
    <row r="98" spans="1:12">
      <c r="A98" s="250">
        <v>0.33200000000000002</v>
      </c>
      <c r="B98" s="250">
        <v>0.97</v>
      </c>
      <c r="C98" s="250">
        <v>0.77849999999999997</v>
      </c>
      <c r="J98" s="250">
        <v>0.97</v>
      </c>
      <c r="K98" s="250">
        <v>0.77849999999999997</v>
      </c>
      <c r="L98" s="250">
        <v>0.33200000000000002</v>
      </c>
    </row>
    <row r="99" spans="1:12">
      <c r="A99" s="250">
        <v>0.3291</v>
      </c>
      <c r="B99" s="250">
        <v>0.98</v>
      </c>
      <c r="C99" s="250">
        <v>0.78159999999999996</v>
      </c>
      <c r="J99" s="250">
        <v>0.98</v>
      </c>
      <c r="K99" s="250">
        <v>0.78159999999999996</v>
      </c>
      <c r="L99" s="250">
        <v>0.3291</v>
      </c>
    </row>
    <row r="100" spans="1:12">
      <c r="A100" s="250">
        <v>0.32479999999999998</v>
      </c>
      <c r="B100" s="250">
        <v>0.99</v>
      </c>
      <c r="C100" s="250">
        <v>0.78410000000000002</v>
      </c>
      <c r="J100" s="250">
        <v>0.99</v>
      </c>
      <c r="K100" s="250">
        <v>0.78410000000000002</v>
      </c>
      <c r="L100" s="250">
        <v>0.32479999999999998</v>
      </c>
    </row>
    <row r="101" spans="1:12">
      <c r="A101" s="250">
        <v>0.31169999999999998</v>
      </c>
      <c r="B101" s="250">
        <v>1</v>
      </c>
      <c r="C101" s="250">
        <v>0.78539999999999999</v>
      </c>
      <c r="J101" s="250">
        <v>1</v>
      </c>
      <c r="K101" s="250">
        <v>0.78539999999999999</v>
      </c>
      <c r="L101" s="250">
        <v>0.31169999999999998</v>
      </c>
    </row>
  </sheetData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C5C2-C399-43CD-A5BA-6758D1AD2326}">
  <dimension ref="B1:Q58"/>
  <sheetViews>
    <sheetView workbookViewId="0">
      <selection activeCell="E8" sqref="E8"/>
    </sheetView>
  </sheetViews>
  <sheetFormatPr defaultColWidth="9.1328125" defaultRowHeight="12.75"/>
  <cols>
    <col min="1" max="16384" width="9.1328125" style="43"/>
  </cols>
  <sheetData>
    <row r="1" spans="2:17">
      <c r="B1" s="43" t="s">
        <v>172</v>
      </c>
      <c r="C1" s="469" t="s">
        <v>211</v>
      </c>
      <c r="D1" s="469"/>
      <c r="E1" s="469"/>
      <c r="F1" s="469"/>
      <c r="G1" s="469"/>
      <c r="H1" s="469"/>
    </row>
    <row r="2" spans="2:17">
      <c r="C2" s="43" t="s">
        <v>212</v>
      </c>
      <c r="D2" s="43" t="s">
        <v>213</v>
      </c>
      <c r="E2" s="43" t="s">
        <v>214</v>
      </c>
      <c r="F2" s="43" t="s">
        <v>215</v>
      </c>
      <c r="G2" s="43" t="s">
        <v>216</v>
      </c>
      <c r="H2" s="43" t="s">
        <v>217</v>
      </c>
      <c r="J2" s="137"/>
    </row>
    <row r="3" spans="2:17">
      <c r="B3" s="122">
        <v>5</v>
      </c>
      <c r="C3" s="138">
        <v>5.52</v>
      </c>
      <c r="D3" s="122">
        <v>6.39</v>
      </c>
      <c r="E3" s="122" t="s">
        <v>218</v>
      </c>
      <c r="F3" s="122">
        <v>8.0500000000000007</v>
      </c>
      <c r="G3" s="122">
        <v>8.89</v>
      </c>
      <c r="H3" s="122">
        <v>9.6</v>
      </c>
      <c r="J3" s="137"/>
      <c r="O3" s="43">
        <v>9</v>
      </c>
    </row>
    <row r="4" spans="2:17">
      <c r="B4" s="122">
        <v>6</v>
      </c>
      <c r="C4" s="138">
        <v>5.21</v>
      </c>
      <c r="D4" s="122">
        <v>6.1</v>
      </c>
      <c r="E4" s="122" t="s">
        <v>219</v>
      </c>
      <c r="F4" s="122">
        <v>7.76</v>
      </c>
      <c r="G4" s="122">
        <v>8.57</v>
      </c>
      <c r="H4" s="122">
        <v>9.3000000000000007</v>
      </c>
      <c r="J4" s="137"/>
      <c r="O4" s="43">
        <v>8.5</v>
      </c>
    </row>
    <row r="5" spans="2:17">
      <c r="B5" s="122">
        <v>7</v>
      </c>
      <c r="C5" s="138">
        <v>4.9400000000000004</v>
      </c>
      <c r="D5" s="122">
        <v>5.83</v>
      </c>
      <c r="E5" s="122" t="s">
        <v>220</v>
      </c>
      <c r="F5" s="122">
        <v>7.49</v>
      </c>
      <c r="G5" s="122">
        <v>8.2799999999999994</v>
      </c>
      <c r="H5" s="122">
        <v>9.01</v>
      </c>
      <c r="J5" s="137"/>
    </row>
    <row r="6" spans="2:17">
      <c r="B6" s="122">
        <v>8</v>
      </c>
      <c r="C6" s="138">
        <v>4.7</v>
      </c>
      <c r="D6" s="122">
        <v>5.59</v>
      </c>
      <c r="E6" s="122" t="s">
        <v>221</v>
      </c>
      <c r="F6" s="122">
        <v>7.23</v>
      </c>
      <c r="G6" s="122">
        <v>8.01</v>
      </c>
      <c r="H6" s="122">
        <v>8.74</v>
      </c>
      <c r="J6" s="137"/>
    </row>
    <row r="7" spans="2:17">
      <c r="B7" s="122">
        <v>9</v>
      </c>
      <c r="C7" s="138">
        <v>4.4800000000000004</v>
      </c>
      <c r="D7" s="122">
        <v>5.37</v>
      </c>
      <c r="E7" s="122" t="s">
        <v>222</v>
      </c>
      <c r="F7" s="122">
        <v>6.99</v>
      </c>
      <c r="G7" s="122">
        <v>7.75</v>
      </c>
      <c r="H7" s="122">
        <v>8.48</v>
      </c>
      <c r="J7" s="137"/>
      <c r="Q7" s="43">
        <f>IF(ISERROR(MATCH(O3,B$3:B$9)),C$3,IF(ISERROR(INDEX(B$3:B$9,MATCH(O$3,B$3:B$9)+1)),C$9,(INDEX(B$3:C$9,MATCH(O3,B$3:B$9)+1,2)-INDEX(B$3:C$9,MATCH(O3,B$3:B$9),2))/(INDEX(B$3:C$9,MATCH(O3,B$3:B$9)+1,1)-INDEX(B$3:C$9,MATCH(O3,B$3:B$9),1))*(O3-INDEX(B$3:C$9,MATCH(O3,B$3:B$9),1)) + INDEX(B$3:C$9,MATCH(O3,B$3:B$9),2)))</f>
        <v>4.4800000000000004</v>
      </c>
    </row>
    <row r="8" spans="2:17">
      <c r="B8" s="122">
        <v>10</v>
      </c>
      <c r="C8" s="138">
        <v>4.28</v>
      </c>
      <c r="D8" s="122">
        <v>5.16</v>
      </c>
      <c r="E8" s="122" t="s">
        <v>223</v>
      </c>
      <c r="F8" s="122">
        <v>6.77</v>
      </c>
      <c r="G8" s="122">
        <v>7.51</v>
      </c>
      <c r="H8" s="122">
        <v>8.24</v>
      </c>
      <c r="J8" s="137"/>
    </row>
    <row r="9" spans="2:17" ht="13.15">
      <c r="B9" s="122">
        <v>11</v>
      </c>
      <c r="C9" s="138">
        <v>4.1100000000000003</v>
      </c>
      <c r="D9" s="122">
        <v>4.9800000000000004</v>
      </c>
      <c r="E9" s="122">
        <v>5.66</v>
      </c>
      <c r="F9" s="122">
        <v>6.56</v>
      </c>
      <c r="G9" s="122">
        <v>7.28</v>
      </c>
      <c r="H9" s="122">
        <v>8.01</v>
      </c>
      <c r="J9" s="137"/>
      <c r="Q9" s="123">
        <f ca="1">FORECAST(O3,OFFSET($C$3:$C$58,MATCH(O3,$B$3:$B$58,1)-1,0,2),OFFSET($B$3:$B$58,MATCH(O3,$B$3:$B$58,1)-1,0,2))</f>
        <v>4.4800000000000013</v>
      </c>
    </row>
    <row r="10" spans="2:17" ht="13.15">
      <c r="B10" s="122">
        <v>12</v>
      </c>
      <c r="C10" s="138">
        <v>3.95</v>
      </c>
      <c r="D10" s="122">
        <v>4.8</v>
      </c>
      <c r="E10" s="122" t="s">
        <v>224</v>
      </c>
      <c r="F10" s="122">
        <v>6.37</v>
      </c>
      <c r="G10" s="122">
        <v>7.07</v>
      </c>
      <c r="H10" s="122">
        <v>7.79</v>
      </c>
      <c r="J10" s="137"/>
      <c r="K10" s="229" t="s">
        <v>368</v>
      </c>
      <c r="M10" s="43">
        <v>12</v>
      </c>
      <c r="N10" s="43">
        <v>3.91</v>
      </c>
      <c r="Q10" s="123">
        <f ca="1">FORECAST(O4,OFFSET($C$3:$C$58,MATCH(O4,$B$3:$B$58,1)-1,0,2),OFFSET($B$3:$B$58,MATCH(O4,$B$3:$B$58,1)-1,0,2))</f>
        <v>4.59</v>
      </c>
    </row>
    <row r="11" spans="2:17">
      <c r="B11" s="122">
        <v>13</v>
      </c>
      <c r="C11" s="138">
        <v>3.8</v>
      </c>
      <c r="D11" s="122">
        <v>4.6399999999999997</v>
      </c>
      <c r="E11" s="122" t="s">
        <v>225</v>
      </c>
      <c r="F11" s="122">
        <v>6.18</v>
      </c>
      <c r="G11" s="122">
        <v>6.87</v>
      </c>
      <c r="H11" s="122">
        <v>7.58</v>
      </c>
      <c r="J11" s="137"/>
      <c r="M11" s="43">
        <v>13</v>
      </c>
      <c r="N11" s="43">
        <v>5.43</v>
      </c>
    </row>
    <row r="12" spans="2:17">
      <c r="B12" s="122">
        <v>14</v>
      </c>
      <c r="C12" s="138">
        <v>3.67</v>
      </c>
      <c r="D12" s="122">
        <v>4.5</v>
      </c>
      <c r="E12" s="122" t="s">
        <v>226</v>
      </c>
      <c r="F12" s="122">
        <v>6.01</v>
      </c>
      <c r="G12" s="122">
        <v>6.68</v>
      </c>
      <c r="H12" s="122">
        <v>7.39</v>
      </c>
      <c r="J12" s="137"/>
      <c r="M12" s="43">
        <v>12.3</v>
      </c>
      <c r="N12" s="43">
        <v>6.31</v>
      </c>
    </row>
    <row r="13" spans="2:17" ht="13.15">
      <c r="B13" s="122">
        <v>15</v>
      </c>
      <c r="C13" s="138">
        <v>3.54</v>
      </c>
      <c r="D13" s="122">
        <v>4.3600000000000003</v>
      </c>
      <c r="E13" s="122" t="s">
        <v>227</v>
      </c>
      <c r="F13" s="122">
        <v>5.84</v>
      </c>
      <c r="G13" s="123">
        <v>6.5</v>
      </c>
      <c r="H13" s="122">
        <v>7.2</v>
      </c>
      <c r="J13" s="137"/>
    </row>
    <row r="14" spans="2:17">
      <c r="B14" s="122">
        <v>16</v>
      </c>
      <c r="C14" s="138">
        <v>3.43</v>
      </c>
      <c r="D14" s="122">
        <v>4.2300000000000004</v>
      </c>
      <c r="E14" s="122" t="s">
        <v>228</v>
      </c>
      <c r="F14" s="122">
        <v>5.68</v>
      </c>
      <c r="G14" s="122">
        <v>6.33</v>
      </c>
      <c r="H14" s="122">
        <v>7.02</v>
      </c>
      <c r="J14" s="137"/>
    </row>
    <row r="15" spans="2:17">
      <c r="B15" s="122">
        <v>17</v>
      </c>
      <c r="C15" s="138">
        <v>3.32</v>
      </c>
      <c r="D15" s="122">
        <v>4.1100000000000003</v>
      </c>
      <c r="E15" s="122" t="s">
        <v>229</v>
      </c>
      <c r="F15" s="122">
        <v>5.54</v>
      </c>
      <c r="G15" s="122">
        <v>6.16</v>
      </c>
      <c r="H15" s="122">
        <v>6.85</v>
      </c>
      <c r="J15" s="137"/>
      <c r="M15" s="43">
        <v>15.6</v>
      </c>
      <c r="N15" s="43">
        <v>3.47</v>
      </c>
    </row>
    <row r="16" spans="2:17">
      <c r="B16" s="122">
        <v>18</v>
      </c>
      <c r="C16" s="138">
        <v>3.22</v>
      </c>
      <c r="D16" s="122">
        <v>3.99</v>
      </c>
      <c r="E16" s="122" t="s">
        <v>230</v>
      </c>
      <c r="F16" s="122">
        <v>5.4</v>
      </c>
      <c r="G16" s="122">
        <v>6.01</v>
      </c>
      <c r="H16" s="122">
        <v>6.68</v>
      </c>
      <c r="J16" s="137"/>
      <c r="N16" s="43">
        <v>4.92</v>
      </c>
    </row>
    <row r="17" spans="2:14">
      <c r="B17" s="122">
        <v>19</v>
      </c>
      <c r="C17" s="138">
        <v>3.13</v>
      </c>
      <c r="D17" s="122">
        <v>3.89</v>
      </c>
      <c r="E17" s="122" t="s">
        <v>231</v>
      </c>
      <c r="F17" s="122">
        <v>5.26</v>
      </c>
      <c r="G17" s="122">
        <v>5.86</v>
      </c>
      <c r="H17" s="122">
        <v>6.52</v>
      </c>
      <c r="J17" s="137"/>
      <c r="N17" s="43">
        <v>5.74</v>
      </c>
    </row>
    <row r="18" spans="2:14">
      <c r="B18" s="122">
        <v>20</v>
      </c>
      <c r="C18" s="138">
        <v>3.04</v>
      </c>
      <c r="D18" s="122">
        <v>3.78</v>
      </c>
      <c r="E18" s="122" t="s">
        <v>232</v>
      </c>
      <c r="F18" s="122">
        <v>5.13</v>
      </c>
      <c r="G18" s="122">
        <v>5.72</v>
      </c>
      <c r="H18" s="122">
        <v>6.37</v>
      </c>
      <c r="J18" s="137"/>
    </row>
    <row r="19" spans="2:14">
      <c r="B19" s="122">
        <v>21</v>
      </c>
      <c r="C19" s="138">
        <v>2.96</v>
      </c>
      <c r="D19" s="122">
        <v>3.69</v>
      </c>
      <c r="E19" s="122" t="s">
        <v>233</v>
      </c>
      <c r="F19" s="122">
        <v>5.01</v>
      </c>
      <c r="G19" s="122">
        <v>5.59</v>
      </c>
      <c r="H19" s="122">
        <v>6.23</v>
      </c>
      <c r="J19" s="137"/>
    </row>
    <row r="20" spans="2:14">
      <c r="B20" s="122">
        <v>22</v>
      </c>
      <c r="C20" s="138">
        <v>2.88</v>
      </c>
      <c r="D20" s="122">
        <v>3.6</v>
      </c>
      <c r="E20" s="122" t="s">
        <v>234</v>
      </c>
      <c r="F20" s="122">
        <v>4.9000000000000004</v>
      </c>
      <c r="G20" s="122">
        <v>5.46</v>
      </c>
      <c r="H20" s="122">
        <v>6.09</v>
      </c>
      <c r="J20" s="137"/>
    </row>
    <row r="21" spans="2:14">
      <c r="B21" s="122">
        <v>23</v>
      </c>
      <c r="C21" s="138">
        <v>2.81</v>
      </c>
      <c r="D21" s="122">
        <v>3.51</v>
      </c>
      <c r="E21" s="122" t="s">
        <v>235</v>
      </c>
      <c r="F21" s="122">
        <v>4.79</v>
      </c>
      <c r="G21" s="122">
        <v>5.34</v>
      </c>
      <c r="H21" s="122">
        <v>5.96</v>
      </c>
      <c r="J21" s="137"/>
    </row>
    <row r="22" spans="2:14">
      <c r="B22" s="122">
        <v>24</v>
      </c>
      <c r="C22" s="138">
        <v>2.74</v>
      </c>
      <c r="D22" s="122">
        <v>3.43</v>
      </c>
      <c r="E22" s="122" t="s">
        <v>236</v>
      </c>
      <c r="F22" s="122">
        <v>4.68</v>
      </c>
      <c r="G22" s="122">
        <v>5.22</v>
      </c>
      <c r="H22" s="122">
        <v>5.83</v>
      </c>
      <c r="J22" s="137"/>
    </row>
    <row r="23" spans="2:14">
      <c r="B23" s="122">
        <v>25</v>
      </c>
      <c r="C23" s="138">
        <v>2.67</v>
      </c>
      <c r="D23" s="122">
        <v>3.36</v>
      </c>
      <c r="E23" s="122" t="s">
        <v>237</v>
      </c>
      <c r="F23" s="122">
        <v>4.58</v>
      </c>
      <c r="G23" s="122">
        <v>5.1100000000000003</v>
      </c>
      <c r="H23" s="122">
        <v>5.71</v>
      </c>
      <c r="J23" s="137"/>
    </row>
    <row r="24" spans="2:14">
      <c r="B24" s="122">
        <v>26</v>
      </c>
      <c r="C24" s="138">
        <v>2.61</v>
      </c>
      <c r="D24" s="122">
        <v>3.28</v>
      </c>
      <c r="E24" s="122" t="s">
        <v>238</v>
      </c>
      <c r="F24" s="122">
        <v>4.4800000000000004</v>
      </c>
      <c r="G24" s="122">
        <v>5.01</v>
      </c>
      <c r="H24" s="122">
        <v>5.59</v>
      </c>
      <c r="J24" s="137"/>
    </row>
    <row r="25" spans="2:14">
      <c r="B25" s="122">
        <v>27</v>
      </c>
      <c r="C25" s="138">
        <v>2.5499999999999998</v>
      </c>
      <c r="D25" s="122">
        <v>3.21</v>
      </c>
      <c r="E25" s="122" t="s">
        <v>239</v>
      </c>
      <c r="F25" s="122">
        <v>4.3899999999999997</v>
      </c>
      <c r="G25" s="122">
        <v>4.9000000000000004</v>
      </c>
      <c r="H25" s="122">
        <v>5.48</v>
      </c>
      <c r="J25" s="137"/>
    </row>
    <row r="26" spans="2:14">
      <c r="B26" s="122">
        <v>28</v>
      </c>
      <c r="C26" s="138">
        <v>2.5</v>
      </c>
      <c r="D26" s="122">
        <v>3.15</v>
      </c>
      <c r="E26" s="122" t="s">
        <v>240</v>
      </c>
      <c r="F26" s="122">
        <v>4.3</v>
      </c>
      <c r="G26" s="122">
        <v>4.8</v>
      </c>
      <c r="H26" s="122">
        <v>5.37</v>
      </c>
      <c r="J26" s="137"/>
    </row>
    <row r="27" spans="2:14">
      <c r="B27" s="122">
        <v>29</v>
      </c>
      <c r="C27" s="138">
        <v>2.4500000000000002</v>
      </c>
      <c r="D27" s="122">
        <v>3.08</v>
      </c>
      <c r="E27" s="122" t="s">
        <v>241</v>
      </c>
      <c r="F27" s="122">
        <v>4.21</v>
      </c>
      <c r="G27" s="122">
        <v>4.71</v>
      </c>
      <c r="H27" s="122">
        <v>5.26</v>
      </c>
      <c r="J27" s="137"/>
    </row>
    <row r="28" spans="2:14">
      <c r="B28" s="122">
        <v>30</v>
      </c>
      <c r="C28" s="138">
        <v>2.4</v>
      </c>
      <c r="D28" s="122">
        <v>3.02</v>
      </c>
      <c r="E28" s="122" t="s">
        <v>242</v>
      </c>
      <c r="F28" s="122">
        <v>4.13</v>
      </c>
      <c r="G28" s="122">
        <v>4.62</v>
      </c>
      <c r="H28" s="122">
        <v>5.16</v>
      </c>
      <c r="J28" s="137"/>
    </row>
    <row r="29" spans="2:14">
      <c r="B29" s="122">
        <v>31</v>
      </c>
      <c r="C29" s="138">
        <v>2.35</v>
      </c>
      <c r="D29" s="122">
        <v>2.96</v>
      </c>
      <c r="E29" s="122" t="s">
        <v>243</v>
      </c>
      <c r="F29" s="122">
        <v>4.05</v>
      </c>
      <c r="G29" s="122">
        <v>4.53</v>
      </c>
      <c r="H29" s="122">
        <v>5.0599999999999996</v>
      </c>
      <c r="J29" s="137"/>
    </row>
    <row r="30" spans="2:14">
      <c r="B30" s="122">
        <v>32</v>
      </c>
      <c r="C30" s="138">
        <v>2.2999999999999998</v>
      </c>
      <c r="D30" s="122">
        <v>2.91</v>
      </c>
      <c r="E30" s="122" t="s">
        <v>244</v>
      </c>
      <c r="F30" s="122">
        <v>3.97</v>
      </c>
      <c r="G30" s="122">
        <v>4.45</v>
      </c>
      <c r="H30" s="122">
        <v>4.97</v>
      </c>
      <c r="J30" s="137"/>
    </row>
    <row r="31" spans="2:14">
      <c r="B31" s="122">
        <v>33</v>
      </c>
      <c r="C31" s="138">
        <v>2.2599999999999998</v>
      </c>
      <c r="D31" s="122">
        <v>2.85</v>
      </c>
      <c r="E31" s="122" t="s">
        <v>245</v>
      </c>
      <c r="F31" s="122">
        <v>3.9</v>
      </c>
      <c r="G31" s="122">
        <v>4.37</v>
      </c>
      <c r="H31" s="122">
        <v>4.87</v>
      </c>
      <c r="J31" s="137"/>
    </row>
    <row r="32" spans="2:14">
      <c r="B32" s="122">
        <v>34</v>
      </c>
      <c r="C32" s="138">
        <v>2.2200000000000002</v>
      </c>
      <c r="D32" s="122">
        <v>2.8</v>
      </c>
      <c r="E32" s="122" t="s">
        <v>246</v>
      </c>
      <c r="F32" s="122">
        <v>3.83</v>
      </c>
      <c r="G32" s="122">
        <v>4.29</v>
      </c>
      <c r="H32" s="122">
        <v>4.78</v>
      </c>
      <c r="J32" s="137"/>
    </row>
    <row r="33" spans="2:10">
      <c r="B33" s="122">
        <v>35</v>
      </c>
      <c r="C33" s="138">
        <v>2.1800000000000002</v>
      </c>
      <c r="D33" s="122">
        <v>2.75</v>
      </c>
      <c r="E33" s="122" t="s">
        <v>247</v>
      </c>
      <c r="F33" s="122">
        <v>3.76</v>
      </c>
      <c r="G33" s="122">
        <v>4.21</v>
      </c>
      <c r="H33" s="122">
        <v>4.7</v>
      </c>
      <c r="J33" s="137"/>
    </row>
    <row r="34" spans="2:10">
      <c r="B34" s="122">
        <v>36</v>
      </c>
      <c r="C34" s="138">
        <v>2.14</v>
      </c>
      <c r="D34" s="122">
        <v>2.71</v>
      </c>
      <c r="E34" s="122" t="s">
        <v>248</v>
      </c>
      <c r="F34" s="122">
        <v>3.7</v>
      </c>
      <c r="G34" s="122">
        <v>4.1399999999999997</v>
      </c>
      <c r="H34" s="122">
        <v>4.62</v>
      </c>
      <c r="J34" s="137"/>
    </row>
    <row r="35" spans="2:10">
      <c r="B35" s="122">
        <v>37</v>
      </c>
      <c r="C35" s="138">
        <v>2.1</v>
      </c>
      <c r="D35" s="122">
        <v>2.66</v>
      </c>
      <c r="E35" s="122" t="s">
        <v>249</v>
      </c>
      <c r="F35" s="122">
        <v>3.63</v>
      </c>
      <c r="G35" s="122">
        <v>4.07</v>
      </c>
      <c r="H35" s="122">
        <v>4.54</v>
      </c>
      <c r="J35" s="137"/>
    </row>
    <row r="36" spans="2:10">
      <c r="B36" s="122">
        <v>38</v>
      </c>
      <c r="C36" s="138">
        <v>2.06</v>
      </c>
      <c r="D36" s="122">
        <v>2.62</v>
      </c>
      <c r="E36" s="122" t="s">
        <v>250</v>
      </c>
      <c r="F36" s="122">
        <v>3.57</v>
      </c>
      <c r="G36" s="122">
        <v>4</v>
      </c>
      <c r="H36" s="122">
        <v>4.46</v>
      </c>
      <c r="J36" s="137"/>
    </row>
    <row r="37" spans="2:10">
      <c r="B37" s="122">
        <v>39</v>
      </c>
      <c r="C37" s="138">
        <v>2.0299999999999998</v>
      </c>
      <c r="D37" s="122">
        <v>2.57</v>
      </c>
      <c r="E37" s="122" t="s">
        <v>251</v>
      </c>
      <c r="F37" s="122">
        <v>3.51</v>
      </c>
      <c r="G37" s="122">
        <v>3.93</v>
      </c>
      <c r="H37" s="122">
        <v>4.38</v>
      </c>
      <c r="J37" s="137"/>
    </row>
    <row r="38" spans="2:10">
      <c r="B38" s="122">
        <v>40</v>
      </c>
      <c r="C38" s="138">
        <v>2</v>
      </c>
      <c r="D38" s="122">
        <v>2.5299999999999998</v>
      </c>
      <c r="E38" s="122" t="s">
        <v>252</v>
      </c>
      <c r="F38" s="122">
        <v>3.45</v>
      </c>
      <c r="G38" s="122">
        <v>3.87</v>
      </c>
      <c r="H38" s="122">
        <v>4.3099999999999996</v>
      </c>
      <c r="J38" s="137"/>
    </row>
    <row r="39" spans="2:10">
      <c r="B39" s="122">
        <v>41</v>
      </c>
      <c r="C39" s="138">
        <v>1.97</v>
      </c>
      <c r="D39" s="122">
        <v>2.4900000000000002</v>
      </c>
      <c r="E39" s="122" t="s">
        <v>253</v>
      </c>
      <c r="F39" s="122">
        <v>3.4</v>
      </c>
      <c r="G39" s="122">
        <v>3.81</v>
      </c>
      <c r="H39" s="122">
        <v>4.24</v>
      </c>
      <c r="J39" s="137"/>
    </row>
    <row r="40" spans="2:10">
      <c r="B40" s="122">
        <v>42</v>
      </c>
      <c r="C40" s="138">
        <v>1.94</v>
      </c>
      <c r="D40" s="122">
        <v>2.4500000000000002</v>
      </c>
      <c r="E40" s="122" t="s">
        <v>254</v>
      </c>
      <c r="F40" s="122">
        <v>3.34</v>
      </c>
      <c r="G40" s="122">
        <v>3.75</v>
      </c>
      <c r="H40" s="122">
        <v>4.17</v>
      </c>
      <c r="J40" s="137"/>
    </row>
    <row r="41" spans="2:10">
      <c r="B41" s="122">
        <v>43</v>
      </c>
      <c r="C41" s="138">
        <v>1.91</v>
      </c>
      <c r="D41" s="122">
        <v>2.42</v>
      </c>
      <c r="E41" s="122" t="s">
        <v>255</v>
      </c>
      <c r="F41" s="122">
        <v>3.29</v>
      </c>
      <c r="G41" s="122">
        <v>3.69</v>
      </c>
      <c r="H41" s="122">
        <v>4.0999999999999996</v>
      </c>
      <c r="J41" s="137"/>
    </row>
    <row r="42" spans="2:10">
      <c r="B42" s="122">
        <v>44</v>
      </c>
      <c r="C42" s="138">
        <v>1.88</v>
      </c>
      <c r="D42" s="122">
        <v>2.38</v>
      </c>
      <c r="E42" s="122" t="s">
        <v>256</v>
      </c>
      <c r="F42" s="122">
        <v>3.24</v>
      </c>
      <c r="G42" s="122">
        <v>3.63</v>
      </c>
      <c r="H42" s="122">
        <v>4.04</v>
      </c>
      <c r="J42" s="137"/>
    </row>
    <row r="43" spans="2:10">
      <c r="B43" s="122">
        <v>45</v>
      </c>
      <c r="C43" s="138">
        <v>1.85</v>
      </c>
      <c r="D43" s="122">
        <v>2.35</v>
      </c>
      <c r="E43" s="122" t="s">
        <v>257</v>
      </c>
      <c r="F43" s="122">
        <v>3.19</v>
      </c>
      <c r="G43" s="122">
        <v>3.58</v>
      </c>
      <c r="H43" s="122">
        <v>3.97</v>
      </c>
      <c r="J43" s="137"/>
    </row>
    <row r="44" spans="2:10">
      <c r="B44" s="122">
        <v>46</v>
      </c>
      <c r="C44" s="138">
        <v>1.82</v>
      </c>
      <c r="D44" s="122">
        <v>2.31</v>
      </c>
      <c r="E44" s="122" t="s">
        <v>258</v>
      </c>
      <c r="F44" s="122">
        <v>3.14</v>
      </c>
      <c r="G44" s="122">
        <v>3.52</v>
      </c>
      <c r="H44" s="122">
        <v>3.91</v>
      </c>
      <c r="J44" s="137"/>
    </row>
    <row r="45" spans="2:10">
      <c r="B45" s="122">
        <v>47</v>
      </c>
      <c r="C45" s="138">
        <v>1.8</v>
      </c>
      <c r="D45" s="122">
        <v>2.2799999999999998</v>
      </c>
      <c r="E45" s="122" t="s">
        <v>259</v>
      </c>
      <c r="F45" s="122">
        <v>3.1</v>
      </c>
      <c r="G45" s="122">
        <v>3.47</v>
      </c>
      <c r="H45" s="122">
        <v>3.85</v>
      </c>
      <c r="J45" s="137"/>
    </row>
    <row r="46" spans="2:10">
      <c r="B46" s="122">
        <v>48</v>
      </c>
      <c r="C46" s="138">
        <v>1.77</v>
      </c>
      <c r="D46" s="122">
        <v>2.25</v>
      </c>
      <c r="E46" s="122" t="s">
        <v>260</v>
      </c>
      <c r="F46" s="122">
        <v>3.05</v>
      </c>
      <c r="G46" s="122">
        <v>3.42</v>
      </c>
      <c r="H46" s="122">
        <v>3.8</v>
      </c>
      <c r="J46" s="137"/>
    </row>
    <row r="47" spans="2:10">
      <c r="B47" s="122">
        <v>49</v>
      </c>
      <c r="C47" s="138">
        <v>1.75</v>
      </c>
      <c r="D47" s="122">
        <v>2.2200000000000002</v>
      </c>
      <c r="E47" s="122" t="s">
        <v>261</v>
      </c>
      <c r="F47" s="122">
        <v>3.01</v>
      </c>
      <c r="G47" s="122">
        <v>3.37</v>
      </c>
      <c r="H47" s="122">
        <v>3.74</v>
      </c>
      <c r="J47" s="137"/>
    </row>
    <row r="48" spans="2:10">
      <c r="B48" s="122">
        <v>50</v>
      </c>
      <c r="C48" s="138">
        <v>1.72</v>
      </c>
      <c r="D48" s="122">
        <v>2.19</v>
      </c>
      <c r="E48" s="122" t="s">
        <v>262</v>
      </c>
      <c r="F48" s="122">
        <v>2.97</v>
      </c>
      <c r="G48" s="122">
        <v>3.33</v>
      </c>
      <c r="H48" s="122">
        <v>3.69</v>
      </c>
      <c r="J48" s="137"/>
    </row>
    <row r="49" spans="2:10">
      <c r="B49" s="122">
        <v>51</v>
      </c>
      <c r="C49" s="138">
        <v>1.7</v>
      </c>
      <c r="D49" s="122">
        <v>2.16</v>
      </c>
      <c r="E49" s="122" t="s">
        <v>263</v>
      </c>
      <c r="F49" s="122">
        <v>2.92</v>
      </c>
      <c r="G49" s="122">
        <v>3.28</v>
      </c>
      <c r="H49" s="122">
        <v>3.63</v>
      </c>
      <c r="J49" s="137"/>
    </row>
    <row r="50" spans="2:10">
      <c r="B50" s="122">
        <v>52</v>
      </c>
      <c r="C50" s="138">
        <v>1.68</v>
      </c>
      <c r="D50" s="122">
        <v>2.13</v>
      </c>
      <c r="E50" s="122" t="s">
        <v>264</v>
      </c>
      <c r="F50" s="122">
        <v>2.88</v>
      </c>
      <c r="G50" s="122">
        <v>3.24</v>
      </c>
      <c r="H50" s="122">
        <v>3.58</v>
      </c>
      <c r="J50" s="137"/>
    </row>
    <row r="51" spans="2:10">
      <c r="B51" s="122">
        <v>53</v>
      </c>
      <c r="C51" s="138">
        <v>1.66</v>
      </c>
      <c r="D51" s="122">
        <v>2.1</v>
      </c>
      <c r="E51" s="122" t="s">
        <v>265</v>
      </c>
      <c r="F51" s="122">
        <v>2.84</v>
      </c>
      <c r="G51" s="122">
        <v>3.19</v>
      </c>
      <c r="H51" s="122">
        <v>3.53</v>
      </c>
      <c r="J51" s="137"/>
    </row>
    <row r="52" spans="2:10">
      <c r="B52" s="122">
        <v>54</v>
      </c>
      <c r="C52" s="138">
        <v>1.64</v>
      </c>
      <c r="D52" s="122">
        <v>2.08</v>
      </c>
      <c r="E52" s="122" t="s">
        <v>266</v>
      </c>
      <c r="F52" s="122">
        <v>2.81</v>
      </c>
      <c r="G52" s="122">
        <v>3.15</v>
      </c>
      <c r="H52" s="122">
        <v>3.48</v>
      </c>
      <c r="J52" s="137"/>
    </row>
    <row r="53" spans="2:10">
      <c r="B53" s="122">
        <v>55</v>
      </c>
      <c r="C53" s="138">
        <v>1.62</v>
      </c>
      <c r="D53" s="122">
        <v>2.0499999999999998</v>
      </c>
      <c r="E53" s="122" t="s">
        <v>267</v>
      </c>
      <c r="F53" s="122">
        <v>2.77</v>
      </c>
      <c r="G53" s="122">
        <v>3.11</v>
      </c>
      <c r="H53" s="122">
        <v>3.43</v>
      </c>
      <c r="J53" s="137"/>
    </row>
    <row r="54" spans="2:10">
      <c r="B54" s="122">
        <v>56</v>
      </c>
      <c r="C54" s="138">
        <v>1.6</v>
      </c>
      <c r="D54" s="122">
        <v>2.0299999999999998</v>
      </c>
      <c r="E54" s="122" t="s">
        <v>268</v>
      </c>
      <c r="F54" s="122">
        <v>2.73</v>
      </c>
      <c r="G54" s="122">
        <v>3.07</v>
      </c>
      <c r="H54" s="122">
        <v>3.38</v>
      </c>
      <c r="J54" s="137"/>
    </row>
    <row r="55" spans="2:10">
      <c r="B55" s="122">
        <v>57</v>
      </c>
      <c r="C55" s="138">
        <v>1.58</v>
      </c>
      <c r="D55" s="122">
        <v>2</v>
      </c>
      <c r="E55" s="122" t="s">
        <v>269</v>
      </c>
      <c r="F55" s="122">
        <v>2.7</v>
      </c>
      <c r="G55" s="122">
        <v>3.03</v>
      </c>
      <c r="H55" s="122">
        <v>3.34</v>
      </c>
      <c r="J55" s="137"/>
    </row>
    <row r="56" spans="2:10">
      <c r="B56" s="122">
        <v>58</v>
      </c>
      <c r="C56" s="138">
        <v>1.56</v>
      </c>
      <c r="D56" s="122">
        <v>1.98</v>
      </c>
      <c r="E56" s="122" t="s">
        <v>270</v>
      </c>
      <c r="F56" s="122">
        <v>2.65</v>
      </c>
      <c r="G56" s="122">
        <v>2.99</v>
      </c>
      <c r="H56" s="122">
        <v>3.29</v>
      </c>
      <c r="J56" s="137"/>
    </row>
    <row r="57" spans="2:10">
      <c r="B57" s="122">
        <v>59</v>
      </c>
      <c r="C57" s="138">
        <v>1.54</v>
      </c>
      <c r="D57" s="122">
        <v>1.96</v>
      </c>
      <c r="E57" s="122" t="s">
        <v>271</v>
      </c>
      <c r="F57" s="122">
        <v>2.63</v>
      </c>
      <c r="G57" s="122">
        <v>2.95</v>
      </c>
      <c r="H57" s="122">
        <v>3.25</v>
      </c>
      <c r="J57" s="137"/>
    </row>
    <row r="58" spans="2:10">
      <c r="B58" s="122">
        <v>60</v>
      </c>
      <c r="C58" s="138">
        <v>1.52</v>
      </c>
      <c r="D58" s="122">
        <v>1.93</v>
      </c>
      <c r="E58" s="122">
        <v>2.19</v>
      </c>
      <c r="F58" s="122">
        <v>2.6</v>
      </c>
      <c r="G58" s="122">
        <v>2.92</v>
      </c>
      <c r="H58" s="122">
        <v>3.21</v>
      </c>
      <c r="J58" s="137"/>
    </row>
  </sheetData>
  <mergeCells count="1">
    <mergeCell ref="C1:H1"/>
  </mergeCells>
  <pageMargins left="0.7" right="0.7" top="0.75" bottom="0.75" header="0.3" footer="0.3"/>
  <pageSetup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179C-C909-4166-A083-3D8AE66ABFA7}">
  <sheetPr syncVertical="1" syncRef="A1" transitionEvaluation="1" transitionEntry="1">
    <tabColor rgb="FFFF0000"/>
    <pageSetUpPr fitToPage="1"/>
  </sheetPr>
  <dimension ref="A1:BR109"/>
  <sheetViews>
    <sheetView showGridLines="0" view="pageBreakPreview" zoomScale="80" zoomScaleNormal="80" zoomScaleSheetLayoutView="80" workbookViewId="0">
      <selection activeCell="N33" sqref="N33"/>
    </sheetView>
  </sheetViews>
  <sheetFormatPr defaultColWidth="12.59765625" defaultRowHeight="15.4"/>
  <cols>
    <col min="1" max="1" width="15.1328125" style="2" customWidth="1"/>
    <col min="2" max="2" width="16.86328125" style="2" customWidth="1"/>
    <col min="3" max="3" width="11.265625" style="2" customWidth="1"/>
    <col min="4" max="4" width="12.59765625" style="2"/>
    <col min="5" max="6" width="8.73046875" style="2" customWidth="1"/>
    <col min="7" max="8" width="11.265625" style="2" customWidth="1"/>
    <col min="9" max="9" width="10" style="2" customWidth="1"/>
    <col min="10" max="10" width="11.265625" style="2" customWidth="1"/>
    <col min="11" max="11" width="10" style="2" customWidth="1"/>
    <col min="12" max="13" width="11.265625" style="2" customWidth="1"/>
    <col min="14" max="14" width="20.86328125" style="2" bestFit="1" customWidth="1"/>
    <col min="15" max="15" width="24.59765625" style="2" customWidth="1"/>
    <col min="16" max="18" width="11.265625" style="2" customWidth="1"/>
    <col min="19" max="19" width="18.265625" style="2" bestFit="1" customWidth="1"/>
    <col min="20" max="16384" width="12.59765625" style="2"/>
  </cols>
  <sheetData>
    <row r="1" spans="1:70">
      <c r="E1" s="3" t="s">
        <v>7</v>
      </c>
      <c r="H1" s="4" t="s">
        <v>539</v>
      </c>
    </row>
    <row r="2" spans="1:70">
      <c r="U2" s="332" t="s">
        <v>527</v>
      </c>
    </row>
    <row r="4" spans="1:70">
      <c r="A4" s="3" t="s">
        <v>53</v>
      </c>
      <c r="B4" s="3"/>
      <c r="D4" s="333" t="s">
        <v>538</v>
      </c>
      <c r="E4" s="6"/>
      <c r="F4" s="6"/>
      <c r="G4" s="6"/>
      <c r="H4" s="6"/>
      <c r="K4" s="3" t="s">
        <v>54</v>
      </c>
      <c r="N4" s="7">
        <v>8.3299999999999999E-2</v>
      </c>
      <c r="O4" s="3" t="s">
        <v>55</v>
      </c>
      <c r="Y4" s="3" t="s">
        <v>56</v>
      </c>
    </row>
    <row r="5" spans="1:70">
      <c r="D5" s="7"/>
      <c r="M5" s="3" t="s">
        <v>57</v>
      </c>
      <c r="N5" s="7">
        <v>1.2999999999999999E-2</v>
      </c>
      <c r="Y5" s="3" t="s">
        <v>58</v>
      </c>
    </row>
    <row r="6" spans="1:70">
      <c r="A6" s="3" t="s">
        <v>59</v>
      </c>
      <c r="B6" s="3"/>
      <c r="D6" s="333" t="s">
        <v>365</v>
      </c>
      <c r="E6" s="6"/>
      <c r="H6" s="2" t="s">
        <v>60</v>
      </c>
      <c r="L6" s="3" t="s">
        <v>61</v>
      </c>
      <c r="N6" s="7">
        <v>1.33</v>
      </c>
      <c r="O6" s="3" t="s">
        <v>55</v>
      </c>
    </row>
    <row r="7" spans="1:70">
      <c r="Y7" s="3" t="s">
        <v>62</v>
      </c>
      <c r="AA7" s="3" t="s">
        <v>63</v>
      </c>
    </row>
    <row r="8" spans="1:70" ht="17.649999999999999">
      <c r="A8" s="8" t="s">
        <v>4</v>
      </c>
      <c r="B8" s="9" t="s">
        <v>528</v>
      </c>
      <c r="C8" s="9" t="s">
        <v>4</v>
      </c>
      <c r="D8" s="9" t="s">
        <v>21</v>
      </c>
      <c r="E8" s="10"/>
      <c r="F8" s="10"/>
      <c r="G8" s="9" t="s">
        <v>64</v>
      </c>
      <c r="H8" s="9" t="s">
        <v>2</v>
      </c>
      <c r="I8" s="9" t="s">
        <v>65</v>
      </c>
      <c r="J8" s="9" t="s">
        <v>536</v>
      </c>
      <c r="K8" s="9" t="s">
        <v>529</v>
      </c>
      <c r="L8" s="9" t="s">
        <v>67</v>
      </c>
      <c r="M8" s="9" t="s">
        <v>68</v>
      </c>
      <c r="N8" s="9" t="s">
        <v>530</v>
      </c>
      <c r="O8" s="9" t="s">
        <v>531</v>
      </c>
      <c r="P8" s="9" t="s">
        <v>69</v>
      </c>
      <c r="Q8" s="9" t="s">
        <v>70</v>
      </c>
      <c r="R8" s="9" t="s">
        <v>64</v>
      </c>
      <c r="S8" s="9" t="s">
        <v>64</v>
      </c>
      <c r="V8" s="3" t="s">
        <v>71</v>
      </c>
      <c r="W8" s="3" t="s">
        <v>72</v>
      </c>
      <c r="X8" s="3" t="s">
        <v>73</v>
      </c>
      <c r="Y8" s="3" t="s">
        <v>74</v>
      </c>
      <c r="AA8" s="3" t="s">
        <v>75</v>
      </c>
      <c r="AB8" s="3" t="s">
        <v>76</v>
      </c>
    </row>
    <row r="9" spans="1:70" ht="15.75" thickBot="1">
      <c r="A9" s="11" t="s">
        <v>77</v>
      </c>
      <c r="B9" s="12" t="s">
        <v>532</v>
      </c>
      <c r="C9" s="12" t="s">
        <v>1</v>
      </c>
      <c r="D9" s="13" t="s">
        <v>78</v>
      </c>
      <c r="E9" s="12" t="s">
        <v>79</v>
      </c>
      <c r="F9" s="12" t="s">
        <v>80</v>
      </c>
      <c r="G9" s="12" t="s">
        <v>80</v>
      </c>
      <c r="H9" s="12" t="s">
        <v>80</v>
      </c>
      <c r="I9" s="12" t="s">
        <v>81</v>
      </c>
      <c r="J9" s="12" t="s">
        <v>82</v>
      </c>
      <c r="K9" s="12" t="s">
        <v>83</v>
      </c>
      <c r="L9" s="12" t="s">
        <v>84</v>
      </c>
      <c r="M9" s="12" t="s">
        <v>84</v>
      </c>
      <c r="N9" s="12" t="s">
        <v>533</v>
      </c>
      <c r="O9" s="12" t="s">
        <v>85</v>
      </c>
      <c r="P9" s="12" t="s">
        <v>85</v>
      </c>
      <c r="Q9" s="12" t="s">
        <v>86</v>
      </c>
      <c r="R9" s="12" t="s">
        <v>80</v>
      </c>
      <c r="S9" s="12" t="s">
        <v>8</v>
      </c>
      <c r="V9" s="3" t="s">
        <v>87</v>
      </c>
      <c r="X9" s="3" t="s">
        <v>87</v>
      </c>
      <c r="Y9" s="3" t="s">
        <v>88</v>
      </c>
      <c r="Z9" s="3" t="s">
        <v>88</v>
      </c>
      <c r="AA9" s="3" t="s">
        <v>89</v>
      </c>
      <c r="AB9" s="3" t="s">
        <v>90</v>
      </c>
    </row>
    <row r="10" spans="1:70" ht="16.149999999999999" thickTop="1" thickBot="1">
      <c r="A10" s="415" t="s">
        <v>534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416"/>
      <c r="S10" s="417"/>
    </row>
    <row r="11" spans="1:70" ht="15.75" thickTop="1">
      <c r="A11" s="369" t="str">
        <f>'Rationals-MCDOT'!B35</f>
        <v>I-2</v>
      </c>
      <c r="B11" s="370"/>
      <c r="C11" s="371">
        <v>3.42</v>
      </c>
      <c r="D11" s="372">
        <f>'Rationals-MCDOT'!D50/43560</f>
        <v>0.21433746556473826</v>
      </c>
      <c r="E11" s="373">
        <f>'Rationals-MCDOT'!D52</f>
        <v>0.84040974493763221</v>
      </c>
      <c r="F11" s="374">
        <f t="shared" ref="F11:F38" si="0">IF(AND(D11=0,E11=0)," ",+D11*E11)</f>
        <v>0.18013129476584022</v>
      </c>
      <c r="G11" s="374">
        <v>0</v>
      </c>
      <c r="H11" s="374">
        <f t="shared" ref="H11:H38" si="1">IF(AND(D11=0,E11=0)," ",+F11+G11)</f>
        <v>0.18013129476584022</v>
      </c>
      <c r="I11" s="371">
        <f>'Rationals-MCDOT'!B58</f>
        <v>5</v>
      </c>
      <c r="J11" s="370">
        <f>'Rationals-MCDOT'!E57</f>
        <v>4.01</v>
      </c>
      <c r="K11" s="375">
        <f>IF(AND(D11=0,E11=0)," ",+H11*J11)</f>
        <v>0.72232649201101928</v>
      </c>
      <c r="L11" s="370" t="s">
        <v>97</v>
      </c>
      <c r="M11" s="370" t="s">
        <v>97</v>
      </c>
      <c r="N11" s="370" t="s">
        <v>535</v>
      </c>
      <c r="O11" s="372"/>
      <c r="P11" s="375">
        <v>5.7</v>
      </c>
      <c r="Q11" s="375">
        <v>100</v>
      </c>
      <c r="R11" s="374">
        <f>IF(AND(D11=0,E11=0)," ",+H11*(1-(Q11/100)))</f>
        <v>0</v>
      </c>
      <c r="S11" s="369"/>
      <c r="T11" s="22" t="s">
        <v>7</v>
      </c>
      <c r="U11" s="2">
        <f t="shared" ref="U11:U38" si="2">L11+0.25*(1-(1-$N$6/P11)^2.67)</f>
        <v>0.12701855807197837</v>
      </c>
      <c r="V11" s="2">
        <f t="shared" ref="V11:V38" si="3">($N$4+L11*$N$6)/$N$6</f>
        <v>6.2631578947368413E-2</v>
      </c>
      <c r="W11" s="2">
        <f t="shared" ref="W11:W38" si="4">($N$4/($N$4+$N$6*L11))*(0.56/$N$5*V11^1.667*M11^0.5*$N$6^2.667)/K11</f>
        <v>0</v>
      </c>
      <c r="X11" s="2">
        <f t="shared" ref="X11:X38" si="5">L11+($N$4/$N$6)*W11</f>
        <v>0</v>
      </c>
      <c r="Y11" s="2" t="e">
        <f t="shared" ref="Y11:Y38" si="6">IF(C11&gt;=15,0.54*K11^0.42*M11^0.3*(1/($N$5*X11))^0.6,Z11)</f>
        <v>#DIV/0!</v>
      </c>
      <c r="Z11" s="2" t="e">
        <f t="shared" ref="Z11:Z38" si="7">0.58*K11^0.42*M11^0.3*(1/($N$5*X11))^0.6</f>
        <v>#DIV/0!</v>
      </c>
      <c r="AA11" s="2" t="e">
        <f t="shared" ref="AA11:AA38" si="8">IF($N$4=0,0.6*K11^0.42*M11^0.3*(1/($N$5*X11))^0.6,Y11)</f>
        <v>#DIV/0!</v>
      </c>
      <c r="AB11" s="2" t="e">
        <f t="shared" ref="AB11:AB38" si="9">IF(C11&gt;AA11,1,1-(1-C11/AA11)^1.8)</f>
        <v>#DIV/0!</v>
      </c>
      <c r="AE11" s="2" t="e">
        <f t="shared" ref="AE11:AE38" si="10">IF(EXACT($A$11,$S11),$R11,0)</f>
        <v>#VALUE!</v>
      </c>
      <c r="AF11" s="2">
        <f t="shared" ref="AF11:AF38" si="11">IF(ISERR(AE11),0,AE11)</f>
        <v>0</v>
      </c>
      <c r="AG11" s="2" t="e">
        <f>IF(EXACT($A$13,$S11),$R11,0)</f>
        <v>#VALUE!</v>
      </c>
      <c r="AH11" s="2">
        <f t="shared" ref="AH11:AH38" si="12">IF(ISERR(AG11),0,AG11)</f>
        <v>0</v>
      </c>
      <c r="AI11" s="2" t="e">
        <f>IF(EXACT($A$15,$S11),$R11,0)</f>
        <v>#VALUE!</v>
      </c>
      <c r="AJ11" s="2">
        <f t="shared" ref="AJ11:AJ38" si="13">IF(ISERR(AI11),0,AI11)</f>
        <v>0</v>
      </c>
      <c r="AK11" s="2" t="e">
        <f>IF(EXACT(#REF!,$S11),$R11,0)</f>
        <v>#REF!</v>
      </c>
      <c r="AL11" s="2">
        <f t="shared" ref="AL11:AL38" si="14">IF(ISERR(AK11),0,AK11)</f>
        <v>0</v>
      </c>
      <c r="AM11" s="2" t="e">
        <f>IF(EXACT($A$17,$S11),$R11,0)</f>
        <v>#VALUE!</v>
      </c>
      <c r="AN11" s="2">
        <f t="shared" ref="AN11:AN38" si="15">IF(ISERR(AM11),0,AM11)</f>
        <v>0</v>
      </c>
      <c r="AO11" s="2" t="e">
        <f>IF(EXACT($A$18,$S11),$R11,0)</f>
        <v>#VALUE!</v>
      </c>
      <c r="AP11" s="2">
        <f t="shared" ref="AP11:AP38" si="16">IF(ISERR(AO11),0,AO11)</f>
        <v>0</v>
      </c>
      <c r="AQ11" s="2" t="e">
        <f>IF(EXACT($A$20,$S11),$R11,0)</f>
        <v>#VALUE!</v>
      </c>
      <c r="AR11" s="2">
        <f t="shared" ref="AR11:AR38" si="17">IF(ISERR(AQ11),0,AQ11)</f>
        <v>0</v>
      </c>
      <c r="AS11" s="2" t="e">
        <f>IF(EXACT($A$21,$S11),$R11,0)</f>
        <v>#VALUE!</v>
      </c>
      <c r="AT11" s="2">
        <f t="shared" ref="AT11:AT38" si="18">IF(ISERR(AS11),0,AS11)</f>
        <v>0</v>
      </c>
      <c r="AU11" s="2" t="e">
        <f>IF(EXACT($A$22,$S11),$R11,0)</f>
        <v>#VALUE!</v>
      </c>
      <c r="AV11" s="2">
        <f t="shared" ref="AV11:AV38" si="19">IF(ISERR(AU11),0,AU11)</f>
        <v>0</v>
      </c>
      <c r="AW11" s="2" t="e">
        <f>IF(EXACT($A$23,$S11),$R11,0)</f>
        <v>#VALUE!</v>
      </c>
      <c r="AX11" s="2">
        <f t="shared" ref="AX11:AX38" si="20">IF(ISERR(AW11),0,AW11)</f>
        <v>0</v>
      </c>
      <c r="AY11" s="2" t="e">
        <f>IF(EXACT($A$24,$S11),$R11,0)</f>
        <v>#VALUE!</v>
      </c>
      <c r="AZ11" s="2">
        <f t="shared" ref="AZ11:AZ38" si="21">IF(ISERR(AY11),0,AY11)</f>
        <v>0</v>
      </c>
      <c r="BA11" s="2" t="e">
        <f>IF(EXACT($A$25,$S11),$R11,0)</f>
        <v>#VALUE!</v>
      </c>
      <c r="BB11" s="2">
        <f t="shared" ref="BB11:BB38" si="22">IF(ISERR(BA11),0,BA11)</f>
        <v>0</v>
      </c>
      <c r="BC11" s="2" t="e">
        <f>IF(EXACT($A$26,$S11),$R11,0)</f>
        <v>#VALUE!</v>
      </c>
      <c r="BD11" s="2">
        <f t="shared" ref="BD11:BD38" si="23">IF(ISERR(BC11),0,BC11)</f>
        <v>0</v>
      </c>
      <c r="BE11" s="2" t="e">
        <f>IF(EXACT($A$27,$S11),$R11,0)</f>
        <v>#VALUE!</v>
      </c>
      <c r="BF11" s="2">
        <f t="shared" ref="BF11:BF38" si="24">IF(ISERR(BE11),0,BE11)</f>
        <v>0</v>
      </c>
      <c r="BG11" s="2" t="e">
        <f>IF(EXACT($A$33,$S11),$R11,0)</f>
        <v>#VALUE!</v>
      </c>
      <c r="BH11" s="2">
        <f t="shared" ref="BH11:BH38" si="25">IF(ISERR(BG11),0,BG11)</f>
        <v>0</v>
      </c>
      <c r="BI11" s="2" t="e">
        <f>IF(EXACT($A$34,$S11),$R11,0)</f>
        <v>#VALUE!</v>
      </c>
      <c r="BJ11" s="2">
        <f t="shared" ref="BJ11:BJ38" si="26">IF(ISERR(BI11),0,BI11)</f>
        <v>0</v>
      </c>
      <c r="BK11" s="2" t="e">
        <f>IF(EXACT($A$35,$S11),$R11,0)</f>
        <v>#VALUE!</v>
      </c>
      <c r="BL11" s="2">
        <f t="shared" ref="BL11:BL38" si="27">IF(ISERR(BK11),0,BK11)</f>
        <v>0</v>
      </c>
      <c r="BM11" s="2" t="e">
        <f>IF(EXACT($A$36,$S11),$R11,0)</f>
        <v>#VALUE!</v>
      </c>
      <c r="BN11" s="2">
        <f t="shared" ref="BN11:BN38" si="28">IF(ISERR(BM11),0,BM11)</f>
        <v>0</v>
      </c>
      <c r="BO11" s="2" t="e">
        <f>IF(EXACT($A$37,$S11),$R11,0)</f>
        <v>#VALUE!</v>
      </c>
      <c r="BP11" s="2">
        <f t="shared" ref="BP11:BP38" si="29">IF(ISERR(BO11),0,BO11)</f>
        <v>0</v>
      </c>
      <c r="BQ11" s="2" t="e">
        <f>IF(EXACT($A$38,$S11),$R11,0)</f>
        <v>#VALUE!</v>
      </c>
      <c r="BR11" s="2">
        <f t="shared" ref="BR11:BR38" si="30">IF(ISERR(BQ11),0,BQ11)</f>
        <v>0</v>
      </c>
    </row>
    <row r="12" spans="1:70">
      <c r="A12" s="369">
        <f>'Rationals-MCDOT'!T95</f>
        <v>0</v>
      </c>
      <c r="B12" s="370"/>
      <c r="C12" s="371">
        <v>10</v>
      </c>
      <c r="D12" s="372">
        <f>'Rationals-MCDOT'!V110/43560</f>
        <v>0</v>
      </c>
      <c r="E12" s="373">
        <f>'Rationals-MCDOT'!V112</f>
        <v>0</v>
      </c>
      <c r="F12" s="374" t="str">
        <f t="shared" si="0"/>
        <v xml:space="preserve"> </v>
      </c>
      <c r="G12" s="374">
        <v>0</v>
      </c>
      <c r="H12" s="374" t="str">
        <f t="shared" si="1"/>
        <v xml:space="preserve"> </v>
      </c>
      <c r="I12" s="371">
        <f>'Rationals-MCDOT'!T118</f>
        <v>0</v>
      </c>
      <c r="J12" s="370">
        <f>'Rationals-MCDOT'!W117</f>
        <v>0</v>
      </c>
      <c r="K12" s="375" t="str">
        <f t="shared" ref="K12:K38" si="31">IF(AND(D12=0,E12=0)," ",+H12*J12)</f>
        <v xml:space="preserve"> </v>
      </c>
      <c r="L12" s="370">
        <v>0.02</v>
      </c>
      <c r="M12" s="370">
        <v>8.0000000000000002E-3</v>
      </c>
      <c r="N12" s="370" t="s">
        <v>535</v>
      </c>
      <c r="O12" s="372"/>
      <c r="P12" s="375">
        <v>14.4</v>
      </c>
      <c r="Q12" s="375">
        <v>61.03</v>
      </c>
      <c r="R12" s="374" t="str">
        <f>IF(AND(D12=0,E12=0)," ",+H12*(1-(Q12/100)))</f>
        <v xml:space="preserve"> </v>
      </c>
      <c r="S12" s="369" t="s">
        <v>373</v>
      </c>
      <c r="T12" s="22"/>
      <c r="U12" s="2">
        <f t="shared" ref="U12:U27" si="32">L12+0.25*(1-(1-$N$6/P12)^2.67)</f>
        <v>7.6995260600611584E-2</v>
      </c>
      <c r="V12" s="2">
        <f t="shared" ref="V12:V27" si="33">($N$4+L12*$N$6)/$N$6</f>
        <v>8.2631578947368417E-2</v>
      </c>
      <c r="W12" s="2" t="e">
        <f t="shared" ref="W12:W27" si="34">($N$4/($N$4+$N$6*L12))*(0.56/$N$5*V12^1.667*M12^0.5*$N$6^2.667)/K12</f>
        <v>#DIV/0!</v>
      </c>
      <c r="X12" s="2" t="e">
        <f t="shared" ref="X12:X27" si="35">L12+($N$4/$N$6)*W12</f>
        <v>#DIV/0!</v>
      </c>
      <c r="Y12" s="2" t="e">
        <f t="shared" ref="Y12:Y27" si="36">IF(C12&gt;=15,0.54*K12^0.42*M12^0.3*(1/($N$5*X12))^0.6,Z12)</f>
        <v>#DIV/0!</v>
      </c>
      <c r="Z12" s="2" t="e">
        <f t="shared" ref="Z12:Z27" si="37">0.58*K12^0.42*M12^0.3*(1/($N$5*X12))^0.6</f>
        <v>#DIV/0!</v>
      </c>
      <c r="AA12" s="2" t="e">
        <f t="shared" ref="AA12:AA27" si="38">IF($N$4=0,0.6*K12^0.42*M12^0.3*(1/($N$5*X12))^0.6,Y12)</f>
        <v>#DIV/0!</v>
      </c>
      <c r="AB12" s="2" t="e">
        <f t="shared" ref="AB12:AB27" si="39">IF(C12&gt;AA12,1,1-(1-C12/AA12)^1.8)</f>
        <v>#DIV/0!</v>
      </c>
    </row>
    <row r="13" spans="1:70">
      <c r="A13" s="369">
        <f>'Rationals-MCDOT'!B95</f>
        <v>0</v>
      </c>
      <c r="B13" s="370"/>
      <c r="C13" s="371">
        <v>10</v>
      </c>
      <c r="D13" s="372">
        <f>'Rationals-MCDOT'!D110/43560</f>
        <v>0</v>
      </c>
      <c r="E13" s="373">
        <f>'Rationals-MCDOT'!D112</f>
        <v>0</v>
      </c>
      <c r="F13" s="374" t="str">
        <f t="shared" si="0"/>
        <v xml:space="preserve"> </v>
      </c>
      <c r="G13" s="374" t="str">
        <f>R12</f>
        <v xml:space="preserve"> </v>
      </c>
      <c r="H13" s="374" t="str">
        <f>IF(AND(D13=0,E13=0)," ",+F13+G13)</f>
        <v xml:space="preserve"> </v>
      </c>
      <c r="I13" s="371">
        <f>'Rationals-MCDOT'!B118</f>
        <v>0</v>
      </c>
      <c r="J13" s="370">
        <f>'Rationals-MCDOT'!E117</f>
        <v>0</v>
      </c>
      <c r="K13" s="375" t="str">
        <f t="shared" si="31"/>
        <v xml:space="preserve"> </v>
      </c>
      <c r="L13" s="372">
        <v>0.02</v>
      </c>
      <c r="M13" s="370">
        <v>4.2999999999999997E-2</v>
      </c>
      <c r="N13" s="370" t="s">
        <v>535</v>
      </c>
      <c r="O13" s="372"/>
      <c r="P13" s="375">
        <v>8.5</v>
      </c>
      <c r="Q13" s="375">
        <v>56.59</v>
      </c>
      <c r="R13" s="374" t="str">
        <f t="shared" ref="R13:R16" si="40">IF(AND(D13=0,E13=0)," ",+H13*(1-(Q13/100)))</f>
        <v xml:space="preserve"> </v>
      </c>
      <c r="S13" s="369" t="s">
        <v>272</v>
      </c>
      <c r="T13" s="22" t="s">
        <v>7</v>
      </c>
      <c r="U13" s="2">
        <f t="shared" si="32"/>
        <v>0.11128147361258385</v>
      </c>
      <c r="V13" s="2">
        <f t="shared" si="33"/>
        <v>8.2631578947368417E-2</v>
      </c>
      <c r="W13" s="2" t="e">
        <f t="shared" si="34"/>
        <v>#DIV/0!</v>
      </c>
      <c r="X13" s="2" t="e">
        <f t="shared" si="35"/>
        <v>#DIV/0!</v>
      </c>
      <c r="Y13" s="2" t="e">
        <f t="shared" si="36"/>
        <v>#DIV/0!</v>
      </c>
      <c r="Z13" s="2" t="e">
        <f t="shared" si="37"/>
        <v>#DIV/0!</v>
      </c>
      <c r="AA13" s="2" t="e">
        <f t="shared" si="38"/>
        <v>#DIV/0!</v>
      </c>
      <c r="AB13" s="2" t="e">
        <f t="shared" si="39"/>
        <v>#DIV/0!</v>
      </c>
      <c r="AE13" s="2">
        <f t="shared" si="10"/>
        <v>0</v>
      </c>
      <c r="AF13" s="2">
        <f t="shared" si="11"/>
        <v>0</v>
      </c>
      <c r="AG13" s="2" t="e">
        <f>IF(EXACT($A$13,$S13),$R13,0)</f>
        <v>#VALUE!</v>
      </c>
      <c r="AH13" s="2">
        <f t="shared" si="12"/>
        <v>0</v>
      </c>
      <c r="AI13" s="2">
        <f>IF(EXACT($A$15,$S13),$R13,0)</f>
        <v>0</v>
      </c>
      <c r="AJ13" s="2">
        <f t="shared" si="13"/>
        <v>0</v>
      </c>
      <c r="AK13" s="2" t="e">
        <f>IF(EXACT(#REF!,$S13),$R13,0)</f>
        <v>#REF!</v>
      </c>
      <c r="AL13" s="2">
        <f t="shared" si="14"/>
        <v>0</v>
      </c>
      <c r="AM13" s="2">
        <f>IF(EXACT($A$17,$S13),$R13,0)</f>
        <v>0</v>
      </c>
      <c r="AN13" s="2">
        <f t="shared" si="15"/>
        <v>0</v>
      </c>
      <c r="AO13" s="2">
        <f>IF(EXACT($A$18,$S13),$R13,0)</f>
        <v>0</v>
      </c>
      <c r="AP13" s="2">
        <f t="shared" si="16"/>
        <v>0</v>
      </c>
      <c r="AQ13" s="2" t="e">
        <f>IF(EXACT($A$20,$S13),$R13,0)</f>
        <v>#VALUE!</v>
      </c>
      <c r="AR13" s="2">
        <f t="shared" si="17"/>
        <v>0</v>
      </c>
      <c r="AS13" s="2">
        <f>IF(EXACT($A$21,$S13),$R13,0)</f>
        <v>0</v>
      </c>
      <c r="AT13" s="2">
        <f t="shared" si="18"/>
        <v>0</v>
      </c>
      <c r="AU13" s="2">
        <f>IF(EXACT($A$22,$S13),$R13,0)</f>
        <v>0</v>
      </c>
      <c r="AV13" s="2">
        <f t="shared" si="19"/>
        <v>0</v>
      </c>
      <c r="AW13" s="2" t="e">
        <f>IF(EXACT($A$23,$S13),$R13,0)</f>
        <v>#VALUE!</v>
      </c>
      <c r="AX13" s="2">
        <f t="shared" si="20"/>
        <v>0</v>
      </c>
      <c r="AY13" s="2" t="e">
        <f>IF(EXACT($A$24,$S13),$R13,0)</f>
        <v>#VALUE!</v>
      </c>
      <c r="AZ13" s="2">
        <f t="shared" si="21"/>
        <v>0</v>
      </c>
      <c r="BA13" s="2" t="e">
        <f>IF(EXACT($A$25,$S13),$R13,0)</f>
        <v>#VALUE!</v>
      </c>
      <c r="BB13" s="2">
        <f t="shared" si="22"/>
        <v>0</v>
      </c>
      <c r="BC13" s="2" t="e">
        <f>IF(EXACT($A$26,$S13),$R13,0)</f>
        <v>#VALUE!</v>
      </c>
      <c r="BD13" s="2">
        <f t="shared" si="23"/>
        <v>0</v>
      </c>
      <c r="BE13" s="2">
        <f>IF(EXACT($A$27,$S13),$R13,0)</f>
        <v>0</v>
      </c>
      <c r="BF13" s="2">
        <f t="shared" si="24"/>
        <v>0</v>
      </c>
      <c r="BG13" s="2" t="e">
        <f>IF(EXACT($A$33,$S13),$R13,0)</f>
        <v>#VALUE!</v>
      </c>
      <c r="BH13" s="2">
        <f t="shared" si="25"/>
        <v>0</v>
      </c>
      <c r="BI13" s="2" t="e">
        <f>IF(EXACT($A$34,$S13),$R13,0)</f>
        <v>#VALUE!</v>
      </c>
      <c r="BJ13" s="2">
        <f t="shared" si="26"/>
        <v>0</v>
      </c>
      <c r="BK13" s="2" t="e">
        <f>IF(EXACT($A$35,$S13),$R13,0)</f>
        <v>#VALUE!</v>
      </c>
      <c r="BL13" s="2">
        <f t="shared" si="27"/>
        <v>0</v>
      </c>
      <c r="BM13" s="2" t="e">
        <f>IF(EXACT($A$36,$S13),$R13,0)</f>
        <v>#VALUE!</v>
      </c>
      <c r="BN13" s="2">
        <f t="shared" si="28"/>
        <v>0</v>
      </c>
      <c r="BO13" s="2" t="e">
        <f>IF(EXACT($A$37,$S13),$R13,0)</f>
        <v>#VALUE!</v>
      </c>
      <c r="BP13" s="2">
        <f t="shared" si="29"/>
        <v>0</v>
      </c>
      <c r="BQ13" s="2" t="e">
        <f>IF(EXACT($A$38,$S13),$R13,0)</f>
        <v>#VALUE!</v>
      </c>
      <c r="BR13" s="2">
        <f t="shared" si="30"/>
        <v>0</v>
      </c>
    </row>
    <row r="14" spans="1:70">
      <c r="A14" s="369">
        <f>'Rationals-MCDOT'!K95</f>
        <v>0</v>
      </c>
      <c r="B14" s="370"/>
      <c r="C14" s="371">
        <v>10</v>
      </c>
      <c r="D14" s="372">
        <f>'Rationals-MCDOT'!M110/43560</f>
        <v>0</v>
      </c>
      <c r="E14" s="373">
        <f>'Rationals-MCDOT'!M112</f>
        <v>0</v>
      </c>
      <c r="F14" s="374" t="str">
        <f t="shared" si="0"/>
        <v xml:space="preserve"> </v>
      </c>
      <c r="G14" s="374">
        <v>0</v>
      </c>
      <c r="H14" s="374" t="str">
        <f>IF(AND(D14=0,E14=0)," ",+F14+G14)</f>
        <v xml:space="preserve"> </v>
      </c>
      <c r="I14" s="371">
        <f>'Rationals-MCDOT'!K118</f>
        <v>0</v>
      </c>
      <c r="J14" s="370">
        <f>'Rationals-MCDOT'!N117</f>
        <v>0</v>
      </c>
      <c r="K14" s="375" t="str">
        <f t="shared" si="31"/>
        <v xml:space="preserve"> </v>
      </c>
      <c r="L14" s="370">
        <v>2.7E-2</v>
      </c>
      <c r="M14" s="370">
        <v>4.2999999999999997E-2</v>
      </c>
      <c r="N14" s="370" t="s">
        <v>535</v>
      </c>
      <c r="O14" s="372"/>
      <c r="P14" s="375">
        <v>8.6999999999999993</v>
      </c>
      <c r="Q14" s="375">
        <v>47.37</v>
      </c>
      <c r="R14" s="374" t="str">
        <f t="shared" si="40"/>
        <v xml:space="preserve"> </v>
      </c>
      <c r="S14" s="376" t="s">
        <v>272</v>
      </c>
      <c r="T14" s="22"/>
      <c r="U14" s="2">
        <f t="shared" si="32"/>
        <v>0.11646793333718441</v>
      </c>
      <c r="V14" s="2">
        <f t="shared" si="33"/>
        <v>8.9631578947368423E-2</v>
      </c>
      <c r="W14" s="2" t="e">
        <f t="shared" si="34"/>
        <v>#DIV/0!</v>
      </c>
      <c r="X14" s="2" t="e">
        <f t="shared" si="35"/>
        <v>#DIV/0!</v>
      </c>
      <c r="Y14" s="2" t="e">
        <f t="shared" si="36"/>
        <v>#DIV/0!</v>
      </c>
      <c r="Z14" s="2" t="e">
        <f t="shared" si="37"/>
        <v>#DIV/0!</v>
      </c>
      <c r="AA14" s="2" t="e">
        <f t="shared" si="38"/>
        <v>#DIV/0!</v>
      </c>
      <c r="AB14" s="2" t="e">
        <f t="shared" si="39"/>
        <v>#DIV/0!</v>
      </c>
    </row>
    <row r="15" spans="1:70">
      <c r="A15" s="369" t="str">
        <f>'Rationals-MCDOT'!T65</f>
        <v>I-7</v>
      </c>
      <c r="B15" s="370"/>
      <c r="C15" s="371">
        <v>20</v>
      </c>
      <c r="D15" s="372">
        <f>'Rationals-MCDOT'!V80/43560</f>
        <v>2.4603620293847563</v>
      </c>
      <c r="E15" s="373">
        <f>'Rationals-MCDOT'!V82</f>
        <v>0.57788517240803383</v>
      </c>
      <c r="F15" s="374">
        <f t="shared" si="0"/>
        <v>1.4218067355371899</v>
      </c>
      <c r="G15" s="374">
        <v>0</v>
      </c>
      <c r="H15" s="374">
        <f t="shared" ref="H15:H16" si="41">IF(AND(D15=0,E15=0)," ",+F15+G15)</f>
        <v>1.4218067355371899</v>
      </c>
      <c r="I15" s="371">
        <f>'Rationals-MCDOT'!T88</f>
        <v>10</v>
      </c>
      <c r="J15" s="370">
        <f>'Rationals-MCDOT'!W87</f>
        <v>4.01</v>
      </c>
      <c r="K15" s="375">
        <f t="shared" si="31"/>
        <v>5.7014450095041314</v>
      </c>
      <c r="L15" s="370">
        <v>0.02</v>
      </c>
      <c r="M15" s="370">
        <v>1.2E-2</v>
      </c>
      <c r="N15" s="370" t="s">
        <v>535</v>
      </c>
      <c r="O15" s="372"/>
      <c r="P15" s="375">
        <v>6.7</v>
      </c>
      <c r="Q15" s="375">
        <v>100</v>
      </c>
      <c r="R15" s="374">
        <f t="shared" si="40"/>
        <v>0</v>
      </c>
      <c r="S15" s="369" t="s">
        <v>362</v>
      </c>
      <c r="T15" s="22" t="s">
        <v>7</v>
      </c>
      <c r="U15" s="2">
        <f t="shared" si="32"/>
        <v>0.13153129573162745</v>
      </c>
      <c r="V15" s="2">
        <f t="shared" si="33"/>
        <v>8.2631578947368417E-2</v>
      </c>
      <c r="W15" s="2">
        <f t="shared" si="34"/>
        <v>2.1022892087571392E-2</v>
      </c>
      <c r="X15" s="2">
        <f t="shared" si="35"/>
        <v>2.1316696925484734E-2</v>
      </c>
      <c r="Y15" s="2">
        <f t="shared" si="36"/>
        <v>40.556815834518126</v>
      </c>
      <c r="Z15" s="2">
        <f t="shared" si="37"/>
        <v>43.561024414852795</v>
      </c>
      <c r="AA15" s="2">
        <f t="shared" si="38"/>
        <v>40.556815834518126</v>
      </c>
      <c r="AB15" s="2">
        <f t="shared" si="39"/>
        <v>0.70568961284679665</v>
      </c>
      <c r="AE15" s="2">
        <f t="shared" si="10"/>
        <v>0</v>
      </c>
      <c r="AF15" s="2">
        <f t="shared" si="11"/>
        <v>0</v>
      </c>
      <c r="AG15" s="2" t="e">
        <f t="shared" ref="AG15:AG38" si="42">IF(EXACT($A$13,$S15),$R15,0)</f>
        <v>#VALUE!</v>
      </c>
      <c r="AH15" s="2">
        <f t="shared" si="12"/>
        <v>0</v>
      </c>
      <c r="AI15" s="2">
        <f t="shared" ref="AI15:AI38" si="43">IF(EXACT($A$15,$S15),$R15,0)</f>
        <v>0</v>
      </c>
      <c r="AJ15" s="2">
        <f t="shared" si="13"/>
        <v>0</v>
      </c>
      <c r="AK15" s="2" t="e">
        <f>IF(EXACT(#REF!,$S15),$R15,0)</f>
        <v>#REF!</v>
      </c>
      <c r="AL15" s="2">
        <f t="shared" si="14"/>
        <v>0</v>
      </c>
      <c r="AM15" s="2">
        <f>IF(EXACT($A$17,$S15),$R15,0)</f>
        <v>0</v>
      </c>
      <c r="AN15" s="2">
        <f t="shared" si="15"/>
        <v>0</v>
      </c>
      <c r="AO15" s="2">
        <f>IF(EXACT($A$18,$S15),$R15,0)</f>
        <v>0</v>
      </c>
      <c r="AP15" s="2">
        <f t="shared" si="16"/>
        <v>0</v>
      </c>
      <c r="AQ15" s="2" t="e">
        <f>IF(EXACT($A$20,$S15),$R15,0)</f>
        <v>#VALUE!</v>
      </c>
      <c r="AR15" s="2">
        <f t="shared" si="17"/>
        <v>0</v>
      </c>
      <c r="AS15" s="2">
        <f>IF(EXACT($A$21,$S15),$R15,0)</f>
        <v>0</v>
      </c>
      <c r="AT15" s="2">
        <f t="shared" si="18"/>
        <v>0</v>
      </c>
      <c r="AU15" s="2">
        <f>IF(EXACT($A$22,$S15),$R15,0)</f>
        <v>0</v>
      </c>
      <c r="AV15" s="2">
        <f t="shared" si="19"/>
        <v>0</v>
      </c>
      <c r="AW15" s="2" t="e">
        <f>IF(EXACT($A$23,$S15),$R15,0)</f>
        <v>#VALUE!</v>
      </c>
      <c r="AX15" s="2">
        <f t="shared" si="20"/>
        <v>0</v>
      </c>
      <c r="AY15" s="2" t="e">
        <f>IF(EXACT($A$24,$S15),$R15,0)</f>
        <v>#VALUE!</v>
      </c>
      <c r="AZ15" s="2">
        <f t="shared" si="21"/>
        <v>0</v>
      </c>
      <c r="BA15" s="2" t="e">
        <f>IF(EXACT($A$25,$S15),$R15,0)</f>
        <v>#VALUE!</v>
      </c>
      <c r="BB15" s="2">
        <f t="shared" si="22"/>
        <v>0</v>
      </c>
      <c r="BC15" s="2" t="e">
        <f>IF(EXACT($A$26,$S15),$R15,0)</f>
        <v>#VALUE!</v>
      </c>
      <c r="BD15" s="2">
        <f t="shared" si="23"/>
        <v>0</v>
      </c>
      <c r="BE15" s="2">
        <f>IF(EXACT($A$27,$S15),$R15,0)</f>
        <v>0</v>
      </c>
      <c r="BF15" s="2">
        <f t="shared" si="24"/>
        <v>0</v>
      </c>
      <c r="BG15" s="2" t="e">
        <f>IF(EXACT($A$33,$S15),$R15,0)</f>
        <v>#VALUE!</v>
      </c>
      <c r="BH15" s="2">
        <f t="shared" si="25"/>
        <v>0</v>
      </c>
      <c r="BI15" s="2" t="e">
        <f>IF(EXACT($A$34,$S15),$R15,0)</f>
        <v>#VALUE!</v>
      </c>
      <c r="BJ15" s="2">
        <f t="shared" si="26"/>
        <v>0</v>
      </c>
      <c r="BK15" s="2" t="e">
        <f>IF(EXACT($A$35,$S15),$R15,0)</f>
        <v>#VALUE!</v>
      </c>
      <c r="BL15" s="2">
        <f t="shared" si="27"/>
        <v>0</v>
      </c>
      <c r="BM15" s="2" t="e">
        <f>IF(EXACT($A$36,$S15),$R15,0)</f>
        <v>#VALUE!</v>
      </c>
      <c r="BN15" s="2">
        <f t="shared" si="28"/>
        <v>0</v>
      </c>
      <c r="BO15" s="2" t="e">
        <f>IF(EXACT($A$37,$S15),$R15,0)</f>
        <v>#VALUE!</v>
      </c>
      <c r="BP15" s="2">
        <f t="shared" si="29"/>
        <v>0</v>
      </c>
      <c r="BQ15" s="2" t="e">
        <f>IF(EXACT($A$38,$S15),$R15,0)</f>
        <v>#VALUE!</v>
      </c>
      <c r="BR15" s="2">
        <f t="shared" si="30"/>
        <v>0</v>
      </c>
    </row>
    <row r="16" spans="1:70">
      <c r="A16" s="369" t="str">
        <f>'Rationals-MCDOT'!K65</f>
        <v>I-6</v>
      </c>
      <c r="B16" s="370"/>
      <c r="C16" s="371">
        <v>20</v>
      </c>
      <c r="D16" s="372">
        <f>'Rationals-MCDOT'!M80/43560</f>
        <v>0.25763567493112949</v>
      </c>
      <c r="E16" s="373">
        <f>'Rationals-MCDOT'!M82</f>
        <v>0.60817317896639012</v>
      </c>
      <c r="F16" s="374">
        <f t="shared" si="0"/>
        <v>0.15668710743801653</v>
      </c>
      <c r="G16" s="374">
        <v>0</v>
      </c>
      <c r="H16" s="374">
        <f t="shared" si="41"/>
        <v>0.15668710743801653</v>
      </c>
      <c r="I16" s="371">
        <f>'Rationals-MCDOT'!K88</f>
        <v>10</v>
      </c>
      <c r="J16" s="370">
        <f>'Rationals-MCDOT'!N87</f>
        <v>4.01</v>
      </c>
      <c r="K16" s="375">
        <f t="shared" si="31"/>
        <v>0.62831530082644627</v>
      </c>
      <c r="L16" s="370">
        <v>0.02</v>
      </c>
      <c r="M16" s="370">
        <v>3.2000000000000001E-2</v>
      </c>
      <c r="N16" s="370" t="s">
        <v>535</v>
      </c>
      <c r="O16" s="372"/>
      <c r="P16" s="375">
        <v>7.6</v>
      </c>
      <c r="Q16" s="375">
        <v>100</v>
      </c>
      <c r="R16" s="374">
        <f t="shared" si="40"/>
        <v>0</v>
      </c>
      <c r="S16" s="370" t="s">
        <v>370</v>
      </c>
      <c r="T16" s="22"/>
      <c r="U16" s="2">
        <f t="shared" si="32"/>
        <v>0.12042050891067833</v>
      </c>
      <c r="V16" s="2">
        <f t="shared" si="33"/>
        <v>8.2631578947368417E-2</v>
      </c>
      <c r="W16" s="2">
        <f t="shared" si="34"/>
        <v>0.31151870674859883</v>
      </c>
      <c r="X16" s="2">
        <f t="shared" si="35"/>
        <v>3.9510908475306979E-2</v>
      </c>
      <c r="Y16" s="2">
        <f t="shared" si="36"/>
        <v>14.885970008658575</v>
      </c>
      <c r="Z16" s="2">
        <f t="shared" si="37"/>
        <v>15.988634453744396</v>
      </c>
      <c r="AA16" s="2">
        <f t="shared" si="38"/>
        <v>14.885970008658575</v>
      </c>
      <c r="AB16" s="2">
        <f t="shared" si="39"/>
        <v>1</v>
      </c>
    </row>
    <row r="17" spans="1:70">
      <c r="A17" s="369" t="str">
        <f>'Rationals-MCDOT'!B65</f>
        <v>I-5</v>
      </c>
      <c r="B17" s="370"/>
      <c r="C17" s="371">
        <v>20</v>
      </c>
      <c r="D17" s="372">
        <f>'Rationals-MCDOT'!D80/43560</f>
        <v>0.66559113865932051</v>
      </c>
      <c r="E17" s="377">
        <f>'Rationals-MCDOT'!D82</f>
        <v>0.6541852472049432</v>
      </c>
      <c r="F17" s="374">
        <f t="shared" si="0"/>
        <v>0.4354199035812672</v>
      </c>
      <c r="G17" s="374">
        <f>R16</f>
        <v>0</v>
      </c>
      <c r="H17" s="374">
        <f t="shared" si="1"/>
        <v>0.4354199035812672</v>
      </c>
      <c r="I17" s="371">
        <f>'Rationals-MCDOT'!B88</f>
        <v>7</v>
      </c>
      <c r="J17" s="370">
        <f>'Rationals-MCDOT'!E87</f>
        <v>4.01</v>
      </c>
      <c r="K17" s="375">
        <f t="shared" si="31"/>
        <v>1.7460338133608815</v>
      </c>
      <c r="L17" s="370">
        <v>0.01</v>
      </c>
      <c r="M17" s="370">
        <v>1.4999999999999999E-2</v>
      </c>
      <c r="N17" s="370" t="s">
        <v>535</v>
      </c>
      <c r="O17" s="372"/>
      <c r="P17" s="375">
        <v>7.8</v>
      </c>
      <c r="Q17" s="375">
        <v>100</v>
      </c>
      <c r="R17" s="374">
        <f>IF(AND(D17=0,E17=0)," ",+H17*(1-(Q17/100)))</f>
        <v>0</v>
      </c>
      <c r="S17" s="369" t="s">
        <v>362</v>
      </c>
      <c r="T17" s="22" t="s">
        <v>7</v>
      </c>
      <c r="U17" s="2">
        <f t="shared" si="32"/>
        <v>0.10823841668002789</v>
      </c>
      <c r="V17" s="2">
        <f t="shared" si="33"/>
        <v>7.2631578947368422E-2</v>
      </c>
      <c r="W17" s="2">
        <f t="shared" si="34"/>
        <v>7.0422921849998529E-2</v>
      </c>
      <c r="X17" s="2">
        <f t="shared" si="35"/>
        <v>1.4410698789552539E-2</v>
      </c>
      <c r="Y17" s="2">
        <f t="shared" si="36"/>
        <v>33.366158975618148</v>
      </c>
      <c r="Z17" s="2">
        <f t="shared" si="37"/>
        <v>35.837726307145417</v>
      </c>
      <c r="AA17" s="2">
        <f t="shared" si="38"/>
        <v>33.366158975618148</v>
      </c>
      <c r="AB17" s="2">
        <f t="shared" si="39"/>
        <v>0.80730930922547961</v>
      </c>
      <c r="AE17" s="2">
        <f t="shared" si="10"/>
        <v>0</v>
      </c>
      <c r="AF17" s="2">
        <f t="shared" si="11"/>
        <v>0</v>
      </c>
      <c r="AG17" s="2" t="e">
        <f t="shared" si="42"/>
        <v>#VALUE!</v>
      </c>
      <c r="AH17" s="2">
        <f t="shared" si="12"/>
        <v>0</v>
      </c>
      <c r="AI17" s="2">
        <f t="shared" si="43"/>
        <v>0</v>
      </c>
      <c r="AJ17" s="2">
        <f t="shared" si="13"/>
        <v>0</v>
      </c>
      <c r="AK17" s="2" t="e">
        <f>IF(EXACT(#REF!,$S17),$R17,0)</f>
        <v>#REF!</v>
      </c>
      <c r="AL17" s="2">
        <f t="shared" si="14"/>
        <v>0</v>
      </c>
      <c r="AM17" s="2">
        <f>IF(EXACT($A$17,$S17),$R17,0)</f>
        <v>0</v>
      </c>
      <c r="AN17" s="2">
        <f t="shared" si="15"/>
        <v>0</v>
      </c>
      <c r="AO17" s="2">
        <f>IF(EXACT($A$18,$S17),$R17,0)</f>
        <v>0</v>
      </c>
      <c r="AP17" s="2">
        <f t="shared" si="16"/>
        <v>0</v>
      </c>
      <c r="AQ17" s="2" t="e">
        <f>IF(EXACT($A$20,$S17),$R17,0)</f>
        <v>#VALUE!</v>
      </c>
      <c r="AR17" s="2">
        <f t="shared" si="17"/>
        <v>0</v>
      </c>
      <c r="AS17" s="2">
        <f>IF(EXACT($A$21,$S17),$R17,0)</f>
        <v>0</v>
      </c>
      <c r="AT17" s="2">
        <f t="shared" si="18"/>
        <v>0</v>
      </c>
      <c r="AU17" s="2">
        <f>IF(EXACT($A$22,$S17),$R17,0)</f>
        <v>0</v>
      </c>
      <c r="AV17" s="2">
        <f t="shared" si="19"/>
        <v>0</v>
      </c>
      <c r="AW17" s="2" t="e">
        <f>IF(EXACT($A$23,$S17),$R17,0)</f>
        <v>#VALUE!</v>
      </c>
      <c r="AX17" s="2">
        <f t="shared" si="20"/>
        <v>0</v>
      </c>
      <c r="AY17" s="2" t="e">
        <f>IF(EXACT($A$24,$S17),$R17,0)</f>
        <v>#VALUE!</v>
      </c>
      <c r="AZ17" s="2">
        <f t="shared" si="21"/>
        <v>0</v>
      </c>
      <c r="BA17" s="2" t="e">
        <f>IF(EXACT($A$25,$S17),$R17,0)</f>
        <v>#VALUE!</v>
      </c>
      <c r="BB17" s="2">
        <f t="shared" si="22"/>
        <v>0</v>
      </c>
      <c r="BC17" s="2" t="e">
        <f>IF(EXACT($A$26,$S17),$R17,0)</f>
        <v>#VALUE!</v>
      </c>
      <c r="BD17" s="2">
        <f t="shared" si="23"/>
        <v>0</v>
      </c>
      <c r="BE17" s="2">
        <f>IF(EXACT($A$27,$S17),$R17,0)</f>
        <v>0</v>
      </c>
      <c r="BF17" s="2">
        <f t="shared" si="24"/>
        <v>0</v>
      </c>
      <c r="BG17" s="2" t="e">
        <f>IF(EXACT($A$33,$S17),$R17,0)</f>
        <v>#VALUE!</v>
      </c>
      <c r="BH17" s="2">
        <f t="shared" si="25"/>
        <v>0</v>
      </c>
      <c r="BI17" s="2" t="e">
        <f>IF(EXACT($A$34,$S17),$R17,0)</f>
        <v>#VALUE!</v>
      </c>
      <c r="BJ17" s="2">
        <f t="shared" si="26"/>
        <v>0</v>
      </c>
      <c r="BK17" s="2" t="e">
        <f>IF(EXACT($A$35,$S17),$R17,0)</f>
        <v>#VALUE!</v>
      </c>
      <c r="BL17" s="2">
        <f t="shared" si="27"/>
        <v>0</v>
      </c>
      <c r="BM17" s="2" t="e">
        <f>IF(EXACT($A$36,$S17),$R17,0)</f>
        <v>#VALUE!</v>
      </c>
      <c r="BN17" s="2">
        <f t="shared" si="28"/>
        <v>0</v>
      </c>
      <c r="BO17" s="2" t="e">
        <f>IF(EXACT($A$37,$S17),$R17,0)</f>
        <v>#VALUE!</v>
      </c>
      <c r="BP17" s="2">
        <f t="shared" si="29"/>
        <v>0</v>
      </c>
      <c r="BQ17" s="2" t="e">
        <f>IF(EXACT($A$38,$S17),$R17,0)</f>
        <v>#VALUE!</v>
      </c>
      <c r="BR17" s="2">
        <f t="shared" si="30"/>
        <v>0</v>
      </c>
    </row>
    <row r="18" spans="1:70">
      <c r="A18" s="369" t="str">
        <f>'Rationals-MCDOT'!K5</f>
        <v>EX-I-2</v>
      </c>
      <c r="B18" s="370"/>
      <c r="C18" s="371">
        <v>15</v>
      </c>
      <c r="D18" s="372">
        <f>'Rationals-MCDOT'!M20/43560</f>
        <v>2.0137199265381085</v>
      </c>
      <c r="E18" s="377">
        <f>'Rationals-MCDOT'!M22</f>
        <v>0.58212056548716995</v>
      </c>
      <c r="F18" s="374">
        <f t="shared" si="0"/>
        <v>1.172227782369146</v>
      </c>
      <c r="G18" s="374">
        <f>R17+R15</f>
        <v>0</v>
      </c>
      <c r="H18" s="374">
        <f t="shared" si="1"/>
        <v>1.172227782369146</v>
      </c>
      <c r="I18" s="371">
        <f>'Rationals-MCDOT'!K28</f>
        <v>10</v>
      </c>
      <c r="J18" s="370">
        <f>'Rationals-MCDOT'!N27</f>
        <v>4.01</v>
      </c>
      <c r="K18" s="375">
        <f>IF(AND(D18=0,E18=0)," ",+H18*J18)</f>
        <v>4.7006334073002751</v>
      </c>
      <c r="L18" s="370">
        <v>2.7E-2</v>
      </c>
      <c r="M18" s="370" t="s">
        <v>97</v>
      </c>
      <c r="N18" s="370" t="s">
        <v>535</v>
      </c>
      <c r="O18" s="372"/>
      <c r="P18" s="375">
        <v>7.4</v>
      </c>
      <c r="Q18" s="375">
        <v>100</v>
      </c>
      <c r="R18" s="374">
        <f t="shared" ref="R18:R38" si="44">IF(AND(D18=0,E18=0)," ",+H18*(1-(Q18/100)))</f>
        <v>0</v>
      </c>
      <c r="S18" s="370"/>
      <c r="T18" s="22" t="s">
        <v>7</v>
      </c>
      <c r="U18" s="2">
        <f t="shared" si="32"/>
        <v>0.12969919435911167</v>
      </c>
      <c r="V18" s="2">
        <f t="shared" si="33"/>
        <v>8.9631578947368423E-2</v>
      </c>
      <c r="W18" s="2">
        <f t="shared" si="34"/>
        <v>0</v>
      </c>
      <c r="X18" s="2">
        <f t="shared" si="35"/>
        <v>2.7E-2</v>
      </c>
      <c r="Y18" s="2">
        <f t="shared" si="36"/>
        <v>0</v>
      </c>
      <c r="Z18" s="2">
        <f t="shared" si="37"/>
        <v>0</v>
      </c>
      <c r="AA18" s="2">
        <f t="shared" si="38"/>
        <v>0</v>
      </c>
      <c r="AB18" s="2">
        <f t="shared" si="39"/>
        <v>1</v>
      </c>
      <c r="AE18" s="2" t="e">
        <f t="shared" si="10"/>
        <v>#VALUE!</v>
      </c>
      <c r="AF18" s="2">
        <f t="shared" si="11"/>
        <v>0</v>
      </c>
      <c r="AG18" s="2" t="e">
        <f t="shared" si="42"/>
        <v>#VALUE!</v>
      </c>
      <c r="AH18" s="2">
        <f t="shared" si="12"/>
        <v>0</v>
      </c>
      <c r="AI18" s="2" t="e">
        <f t="shared" si="43"/>
        <v>#VALUE!</v>
      </c>
      <c r="AJ18" s="2">
        <f t="shared" si="13"/>
        <v>0</v>
      </c>
      <c r="AK18" s="2" t="e">
        <f>IF(EXACT(#REF!,$S18),$R18,0)</f>
        <v>#REF!</v>
      </c>
      <c r="AL18" s="2">
        <f t="shared" si="14"/>
        <v>0</v>
      </c>
      <c r="AM18" s="2" t="e">
        <f>IF(EXACT($A$17,$S18),$R18,0)</f>
        <v>#VALUE!</v>
      </c>
      <c r="AN18" s="2">
        <f t="shared" si="15"/>
        <v>0</v>
      </c>
      <c r="AO18" s="2" t="e">
        <f>IF(EXACT($A$18,$S18),$R18,0)</f>
        <v>#VALUE!</v>
      </c>
      <c r="AP18" s="2">
        <f t="shared" si="16"/>
        <v>0</v>
      </c>
      <c r="AQ18" s="2" t="e">
        <f>IF(EXACT($A$20,$S18),$R18,0)</f>
        <v>#VALUE!</v>
      </c>
      <c r="AR18" s="2">
        <f t="shared" si="17"/>
        <v>0</v>
      </c>
      <c r="AS18" s="2" t="e">
        <f>IF(EXACT($A$21,$S18),$R18,0)</f>
        <v>#VALUE!</v>
      </c>
      <c r="AT18" s="2">
        <f t="shared" si="18"/>
        <v>0</v>
      </c>
      <c r="AU18" s="2" t="e">
        <f>IF(EXACT($A$22,$S18),$R18,0)</f>
        <v>#VALUE!</v>
      </c>
      <c r="AV18" s="2">
        <f t="shared" si="19"/>
        <v>0</v>
      </c>
      <c r="AW18" s="2" t="e">
        <f>IF(EXACT($A$23,$S18),$R18,0)</f>
        <v>#VALUE!</v>
      </c>
      <c r="AX18" s="2">
        <f t="shared" si="20"/>
        <v>0</v>
      </c>
      <c r="AY18" s="2" t="e">
        <f>IF(EXACT($A$24,$S18),$R18,0)</f>
        <v>#VALUE!</v>
      </c>
      <c r="AZ18" s="2">
        <f t="shared" si="21"/>
        <v>0</v>
      </c>
      <c r="BA18" s="2" t="e">
        <f>IF(EXACT($A$25,$S18),$R18,0)</f>
        <v>#VALUE!</v>
      </c>
      <c r="BB18" s="2">
        <f t="shared" si="22"/>
        <v>0</v>
      </c>
      <c r="BC18" s="2" t="e">
        <f>IF(EXACT($A$26,$S18),$R18,0)</f>
        <v>#VALUE!</v>
      </c>
      <c r="BD18" s="2">
        <f t="shared" si="23"/>
        <v>0</v>
      </c>
      <c r="BE18" s="2" t="e">
        <f>IF(EXACT($A$27,$S18),$R18,0)</f>
        <v>#VALUE!</v>
      </c>
      <c r="BF18" s="2">
        <f t="shared" si="24"/>
        <v>0</v>
      </c>
      <c r="BG18" s="2" t="e">
        <f>IF(EXACT($A$33,$S18),$R18,0)</f>
        <v>#VALUE!</v>
      </c>
      <c r="BH18" s="2">
        <f t="shared" si="25"/>
        <v>0</v>
      </c>
      <c r="BI18" s="2" t="e">
        <f>IF(EXACT($A$34,$S18),$R18,0)</f>
        <v>#VALUE!</v>
      </c>
      <c r="BJ18" s="2">
        <f t="shared" si="26"/>
        <v>0</v>
      </c>
      <c r="BK18" s="2" t="e">
        <f>IF(EXACT($A$35,$S18),$R18,0)</f>
        <v>#VALUE!</v>
      </c>
      <c r="BL18" s="2">
        <f t="shared" si="27"/>
        <v>0</v>
      </c>
      <c r="BM18" s="2" t="e">
        <f>IF(EXACT($A$36,$S18),$R18,0)</f>
        <v>#VALUE!</v>
      </c>
      <c r="BN18" s="2">
        <f t="shared" si="28"/>
        <v>0</v>
      </c>
      <c r="BO18" s="2" t="e">
        <f>IF(EXACT($A$37,$S18),$R18,0)</f>
        <v>#VALUE!</v>
      </c>
      <c r="BP18" s="2">
        <f t="shared" si="29"/>
        <v>0</v>
      </c>
      <c r="BQ18" s="2" t="e">
        <f>IF(EXACT($A$38,$S18),$R18,0)</f>
        <v>#VALUE!</v>
      </c>
      <c r="BR18" s="2">
        <f t="shared" si="30"/>
        <v>0</v>
      </c>
    </row>
    <row r="19" spans="1:70">
      <c r="A19" s="369">
        <f>'Rationals-MCDOT'!B125</f>
        <v>0</v>
      </c>
      <c r="B19" s="370"/>
      <c r="C19" s="371">
        <v>15</v>
      </c>
      <c r="D19" s="372">
        <f>'Rationals-MCDOT'!D140/43560</f>
        <v>0</v>
      </c>
      <c r="E19" s="377">
        <f>'Rationals-MCDOT'!D142</f>
        <v>0</v>
      </c>
      <c r="F19" s="374" t="str">
        <f t="shared" si="0"/>
        <v xml:space="preserve"> </v>
      </c>
      <c r="G19" s="374">
        <v>0</v>
      </c>
      <c r="H19" s="374" t="str">
        <f t="shared" si="1"/>
        <v xml:space="preserve"> </v>
      </c>
      <c r="I19" s="371">
        <f>'Rationals-MCDOT'!B148</f>
        <v>0</v>
      </c>
      <c r="J19" s="370">
        <f>'Rationals-MCDOT'!E147</f>
        <v>0</v>
      </c>
      <c r="K19" s="375" t="str">
        <f t="shared" si="31"/>
        <v xml:space="preserve"> </v>
      </c>
      <c r="L19" s="370">
        <v>2.7E-2</v>
      </c>
      <c r="M19" s="370">
        <v>2.3E-2</v>
      </c>
      <c r="N19" s="370" t="s">
        <v>535</v>
      </c>
      <c r="O19" s="372"/>
      <c r="P19" s="375">
        <v>9.1</v>
      </c>
      <c r="Q19" s="375">
        <v>78.989999999999995</v>
      </c>
      <c r="R19" s="374" t="str">
        <f t="shared" si="44"/>
        <v xml:space="preserve"> </v>
      </c>
      <c r="S19" s="370" t="s">
        <v>369</v>
      </c>
      <c r="T19" s="22"/>
      <c r="U19" s="2">
        <f t="shared" si="32"/>
        <v>0.11304539796398511</v>
      </c>
      <c r="V19" s="2">
        <f t="shared" si="33"/>
        <v>8.9631578947368423E-2</v>
      </c>
      <c r="W19" s="2" t="e">
        <f t="shared" si="34"/>
        <v>#DIV/0!</v>
      </c>
      <c r="X19" s="2" t="e">
        <f t="shared" si="35"/>
        <v>#DIV/0!</v>
      </c>
      <c r="Y19" s="2" t="e">
        <f t="shared" si="36"/>
        <v>#DIV/0!</v>
      </c>
      <c r="Z19" s="2" t="e">
        <f t="shared" si="37"/>
        <v>#DIV/0!</v>
      </c>
      <c r="AA19" s="2" t="e">
        <f t="shared" si="38"/>
        <v>#DIV/0!</v>
      </c>
      <c r="AB19" s="2" t="e">
        <f t="shared" si="39"/>
        <v>#DIV/0!</v>
      </c>
    </row>
    <row r="20" spans="1:70">
      <c r="A20" s="369">
        <f>'Rationals-MCDOT'!T35</f>
        <v>0</v>
      </c>
      <c r="B20" s="370"/>
      <c r="C20" s="371">
        <v>20</v>
      </c>
      <c r="D20" s="372">
        <f>'Rationals-MCDOT'!V50/43560</f>
        <v>0</v>
      </c>
      <c r="E20" s="377">
        <f>'Rationals-MCDOT'!V52</f>
        <v>0</v>
      </c>
      <c r="F20" s="374" t="str">
        <f t="shared" si="0"/>
        <v xml:space="preserve"> </v>
      </c>
      <c r="G20" s="374" t="str">
        <f>R19</f>
        <v xml:space="preserve"> </v>
      </c>
      <c r="H20" s="374" t="str">
        <f>IF(AND(D20=0,E20=0)," ",+F20+G20)</f>
        <v xml:space="preserve"> </v>
      </c>
      <c r="I20" s="371" t="str">
        <f>'Rationals-MCDOT'!T58</f>
        <v>MIN</v>
      </c>
      <c r="J20" s="370">
        <f>'Rationals-MCDOT'!W57</f>
        <v>0.26897853801652893</v>
      </c>
      <c r="K20" s="375" t="str">
        <f t="shared" si="31"/>
        <v xml:space="preserve"> </v>
      </c>
      <c r="L20" s="370">
        <v>0.02</v>
      </c>
      <c r="M20" s="370">
        <v>3.5000000000000003E-2</v>
      </c>
      <c r="N20" s="370" t="s">
        <v>535</v>
      </c>
      <c r="O20" s="372"/>
      <c r="P20" s="375">
        <v>6.4</v>
      </c>
      <c r="Q20" s="375">
        <v>100</v>
      </c>
      <c r="R20" s="374" t="str">
        <f t="shared" si="44"/>
        <v xml:space="preserve"> </v>
      </c>
      <c r="S20" s="370" t="s">
        <v>359</v>
      </c>
      <c r="T20" s="22" t="s">
        <v>7</v>
      </c>
      <c r="U20" s="2">
        <f t="shared" si="32"/>
        <v>0.13578201035140694</v>
      </c>
      <c r="V20" s="2">
        <f t="shared" si="33"/>
        <v>8.2631578947368417E-2</v>
      </c>
      <c r="W20" s="2" t="e">
        <f t="shared" si="34"/>
        <v>#DIV/0!</v>
      </c>
      <c r="X20" s="2" t="e">
        <f t="shared" si="35"/>
        <v>#DIV/0!</v>
      </c>
      <c r="Y20" s="2" t="e">
        <f t="shared" si="36"/>
        <v>#DIV/0!</v>
      </c>
      <c r="Z20" s="2" t="e">
        <f t="shared" si="37"/>
        <v>#DIV/0!</v>
      </c>
      <c r="AA20" s="2" t="e">
        <f t="shared" si="38"/>
        <v>#DIV/0!</v>
      </c>
      <c r="AB20" s="2" t="e">
        <f t="shared" si="39"/>
        <v>#DIV/0!</v>
      </c>
      <c r="AE20" s="2">
        <f t="shared" si="10"/>
        <v>0</v>
      </c>
      <c r="AF20" s="2">
        <f t="shared" si="11"/>
        <v>0</v>
      </c>
      <c r="AG20" s="2" t="e">
        <f t="shared" si="42"/>
        <v>#VALUE!</v>
      </c>
      <c r="AH20" s="2">
        <f t="shared" si="12"/>
        <v>0</v>
      </c>
      <c r="AI20" s="2">
        <f t="shared" si="43"/>
        <v>0</v>
      </c>
      <c r="AJ20" s="2">
        <f t="shared" si="13"/>
        <v>0</v>
      </c>
      <c r="AK20" s="2" t="e">
        <f>IF(EXACT(#REF!,$S20),$R20,0)</f>
        <v>#REF!</v>
      </c>
      <c r="AL20" s="2">
        <f t="shared" si="14"/>
        <v>0</v>
      </c>
      <c r="AM20" s="2">
        <f t="shared" ref="AM20:AM38" si="45">IF(EXACT($A$17,$S20),$R20,0)</f>
        <v>0</v>
      </c>
      <c r="AN20" s="2">
        <f t="shared" si="15"/>
        <v>0</v>
      </c>
      <c r="AO20" s="2">
        <f t="shared" ref="AO20:AO38" si="46">IF(EXACT($A$18,$S20),$R20,0)</f>
        <v>0</v>
      </c>
      <c r="AP20" s="2">
        <f t="shared" si="16"/>
        <v>0</v>
      </c>
      <c r="AQ20" s="2" t="e">
        <f t="shared" ref="AQ20:AQ38" si="47">IF(EXACT($A$20,$S20),$R20,0)</f>
        <v>#VALUE!</v>
      </c>
      <c r="AR20" s="2">
        <f t="shared" si="17"/>
        <v>0</v>
      </c>
      <c r="AS20" s="2">
        <f t="shared" ref="AS20:AS38" si="48">IF(EXACT($A$21,$S20),$R20,0)</f>
        <v>0</v>
      </c>
      <c r="AT20" s="2">
        <f t="shared" si="18"/>
        <v>0</v>
      </c>
      <c r="AU20" s="2" t="str">
        <f t="shared" ref="AU20:AU38" si="49">IF(EXACT($A$22,$S20),$R20,0)</f>
        <v xml:space="preserve"> </v>
      </c>
      <c r="AV20" s="2" t="str">
        <f t="shared" si="19"/>
        <v xml:space="preserve"> </v>
      </c>
      <c r="AW20" s="2" t="e">
        <f t="shared" ref="AW20:AW38" si="50">IF(EXACT($A$23,$S20),$R20,0)</f>
        <v>#VALUE!</v>
      </c>
      <c r="AX20" s="2">
        <f t="shared" si="20"/>
        <v>0</v>
      </c>
      <c r="AY20" s="2" t="e">
        <f t="shared" ref="AY20:AY38" si="51">IF(EXACT($A$24,$S20),$R20,0)</f>
        <v>#VALUE!</v>
      </c>
      <c r="AZ20" s="2">
        <f t="shared" si="21"/>
        <v>0</v>
      </c>
      <c r="BA20" s="2" t="e">
        <f t="shared" ref="BA20:BA38" si="52">IF(EXACT($A$25,$S20),$R20,0)</f>
        <v>#VALUE!</v>
      </c>
      <c r="BB20" s="2">
        <f t="shared" si="22"/>
        <v>0</v>
      </c>
      <c r="BC20" s="2" t="e">
        <f t="shared" ref="BC20:BC38" si="53">IF(EXACT($A$26,$S20),$R20,0)</f>
        <v>#VALUE!</v>
      </c>
      <c r="BD20" s="2">
        <f t="shared" si="23"/>
        <v>0</v>
      </c>
      <c r="BE20" s="2">
        <f t="shared" ref="BE20:BE38" si="54">IF(EXACT($A$27,$S20),$R20,0)</f>
        <v>0</v>
      </c>
      <c r="BF20" s="2">
        <f t="shared" si="24"/>
        <v>0</v>
      </c>
      <c r="BG20" s="2" t="e">
        <f t="shared" ref="BG20:BG38" si="55">IF(EXACT($A$33,$S20),$R20,0)</f>
        <v>#VALUE!</v>
      </c>
      <c r="BH20" s="2">
        <f t="shared" si="25"/>
        <v>0</v>
      </c>
      <c r="BI20" s="2" t="e">
        <f t="shared" ref="BI20:BI38" si="56">IF(EXACT($A$34,$S20),$R20,0)</f>
        <v>#VALUE!</v>
      </c>
      <c r="BJ20" s="2">
        <f t="shared" si="26"/>
        <v>0</v>
      </c>
      <c r="BK20" s="2" t="e">
        <f t="shared" ref="BK20:BK38" si="57">IF(EXACT($A$35,$S20),$R20,0)</f>
        <v>#VALUE!</v>
      </c>
      <c r="BL20" s="2">
        <f t="shared" si="27"/>
        <v>0</v>
      </c>
      <c r="BM20" s="2" t="e">
        <f t="shared" ref="BM20:BM38" si="58">IF(EXACT($A$36,$S20),$R20,0)</f>
        <v>#VALUE!</v>
      </c>
      <c r="BN20" s="2">
        <f t="shared" si="28"/>
        <v>0</v>
      </c>
      <c r="BO20" s="2" t="e">
        <f t="shared" ref="BO20:BO38" si="59">IF(EXACT($A$37,$S20),$R20,0)</f>
        <v>#VALUE!</v>
      </c>
      <c r="BP20" s="2">
        <f t="shared" si="29"/>
        <v>0</v>
      </c>
      <c r="BQ20" s="2" t="e">
        <f t="shared" ref="BQ20:BQ38" si="60">IF(EXACT($A$38,$S20),$R20,0)</f>
        <v>#VALUE!</v>
      </c>
      <c r="BR20" s="2">
        <f t="shared" si="30"/>
        <v>0</v>
      </c>
    </row>
    <row r="21" spans="1:70">
      <c r="A21" s="369" t="str">
        <f>'Rationals-MCDOT'!T5</f>
        <v>I-1</v>
      </c>
      <c r="B21" s="370"/>
      <c r="C21" s="371">
        <v>15</v>
      </c>
      <c r="D21" s="372">
        <f>'Rationals-MCDOT'!V20/43560</f>
        <v>0.1859176675849403</v>
      </c>
      <c r="E21" s="377">
        <f>'Rationals-MCDOT'!V22</f>
        <v>0.76855344798002456</v>
      </c>
      <c r="F21" s="374">
        <f t="shared" si="0"/>
        <v>0.14288766446280993</v>
      </c>
      <c r="G21" s="374">
        <f>R13+R14</f>
        <v>0</v>
      </c>
      <c r="H21" s="374">
        <f t="shared" si="1"/>
        <v>0.14288766446280993</v>
      </c>
      <c r="I21" s="371">
        <f>'Rationals-MCDOT'!T28</f>
        <v>7</v>
      </c>
      <c r="J21" s="370">
        <f>'Rationals-MCDOT'!W27</f>
        <v>4.01</v>
      </c>
      <c r="K21" s="375">
        <f t="shared" si="31"/>
        <v>0.5729795344958678</v>
      </c>
      <c r="L21" s="372">
        <v>0.02</v>
      </c>
      <c r="M21" s="370">
        <v>2.3E-2</v>
      </c>
      <c r="N21" s="370" t="s">
        <v>535</v>
      </c>
      <c r="O21" s="372"/>
      <c r="P21" s="375">
        <v>11.9</v>
      </c>
      <c r="Q21" s="375">
        <v>68.88</v>
      </c>
      <c r="R21" s="374">
        <f t="shared" si="44"/>
        <v>4.4466641180826452E-2</v>
      </c>
      <c r="S21" s="370" t="s">
        <v>359</v>
      </c>
      <c r="T21" s="22" t="s">
        <v>7</v>
      </c>
      <c r="U21" s="2">
        <f t="shared" si="32"/>
        <v>8.781616581445191E-2</v>
      </c>
      <c r="V21" s="2">
        <f t="shared" si="33"/>
        <v>8.2631578947368417E-2</v>
      </c>
      <c r="W21" s="2">
        <f t="shared" si="34"/>
        <v>0.28960868767636139</v>
      </c>
      <c r="X21" s="2">
        <f t="shared" si="35"/>
        <v>3.8138649386045789E-2</v>
      </c>
      <c r="Y21" s="2">
        <f t="shared" si="36"/>
        <v>13.247848105700283</v>
      </c>
      <c r="Z21" s="2">
        <f t="shared" si="37"/>
        <v>14.229170187604007</v>
      </c>
      <c r="AA21" s="2">
        <f t="shared" si="38"/>
        <v>13.247848105700283</v>
      </c>
      <c r="AB21" s="2">
        <f t="shared" si="39"/>
        <v>1</v>
      </c>
      <c r="AE21" s="2">
        <f t="shared" si="10"/>
        <v>0</v>
      </c>
      <c r="AF21" s="2">
        <f t="shared" si="11"/>
        <v>0</v>
      </c>
      <c r="AG21" s="2" t="e">
        <f t="shared" si="42"/>
        <v>#VALUE!</v>
      </c>
      <c r="AH21" s="2">
        <f t="shared" si="12"/>
        <v>0</v>
      </c>
      <c r="AI21" s="2">
        <f t="shared" si="43"/>
        <v>0</v>
      </c>
      <c r="AJ21" s="2">
        <f t="shared" si="13"/>
        <v>0</v>
      </c>
      <c r="AK21" s="2" t="e">
        <f>IF(EXACT(#REF!,$S21),$R21,0)</f>
        <v>#REF!</v>
      </c>
      <c r="AL21" s="2">
        <f t="shared" si="14"/>
        <v>0</v>
      </c>
      <c r="AM21" s="2">
        <f t="shared" si="45"/>
        <v>0</v>
      </c>
      <c r="AN21" s="2">
        <f t="shared" si="15"/>
        <v>0</v>
      </c>
      <c r="AO21" s="2">
        <f t="shared" si="46"/>
        <v>0</v>
      </c>
      <c r="AP21" s="2">
        <f t="shared" si="16"/>
        <v>0</v>
      </c>
      <c r="AQ21" s="2" t="e">
        <f t="shared" si="47"/>
        <v>#VALUE!</v>
      </c>
      <c r="AR21" s="2">
        <f t="shared" si="17"/>
        <v>0</v>
      </c>
      <c r="AS21" s="2">
        <f t="shared" si="48"/>
        <v>0</v>
      </c>
      <c r="AT21" s="2">
        <f t="shared" si="18"/>
        <v>0</v>
      </c>
      <c r="AU21" s="2">
        <f t="shared" si="49"/>
        <v>4.4466641180826452E-2</v>
      </c>
      <c r="AV21" s="2">
        <f t="shared" si="19"/>
        <v>4.4466641180826452E-2</v>
      </c>
      <c r="AW21" s="2" t="e">
        <f t="shared" si="50"/>
        <v>#VALUE!</v>
      </c>
      <c r="AX21" s="2">
        <f t="shared" si="20"/>
        <v>0</v>
      </c>
      <c r="AY21" s="2" t="e">
        <f t="shared" si="51"/>
        <v>#VALUE!</v>
      </c>
      <c r="AZ21" s="2">
        <f t="shared" si="21"/>
        <v>0</v>
      </c>
      <c r="BA21" s="2" t="e">
        <f t="shared" si="52"/>
        <v>#VALUE!</v>
      </c>
      <c r="BB21" s="2">
        <f t="shared" si="22"/>
        <v>0</v>
      </c>
      <c r="BC21" s="2" t="e">
        <f t="shared" si="53"/>
        <v>#VALUE!</v>
      </c>
      <c r="BD21" s="2">
        <f t="shared" si="23"/>
        <v>0</v>
      </c>
      <c r="BE21" s="2">
        <f t="shared" si="54"/>
        <v>0</v>
      </c>
      <c r="BF21" s="2">
        <f t="shared" si="24"/>
        <v>0</v>
      </c>
      <c r="BG21" s="2" t="e">
        <f t="shared" si="55"/>
        <v>#VALUE!</v>
      </c>
      <c r="BH21" s="2">
        <f t="shared" si="25"/>
        <v>0</v>
      </c>
      <c r="BI21" s="2" t="e">
        <f t="shared" si="56"/>
        <v>#VALUE!</v>
      </c>
      <c r="BJ21" s="2">
        <f t="shared" si="26"/>
        <v>0</v>
      </c>
      <c r="BK21" s="2" t="e">
        <f t="shared" si="57"/>
        <v>#VALUE!</v>
      </c>
      <c r="BL21" s="2">
        <f t="shared" si="27"/>
        <v>0</v>
      </c>
      <c r="BM21" s="2" t="e">
        <f t="shared" si="58"/>
        <v>#VALUE!</v>
      </c>
      <c r="BN21" s="2">
        <f t="shared" si="28"/>
        <v>0</v>
      </c>
      <c r="BO21" s="2" t="e">
        <f t="shared" si="59"/>
        <v>#VALUE!</v>
      </c>
      <c r="BP21" s="2">
        <f t="shared" si="29"/>
        <v>0</v>
      </c>
      <c r="BQ21" s="2" t="e">
        <f t="shared" si="60"/>
        <v>#VALUE!</v>
      </c>
      <c r="BR21" s="2">
        <f t="shared" si="30"/>
        <v>0</v>
      </c>
    </row>
    <row r="22" spans="1:70">
      <c r="A22" s="369" t="str">
        <f>'Rationals-MCDOT'!B5</f>
        <v>EX-I-1</v>
      </c>
      <c r="B22" s="370"/>
      <c r="C22" s="371">
        <v>10</v>
      </c>
      <c r="D22" s="372">
        <f>'Rationals-MCDOT'!D20/43560</f>
        <v>5.4965105601469229E-2</v>
      </c>
      <c r="E22" s="377">
        <f>'Rationals-MCDOT'!D22</f>
        <v>0.84907512905758742</v>
      </c>
      <c r="F22" s="374">
        <f t="shared" si="0"/>
        <v>4.6669504132231407E-2</v>
      </c>
      <c r="G22" s="374">
        <f>R20+R21+R26</f>
        <v>4.4466641180826452E-2</v>
      </c>
      <c r="H22" s="374">
        <f t="shared" si="1"/>
        <v>9.1136145313057859E-2</v>
      </c>
      <c r="I22" s="371">
        <f>'Rationals-MCDOT'!B28</f>
        <v>5</v>
      </c>
      <c r="J22" s="370">
        <f>'Rationals-MCDOT'!E27</f>
        <v>4.01</v>
      </c>
      <c r="K22" s="375">
        <f>IF(AND(D22=0,E22=0)," ",+H22*J22)</f>
        <v>0.36545594270536197</v>
      </c>
      <c r="L22" s="370">
        <v>0.01</v>
      </c>
      <c r="M22" s="370" t="s">
        <v>97</v>
      </c>
      <c r="N22" s="370" t="s">
        <v>535</v>
      </c>
      <c r="O22" s="372"/>
      <c r="P22" s="375">
        <v>48.4</v>
      </c>
      <c r="Q22" s="375">
        <v>100</v>
      </c>
      <c r="R22" s="374">
        <f t="shared" si="44"/>
        <v>0</v>
      </c>
      <c r="S22" s="370"/>
      <c r="T22" s="22" t="s">
        <v>7</v>
      </c>
      <c r="U22" s="2">
        <f t="shared" si="32"/>
        <v>2.7924175229561109E-2</v>
      </c>
      <c r="V22" s="2">
        <f t="shared" si="33"/>
        <v>7.2631578947368422E-2</v>
      </c>
      <c r="W22" s="2">
        <f t="shared" si="34"/>
        <v>0</v>
      </c>
      <c r="X22" s="2">
        <f t="shared" si="35"/>
        <v>0.01</v>
      </c>
      <c r="Y22" s="2">
        <f t="shared" si="36"/>
        <v>0</v>
      </c>
      <c r="Z22" s="2">
        <f t="shared" si="37"/>
        <v>0</v>
      </c>
      <c r="AA22" s="2">
        <f t="shared" si="38"/>
        <v>0</v>
      </c>
      <c r="AB22" s="2">
        <f t="shared" si="39"/>
        <v>1</v>
      </c>
      <c r="AE22" s="2" t="e">
        <f t="shared" si="10"/>
        <v>#VALUE!</v>
      </c>
      <c r="AF22" s="2">
        <f t="shared" si="11"/>
        <v>0</v>
      </c>
      <c r="AG22" s="2" t="e">
        <f t="shared" si="42"/>
        <v>#VALUE!</v>
      </c>
      <c r="AH22" s="2">
        <f t="shared" si="12"/>
        <v>0</v>
      </c>
      <c r="AI22" s="2" t="e">
        <f t="shared" si="43"/>
        <v>#VALUE!</v>
      </c>
      <c r="AJ22" s="2">
        <f t="shared" si="13"/>
        <v>0</v>
      </c>
      <c r="AK22" s="2" t="e">
        <f>IF(EXACT(#REF!,$S22),$R22,0)</f>
        <v>#REF!</v>
      </c>
      <c r="AL22" s="2">
        <f t="shared" si="14"/>
        <v>0</v>
      </c>
      <c r="AM22" s="2" t="e">
        <f t="shared" si="45"/>
        <v>#VALUE!</v>
      </c>
      <c r="AN22" s="2">
        <f t="shared" si="15"/>
        <v>0</v>
      </c>
      <c r="AO22" s="2" t="e">
        <f t="shared" si="46"/>
        <v>#VALUE!</v>
      </c>
      <c r="AP22" s="2">
        <f t="shared" si="16"/>
        <v>0</v>
      </c>
      <c r="AQ22" s="2" t="e">
        <f t="shared" si="47"/>
        <v>#VALUE!</v>
      </c>
      <c r="AR22" s="2">
        <f t="shared" si="17"/>
        <v>0</v>
      </c>
      <c r="AS22" s="2" t="e">
        <f t="shared" si="48"/>
        <v>#VALUE!</v>
      </c>
      <c r="AT22" s="2">
        <f t="shared" si="18"/>
        <v>0</v>
      </c>
      <c r="AU22" s="2" t="e">
        <f t="shared" si="49"/>
        <v>#VALUE!</v>
      </c>
      <c r="AV22" s="2">
        <f t="shared" si="19"/>
        <v>0</v>
      </c>
      <c r="AW22" s="2" t="e">
        <f t="shared" si="50"/>
        <v>#VALUE!</v>
      </c>
      <c r="AX22" s="2">
        <f t="shared" si="20"/>
        <v>0</v>
      </c>
      <c r="AY22" s="2" t="e">
        <f t="shared" si="51"/>
        <v>#VALUE!</v>
      </c>
      <c r="AZ22" s="2">
        <f t="shared" si="21"/>
        <v>0</v>
      </c>
      <c r="BA22" s="2" t="e">
        <f t="shared" si="52"/>
        <v>#VALUE!</v>
      </c>
      <c r="BB22" s="2">
        <f t="shared" si="22"/>
        <v>0</v>
      </c>
      <c r="BC22" s="2" t="e">
        <f t="shared" si="53"/>
        <v>#VALUE!</v>
      </c>
      <c r="BD22" s="2">
        <f t="shared" si="23"/>
        <v>0</v>
      </c>
      <c r="BE22" s="2" t="e">
        <f t="shared" si="54"/>
        <v>#VALUE!</v>
      </c>
      <c r="BF22" s="2">
        <f t="shared" si="24"/>
        <v>0</v>
      </c>
      <c r="BG22" s="2" t="e">
        <f t="shared" si="55"/>
        <v>#VALUE!</v>
      </c>
      <c r="BH22" s="2">
        <f t="shared" si="25"/>
        <v>0</v>
      </c>
      <c r="BI22" s="2" t="e">
        <f t="shared" si="56"/>
        <v>#VALUE!</v>
      </c>
      <c r="BJ22" s="2">
        <f t="shared" si="26"/>
        <v>0</v>
      </c>
      <c r="BK22" s="2" t="e">
        <f t="shared" si="57"/>
        <v>#VALUE!</v>
      </c>
      <c r="BL22" s="2">
        <f t="shared" si="27"/>
        <v>0</v>
      </c>
      <c r="BM22" s="2" t="e">
        <f t="shared" si="58"/>
        <v>#VALUE!</v>
      </c>
      <c r="BN22" s="2">
        <f t="shared" si="28"/>
        <v>0</v>
      </c>
      <c r="BO22" s="2" t="e">
        <f t="shared" si="59"/>
        <v>#VALUE!</v>
      </c>
      <c r="BP22" s="2">
        <f t="shared" si="29"/>
        <v>0</v>
      </c>
      <c r="BQ22" s="2" t="e">
        <f t="shared" si="60"/>
        <v>#VALUE!</v>
      </c>
      <c r="BR22" s="2">
        <f t="shared" si="30"/>
        <v>0</v>
      </c>
    </row>
    <row r="23" spans="1:70">
      <c r="A23" s="369">
        <f>'Rationals-MCDOT'!K213</f>
        <v>0</v>
      </c>
      <c r="B23" s="370"/>
      <c r="C23" s="371">
        <v>5</v>
      </c>
      <c r="D23" s="372">
        <f>'Rationals-MCDOT'!M228/43560</f>
        <v>0</v>
      </c>
      <c r="E23" s="377">
        <f>'Rationals-MCDOT'!M230</f>
        <v>0</v>
      </c>
      <c r="F23" s="374" t="str">
        <f t="shared" si="0"/>
        <v xml:space="preserve"> </v>
      </c>
      <c r="G23" s="374"/>
      <c r="H23" s="374" t="str">
        <f t="shared" si="1"/>
        <v xml:space="preserve"> </v>
      </c>
      <c r="I23" s="371">
        <f>'Rationals-MCDOT'!K236</f>
        <v>0</v>
      </c>
      <c r="J23" s="370">
        <f>'Rationals-MCDOT'!N235</f>
        <v>0</v>
      </c>
      <c r="K23" s="375" t="str">
        <f t="shared" si="31"/>
        <v xml:space="preserve"> </v>
      </c>
      <c r="L23" s="370">
        <v>0.02</v>
      </c>
      <c r="M23" s="370">
        <v>0.04</v>
      </c>
      <c r="N23" s="370" t="s">
        <v>535</v>
      </c>
      <c r="O23" s="372"/>
      <c r="P23" s="375">
        <v>4.2</v>
      </c>
      <c r="Q23" s="375">
        <v>65.8</v>
      </c>
      <c r="R23" s="374" t="str">
        <f t="shared" si="44"/>
        <v xml:space="preserve"> </v>
      </c>
      <c r="S23" s="369" t="s">
        <v>537</v>
      </c>
      <c r="T23" s="22" t="s">
        <v>7</v>
      </c>
      <c r="U23" s="2">
        <f t="shared" si="32"/>
        <v>0.17954989661663692</v>
      </c>
      <c r="V23" s="2">
        <f t="shared" si="33"/>
        <v>8.2631578947368417E-2</v>
      </c>
      <c r="W23" s="2" t="e">
        <f t="shared" si="34"/>
        <v>#DIV/0!</v>
      </c>
      <c r="X23" s="2" t="e">
        <f t="shared" si="35"/>
        <v>#DIV/0!</v>
      </c>
      <c r="Y23" s="2" t="e">
        <f t="shared" si="36"/>
        <v>#DIV/0!</v>
      </c>
      <c r="Z23" s="2" t="e">
        <f t="shared" si="37"/>
        <v>#DIV/0!</v>
      </c>
      <c r="AA23" s="2" t="e">
        <f t="shared" si="38"/>
        <v>#DIV/0!</v>
      </c>
      <c r="AB23" s="2" t="e">
        <f t="shared" si="39"/>
        <v>#DIV/0!</v>
      </c>
      <c r="AE23" s="2">
        <f t="shared" si="10"/>
        <v>0</v>
      </c>
      <c r="AF23" s="2">
        <f t="shared" si="11"/>
        <v>0</v>
      </c>
      <c r="AG23" s="2" t="e">
        <f t="shared" si="42"/>
        <v>#VALUE!</v>
      </c>
      <c r="AH23" s="2">
        <f t="shared" si="12"/>
        <v>0</v>
      </c>
      <c r="AI23" s="2">
        <f t="shared" si="43"/>
        <v>0</v>
      </c>
      <c r="AJ23" s="2">
        <f t="shared" si="13"/>
        <v>0</v>
      </c>
      <c r="AK23" s="2" t="e">
        <f>IF(EXACT(#REF!,$S23),$R23,0)</f>
        <v>#REF!</v>
      </c>
      <c r="AL23" s="2">
        <f t="shared" si="14"/>
        <v>0</v>
      </c>
      <c r="AM23" s="2">
        <f t="shared" si="45"/>
        <v>0</v>
      </c>
      <c r="AN23" s="2">
        <f t="shared" si="15"/>
        <v>0</v>
      </c>
      <c r="AO23" s="2">
        <f t="shared" si="46"/>
        <v>0</v>
      </c>
      <c r="AP23" s="2">
        <f t="shared" si="16"/>
        <v>0</v>
      </c>
      <c r="AQ23" s="2" t="e">
        <f t="shared" si="47"/>
        <v>#VALUE!</v>
      </c>
      <c r="AR23" s="2">
        <f t="shared" si="17"/>
        <v>0</v>
      </c>
      <c r="AS23" s="2">
        <f t="shared" si="48"/>
        <v>0</v>
      </c>
      <c r="AT23" s="2">
        <f t="shared" si="18"/>
        <v>0</v>
      </c>
      <c r="AU23" s="2">
        <f t="shared" si="49"/>
        <v>0</v>
      </c>
      <c r="AV23" s="2">
        <f t="shared" si="19"/>
        <v>0</v>
      </c>
      <c r="AW23" s="2" t="e">
        <f t="shared" si="50"/>
        <v>#VALUE!</v>
      </c>
      <c r="AX23" s="2">
        <f t="shared" si="20"/>
        <v>0</v>
      </c>
      <c r="AY23" s="2" t="e">
        <f t="shared" si="51"/>
        <v>#VALUE!</v>
      </c>
      <c r="AZ23" s="2">
        <f t="shared" si="21"/>
        <v>0</v>
      </c>
      <c r="BA23" s="2" t="e">
        <f t="shared" si="52"/>
        <v>#VALUE!</v>
      </c>
      <c r="BB23" s="2">
        <f t="shared" si="22"/>
        <v>0</v>
      </c>
      <c r="BC23" s="2" t="e">
        <f t="shared" si="53"/>
        <v>#VALUE!</v>
      </c>
      <c r="BD23" s="2">
        <f t="shared" si="23"/>
        <v>0</v>
      </c>
      <c r="BE23" s="2">
        <f t="shared" si="54"/>
        <v>0</v>
      </c>
      <c r="BF23" s="2">
        <f t="shared" si="24"/>
        <v>0</v>
      </c>
      <c r="BG23" s="2" t="e">
        <f t="shared" si="55"/>
        <v>#VALUE!</v>
      </c>
      <c r="BH23" s="2">
        <f t="shared" si="25"/>
        <v>0</v>
      </c>
      <c r="BI23" s="2" t="e">
        <f t="shared" si="56"/>
        <v>#VALUE!</v>
      </c>
      <c r="BJ23" s="2">
        <f t="shared" si="26"/>
        <v>0</v>
      </c>
      <c r="BK23" s="2" t="e">
        <f t="shared" si="57"/>
        <v>#VALUE!</v>
      </c>
      <c r="BL23" s="2">
        <f t="shared" si="27"/>
        <v>0</v>
      </c>
      <c r="BM23" s="2" t="e">
        <f t="shared" si="58"/>
        <v>#VALUE!</v>
      </c>
      <c r="BN23" s="2">
        <f t="shared" si="28"/>
        <v>0</v>
      </c>
      <c r="BO23" s="2" t="e">
        <f t="shared" si="59"/>
        <v>#VALUE!</v>
      </c>
      <c r="BP23" s="2">
        <f t="shared" si="29"/>
        <v>0</v>
      </c>
      <c r="BQ23" s="2" t="e">
        <f t="shared" si="60"/>
        <v>#VALUE!</v>
      </c>
      <c r="BR23" s="2">
        <f t="shared" si="30"/>
        <v>0</v>
      </c>
    </row>
    <row r="24" spans="1:70">
      <c r="A24" s="369">
        <f>'Rationals-MCDOT'!B213</f>
        <v>0</v>
      </c>
      <c r="B24" s="370"/>
      <c r="C24" s="371">
        <v>5</v>
      </c>
      <c r="D24" s="372">
        <f>'Rationals-MCDOT'!D228/43560</f>
        <v>0</v>
      </c>
      <c r="E24" s="377">
        <f>'Rationals-MCDOT'!D230</f>
        <v>0</v>
      </c>
      <c r="F24" s="374" t="str">
        <f t="shared" si="0"/>
        <v xml:space="preserve"> </v>
      </c>
      <c r="G24" s="374"/>
      <c r="H24" s="374" t="str">
        <f t="shared" si="1"/>
        <v xml:space="preserve"> </v>
      </c>
      <c r="I24" s="371">
        <f>'Rationals-MCDOT'!B236</f>
        <v>0</v>
      </c>
      <c r="J24" s="370">
        <f>'Rationals-MCDOT'!E235</f>
        <v>0</v>
      </c>
      <c r="K24" s="375" t="str">
        <f t="shared" si="31"/>
        <v xml:space="preserve"> </v>
      </c>
      <c r="L24" s="370">
        <v>0.02</v>
      </c>
      <c r="M24" s="370">
        <v>0.04</v>
      </c>
      <c r="N24" s="370" t="s">
        <v>535</v>
      </c>
      <c r="O24" s="372"/>
      <c r="P24" s="375">
        <v>5.6</v>
      </c>
      <c r="Q24" s="375">
        <v>51.79</v>
      </c>
      <c r="R24" s="374" t="str">
        <f t="shared" si="44"/>
        <v xml:space="preserve"> </v>
      </c>
      <c r="S24" s="369" t="s">
        <v>537</v>
      </c>
      <c r="T24" s="22" t="s">
        <v>7</v>
      </c>
      <c r="U24" s="2">
        <f t="shared" si="32"/>
        <v>0.14879503712314351</v>
      </c>
      <c r="V24" s="2">
        <f t="shared" si="33"/>
        <v>8.2631578947368417E-2</v>
      </c>
      <c r="W24" s="2" t="e">
        <f t="shared" si="34"/>
        <v>#DIV/0!</v>
      </c>
      <c r="X24" s="2" t="e">
        <f t="shared" si="35"/>
        <v>#DIV/0!</v>
      </c>
      <c r="Y24" s="2" t="e">
        <f t="shared" si="36"/>
        <v>#DIV/0!</v>
      </c>
      <c r="Z24" s="2" t="e">
        <f t="shared" si="37"/>
        <v>#DIV/0!</v>
      </c>
      <c r="AA24" s="2" t="e">
        <f t="shared" si="38"/>
        <v>#DIV/0!</v>
      </c>
      <c r="AB24" s="2" t="e">
        <f t="shared" si="39"/>
        <v>#DIV/0!</v>
      </c>
      <c r="AE24" s="2">
        <f t="shared" si="10"/>
        <v>0</v>
      </c>
      <c r="AF24" s="2">
        <f t="shared" si="11"/>
        <v>0</v>
      </c>
      <c r="AG24" s="2" t="e">
        <f t="shared" si="42"/>
        <v>#VALUE!</v>
      </c>
      <c r="AH24" s="2">
        <f t="shared" si="12"/>
        <v>0</v>
      </c>
      <c r="AI24" s="2">
        <f t="shared" si="43"/>
        <v>0</v>
      </c>
      <c r="AJ24" s="2">
        <f t="shared" si="13"/>
        <v>0</v>
      </c>
      <c r="AK24" s="2" t="e">
        <f>IF(EXACT(#REF!,$S24),$R24,0)</f>
        <v>#REF!</v>
      </c>
      <c r="AL24" s="2">
        <f t="shared" si="14"/>
        <v>0</v>
      </c>
      <c r="AM24" s="2">
        <f t="shared" si="45"/>
        <v>0</v>
      </c>
      <c r="AN24" s="2">
        <f t="shared" si="15"/>
        <v>0</v>
      </c>
      <c r="AO24" s="2">
        <f t="shared" si="46"/>
        <v>0</v>
      </c>
      <c r="AP24" s="2">
        <f t="shared" si="16"/>
        <v>0</v>
      </c>
      <c r="AQ24" s="2" t="e">
        <f t="shared" si="47"/>
        <v>#VALUE!</v>
      </c>
      <c r="AR24" s="2">
        <f t="shared" si="17"/>
        <v>0</v>
      </c>
      <c r="AS24" s="2">
        <f t="shared" si="48"/>
        <v>0</v>
      </c>
      <c r="AT24" s="2">
        <f t="shared" si="18"/>
        <v>0</v>
      </c>
      <c r="AU24" s="2">
        <f t="shared" si="49"/>
        <v>0</v>
      </c>
      <c r="AV24" s="2">
        <f t="shared" si="19"/>
        <v>0</v>
      </c>
      <c r="AW24" s="2" t="e">
        <f t="shared" si="50"/>
        <v>#VALUE!</v>
      </c>
      <c r="AX24" s="2">
        <f t="shared" si="20"/>
        <v>0</v>
      </c>
      <c r="AY24" s="2" t="e">
        <f t="shared" si="51"/>
        <v>#VALUE!</v>
      </c>
      <c r="AZ24" s="2">
        <f t="shared" si="21"/>
        <v>0</v>
      </c>
      <c r="BA24" s="2" t="e">
        <f t="shared" si="52"/>
        <v>#VALUE!</v>
      </c>
      <c r="BB24" s="2">
        <f t="shared" si="22"/>
        <v>0</v>
      </c>
      <c r="BC24" s="2" t="e">
        <f t="shared" si="53"/>
        <v>#VALUE!</v>
      </c>
      <c r="BD24" s="2">
        <f t="shared" si="23"/>
        <v>0</v>
      </c>
      <c r="BE24" s="2">
        <f t="shared" si="54"/>
        <v>0</v>
      </c>
      <c r="BF24" s="2">
        <f t="shared" si="24"/>
        <v>0</v>
      </c>
      <c r="BG24" s="2" t="e">
        <f t="shared" si="55"/>
        <v>#VALUE!</v>
      </c>
      <c r="BH24" s="2">
        <f t="shared" si="25"/>
        <v>0</v>
      </c>
      <c r="BI24" s="2" t="e">
        <f t="shared" si="56"/>
        <v>#VALUE!</v>
      </c>
      <c r="BJ24" s="2">
        <f t="shared" si="26"/>
        <v>0</v>
      </c>
      <c r="BK24" s="2" t="e">
        <f t="shared" si="57"/>
        <v>#VALUE!</v>
      </c>
      <c r="BL24" s="2">
        <f t="shared" si="27"/>
        <v>0</v>
      </c>
      <c r="BM24" s="2" t="e">
        <f t="shared" si="58"/>
        <v>#VALUE!</v>
      </c>
      <c r="BN24" s="2">
        <f t="shared" si="28"/>
        <v>0</v>
      </c>
      <c r="BO24" s="2" t="e">
        <f t="shared" si="59"/>
        <v>#VALUE!</v>
      </c>
      <c r="BP24" s="2">
        <f t="shared" si="29"/>
        <v>0</v>
      </c>
      <c r="BQ24" s="2" t="e">
        <f t="shared" si="60"/>
        <v>#VALUE!</v>
      </c>
      <c r="BR24" s="2">
        <f t="shared" si="30"/>
        <v>0</v>
      </c>
    </row>
    <row r="25" spans="1:70">
      <c r="A25" s="369">
        <f>'Rationals-MCDOT'!T125</f>
        <v>0</v>
      </c>
      <c r="B25" s="370"/>
      <c r="C25" s="371">
        <v>5.5</v>
      </c>
      <c r="D25" s="372">
        <f>'Rationals-MCDOT'!V140/43560</f>
        <v>0</v>
      </c>
      <c r="E25" s="377">
        <f>'Rationals-MCDOT'!V142</f>
        <v>0</v>
      </c>
      <c r="F25" s="374" t="str">
        <f t="shared" si="0"/>
        <v xml:space="preserve"> </v>
      </c>
      <c r="G25" s="374"/>
      <c r="H25" s="374" t="str">
        <f t="shared" si="1"/>
        <v xml:space="preserve"> </v>
      </c>
      <c r="I25" s="371">
        <f>'Rationals-MCDOT'!T148</f>
        <v>0</v>
      </c>
      <c r="J25" s="370">
        <f>'Rationals-MCDOT'!W147</f>
        <v>0</v>
      </c>
      <c r="K25" s="375" t="str">
        <f t="shared" si="31"/>
        <v xml:space="preserve"> </v>
      </c>
      <c r="L25" s="370">
        <v>0.02</v>
      </c>
      <c r="M25" s="370">
        <v>2.5999999999999999E-2</v>
      </c>
      <c r="N25" s="370" t="s">
        <v>535</v>
      </c>
      <c r="O25" s="372"/>
      <c r="P25" s="375">
        <v>12.6</v>
      </c>
      <c r="Q25" s="375">
        <v>79.78</v>
      </c>
      <c r="R25" s="374" t="str">
        <f t="shared" si="44"/>
        <v xml:space="preserve"> </v>
      </c>
      <c r="S25" s="369" t="s">
        <v>377</v>
      </c>
      <c r="T25" s="22" t="s">
        <v>7</v>
      </c>
      <c r="U25" s="2">
        <f t="shared" si="32"/>
        <v>8.4395924152928917E-2</v>
      </c>
      <c r="V25" s="2">
        <f t="shared" si="33"/>
        <v>8.2631578947368417E-2</v>
      </c>
      <c r="W25" s="2" t="e">
        <f t="shared" si="34"/>
        <v>#DIV/0!</v>
      </c>
      <c r="X25" s="2" t="e">
        <f t="shared" si="35"/>
        <v>#DIV/0!</v>
      </c>
      <c r="Y25" s="2" t="e">
        <f t="shared" si="36"/>
        <v>#DIV/0!</v>
      </c>
      <c r="Z25" s="2" t="e">
        <f t="shared" si="37"/>
        <v>#DIV/0!</v>
      </c>
      <c r="AA25" s="2" t="e">
        <f t="shared" si="38"/>
        <v>#DIV/0!</v>
      </c>
      <c r="AB25" s="2" t="e">
        <f t="shared" si="39"/>
        <v>#DIV/0!</v>
      </c>
      <c r="AE25" s="2">
        <f t="shared" si="10"/>
        <v>0</v>
      </c>
      <c r="AF25" s="2">
        <f t="shared" si="11"/>
        <v>0</v>
      </c>
      <c r="AG25" s="2" t="e">
        <f t="shared" si="42"/>
        <v>#VALUE!</v>
      </c>
      <c r="AH25" s="2">
        <f t="shared" si="12"/>
        <v>0</v>
      </c>
      <c r="AI25" s="2">
        <f t="shared" si="43"/>
        <v>0</v>
      </c>
      <c r="AJ25" s="2">
        <f t="shared" si="13"/>
        <v>0</v>
      </c>
      <c r="AK25" s="2" t="e">
        <f>IF(EXACT(#REF!,$S25),$R25,0)</f>
        <v>#REF!</v>
      </c>
      <c r="AL25" s="2">
        <f t="shared" si="14"/>
        <v>0</v>
      </c>
      <c r="AM25" s="2">
        <f t="shared" si="45"/>
        <v>0</v>
      </c>
      <c r="AN25" s="2">
        <f t="shared" si="15"/>
        <v>0</v>
      </c>
      <c r="AO25" s="2">
        <f t="shared" si="46"/>
        <v>0</v>
      </c>
      <c r="AP25" s="2">
        <f t="shared" si="16"/>
        <v>0</v>
      </c>
      <c r="AQ25" s="2" t="e">
        <f t="shared" si="47"/>
        <v>#VALUE!</v>
      </c>
      <c r="AR25" s="2">
        <f t="shared" si="17"/>
        <v>0</v>
      </c>
      <c r="AS25" s="2">
        <f t="shared" si="48"/>
        <v>0</v>
      </c>
      <c r="AT25" s="2">
        <f t="shared" si="18"/>
        <v>0</v>
      </c>
      <c r="AU25" s="2">
        <f t="shared" si="49"/>
        <v>0</v>
      </c>
      <c r="AV25" s="2">
        <f t="shared" si="19"/>
        <v>0</v>
      </c>
      <c r="AW25" s="2" t="e">
        <f t="shared" si="50"/>
        <v>#VALUE!</v>
      </c>
      <c r="AX25" s="2">
        <f t="shared" si="20"/>
        <v>0</v>
      </c>
      <c r="AY25" s="2" t="e">
        <f t="shared" si="51"/>
        <v>#VALUE!</v>
      </c>
      <c r="AZ25" s="2">
        <f t="shared" si="21"/>
        <v>0</v>
      </c>
      <c r="BA25" s="2" t="e">
        <f t="shared" si="52"/>
        <v>#VALUE!</v>
      </c>
      <c r="BB25" s="2">
        <f t="shared" si="22"/>
        <v>0</v>
      </c>
      <c r="BC25" s="2" t="e">
        <f t="shared" si="53"/>
        <v>#VALUE!</v>
      </c>
      <c r="BD25" s="2">
        <f t="shared" si="23"/>
        <v>0</v>
      </c>
      <c r="BE25" s="2">
        <f t="shared" si="54"/>
        <v>0</v>
      </c>
      <c r="BF25" s="2">
        <f t="shared" si="24"/>
        <v>0</v>
      </c>
      <c r="BG25" s="2" t="e">
        <f t="shared" si="55"/>
        <v>#VALUE!</v>
      </c>
      <c r="BH25" s="2">
        <f t="shared" si="25"/>
        <v>0</v>
      </c>
      <c r="BI25" s="2" t="e">
        <f t="shared" si="56"/>
        <v>#VALUE!</v>
      </c>
      <c r="BJ25" s="2">
        <f t="shared" si="26"/>
        <v>0</v>
      </c>
      <c r="BK25" s="2" t="e">
        <f t="shared" si="57"/>
        <v>#VALUE!</v>
      </c>
      <c r="BL25" s="2">
        <f t="shared" si="27"/>
        <v>0</v>
      </c>
      <c r="BM25" s="2" t="e">
        <f t="shared" si="58"/>
        <v>#VALUE!</v>
      </c>
      <c r="BN25" s="2">
        <f t="shared" si="28"/>
        <v>0</v>
      </c>
      <c r="BO25" s="2" t="e">
        <f t="shared" si="59"/>
        <v>#VALUE!</v>
      </c>
      <c r="BP25" s="2">
        <f t="shared" si="29"/>
        <v>0</v>
      </c>
      <c r="BQ25" s="2" t="e">
        <f t="shared" si="60"/>
        <v>#VALUE!</v>
      </c>
      <c r="BR25" s="2">
        <f t="shared" si="30"/>
        <v>0</v>
      </c>
    </row>
    <row r="26" spans="1:70" s="37" customFormat="1">
      <c r="A26" s="369">
        <f>'Rationals-MCDOT'!K125</f>
        <v>0</v>
      </c>
      <c r="B26" s="370"/>
      <c r="C26" s="371">
        <v>5.5</v>
      </c>
      <c r="D26" s="372">
        <f>'Rationals-MCDOT'!M140/43560</f>
        <v>0</v>
      </c>
      <c r="E26" s="370">
        <f>'Rationals-MCDOT'!M142</f>
        <v>0</v>
      </c>
      <c r="F26" s="374" t="str">
        <f t="shared" si="0"/>
        <v xml:space="preserve"> </v>
      </c>
      <c r="G26" s="374" t="str">
        <f>R25</f>
        <v xml:space="preserve"> </v>
      </c>
      <c r="H26" s="374" t="str">
        <f t="shared" si="1"/>
        <v xml:space="preserve"> </v>
      </c>
      <c r="I26" s="371">
        <f>'Rationals-MCDOT'!K148</f>
        <v>0</v>
      </c>
      <c r="J26" s="370">
        <f>'Rationals-MCDOT'!N147</f>
        <v>0</v>
      </c>
      <c r="K26" s="375" t="str">
        <f t="shared" si="31"/>
        <v xml:space="preserve"> </v>
      </c>
      <c r="L26" s="370">
        <v>0.02</v>
      </c>
      <c r="M26" s="370">
        <v>2.5999999999999999E-2</v>
      </c>
      <c r="N26" s="370" t="s">
        <v>535</v>
      </c>
      <c r="O26" s="372"/>
      <c r="P26" s="375">
        <v>9.6999999999999993</v>
      </c>
      <c r="Q26" s="375">
        <v>90.05</v>
      </c>
      <c r="R26" s="374" t="str">
        <f>IF(AND(D26=0,E26=0)," ",+H26*(1-(Q26/100)))</f>
        <v xml:space="preserve"> </v>
      </c>
      <c r="S26" s="370" t="s">
        <v>359</v>
      </c>
      <c r="T26" s="334" t="s">
        <v>7</v>
      </c>
      <c r="U26" s="2">
        <f t="shared" si="32"/>
        <v>0.1013693744677235</v>
      </c>
      <c r="V26" s="2">
        <f t="shared" si="33"/>
        <v>8.2631578947368417E-2</v>
      </c>
      <c r="W26" s="2" t="e">
        <f t="shared" si="34"/>
        <v>#DIV/0!</v>
      </c>
      <c r="X26" s="2" t="e">
        <f t="shared" si="35"/>
        <v>#DIV/0!</v>
      </c>
      <c r="Y26" s="2" t="e">
        <f t="shared" si="36"/>
        <v>#DIV/0!</v>
      </c>
      <c r="Z26" s="2" t="e">
        <f t="shared" si="37"/>
        <v>#DIV/0!</v>
      </c>
      <c r="AA26" s="2" t="e">
        <f t="shared" si="38"/>
        <v>#DIV/0!</v>
      </c>
      <c r="AB26" s="2" t="e">
        <f t="shared" si="39"/>
        <v>#DIV/0!</v>
      </c>
      <c r="AE26" s="37">
        <f t="shared" si="10"/>
        <v>0</v>
      </c>
      <c r="AF26" s="37">
        <f t="shared" si="11"/>
        <v>0</v>
      </c>
      <c r="AG26" s="37" t="e">
        <f t="shared" si="42"/>
        <v>#VALUE!</v>
      </c>
      <c r="AH26" s="37">
        <f t="shared" si="12"/>
        <v>0</v>
      </c>
      <c r="AI26" s="37">
        <f t="shared" si="43"/>
        <v>0</v>
      </c>
      <c r="AJ26" s="37">
        <f t="shared" si="13"/>
        <v>0</v>
      </c>
      <c r="AK26" s="37" t="e">
        <f>IF(EXACT(#REF!,$S26),$R26,0)</f>
        <v>#REF!</v>
      </c>
      <c r="AL26" s="37">
        <f t="shared" si="14"/>
        <v>0</v>
      </c>
      <c r="AM26" s="37">
        <f t="shared" si="45"/>
        <v>0</v>
      </c>
      <c r="AN26" s="37">
        <f t="shared" si="15"/>
        <v>0</v>
      </c>
      <c r="AO26" s="37">
        <f t="shared" si="46"/>
        <v>0</v>
      </c>
      <c r="AP26" s="37">
        <f t="shared" si="16"/>
        <v>0</v>
      </c>
      <c r="AQ26" s="37" t="e">
        <f t="shared" si="47"/>
        <v>#VALUE!</v>
      </c>
      <c r="AR26" s="37">
        <f t="shared" si="17"/>
        <v>0</v>
      </c>
      <c r="AS26" s="37">
        <f t="shared" si="48"/>
        <v>0</v>
      </c>
      <c r="AT26" s="37">
        <f t="shared" si="18"/>
        <v>0</v>
      </c>
      <c r="AU26" s="37" t="str">
        <f t="shared" si="49"/>
        <v xml:space="preserve"> </v>
      </c>
      <c r="AV26" s="37" t="str">
        <f t="shared" si="19"/>
        <v xml:space="preserve"> </v>
      </c>
      <c r="AW26" s="37" t="e">
        <f t="shared" si="50"/>
        <v>#VALUE!</v>
      </c>
      <c r="AX26" s="37">
        <f t="shared" si="20"/>
        <v>0</v>
      </c>
      <c r="AY26" s="37" t="e">
        <f t="shared" si="51"/>
        <v>#VALUE!</v>
      </c>
      <c r="AZ26" s="37">
        <f t="shared" si="21"/>
        <v>0</v>
      </c>
      <c r="BA26" s="37" t="e">
        <f t="shared" si="52"/>
        <v>#VALUE!</v>
      </c>
      <c r="BB26" s="37">
        <f t="shared" si="22"/>
        <v>0</v>
      </c>
      <c r="BC26" s="37" t="e">
        <f t="shared" si="53"/>
        <v>#VALUE!</v>
      </c>
      <c r="BD26" s="37">
        <f t="shared" si="23"/>
        <v>0</v>
      </c>
      <c r="BE26" s="37">
        <f t="shared" si="54"/>
        <v>0</v>
      </c>
      <c r="BF26" s="37">
        <f t="shared" si="24"/>
        <v>0</v>
      </c>
      <c r="BG26" s="37" t="e">
        <f t="shared" si="55"/>
        <v>#VALUE!</v>
      </c>
      <c r="BH26" s="37">
        <f t="shared" si="25"/>
        <v>0</v>
      </c>
      <c r="BI26" s="37" t="e">
        <f t="shared" si="56"/>
        <v>#VALUE!</v>
      </c>
      <c r="BJ26" s="37">
        <f t="shared" si="26"/>
        <v>0</v>
      </c>
      <c r="BK26" s="37" t="e">
        <f t="shared" si="57"/>
        <v>#VALUE!</v>
      </c>
      <c r="BL26" s="37">
        <f t="shared" si="27"/>
        <v>0</v>
      </c>
      <c r="BM26" s="37" t="e">
        <f t="shared" si="58"/>
        <v>#VALUE!</v>
      </c>
      <c r="BN26" s="37">
        <f t="shared" si="28"/>
        <v>0</v>
      </c>
      <c r="BO26" s="37" t="e">
        <f t="shared" si="59"/>
        <v>#VALUE!</v>
      </c>
      <c r="BP26" s="37">
        <f t="shared" si="29"/>
        <v>0</v>
      </c>
      <c r="BQ26" s="37" t="e">
        <f t="shared" si="60"/>
        <v>#VALUE!</v>
      </c>
      <c r="BR26" s="37">
        <f t="shared" si="30"/>
        <v>0</v>
      </c>
    </row>
    <row r="27" spans="1:70" s="37" customFormat="1">
      <c r="A27" s="369" t="s">
        <v>541</v>
      </c>
      <c r="B27" s="370"/>
      <c r="C27" s="371">
        <v>15</v>
      </c>
      <c r="D27" s="372">
        <f>'Rationals-MCDOT'!M286/43560</f>
        <v>0</v>
      </c>
      <c r="E27" s="370">
        <f>'Rationals-MCDOT'!V288</f>
        <v>0</v>
      </c>
      <c r="F27" s="374" t="str">
        <f t="shared" si="0"/>
        <v xml:space="preserve"> </v>
      </c>
      <c r="G27" s="374"/>
      <c r="H27" s="374" t="str">
        <f t="shared" si="1"/>
        <v xml:space="preserve"> </v>
      </c>
      <c r="I27" s="371">
        <f>'Rationals-MCDOT'!K294</f>
        <v>0</v>
      </c>
      <c r="J27" s="370">
        <f>'Rationals-MCDOT'!N293</f>
        <v>0</v>
      </c>
      <c r="K27" s="375" t="str">
        <f t="shared" si="31"/>
        <v xml:space="preserve"> </v>
      </c>
      <c r="L27" s="370">
        <v>0.02</v>
      </c>
      <c r="M27" s="370">
        <v>2.3E-2</v>
      </c>
      <c r="N27" s="370" t="s">
        <v>535</v>
      </c>
      <c r="O27" s="370"/>
      <c r="P27" s="375">
        <v>6.6</v>
      </c>
      <c r="Q27" s="375">
        <v>100</v>
      </c>
      <c r="R27" s="374" t="str">
        <f t="shared" si="44"/>
        <v xml:space="preserve"> </v>
      </c>
      <c r="S27" s="370" t="s">
        <v>537</v>
      </c>
      <c r="T27" s="334" t="s">
        <v>7</v>
      </c>
      <c r="U27" s="37">
        <f t="shared" si="32"/>
        <v>0.13291433492081026</v>
      </c>
      <c r="V27" s="37">
        <f t="shared" si="33"/>
        <v>8.2631578947368417E-2</v>
      </c>
      <c r="W27" s="37" t="e">
        <f t="shared" si="34"/>
        <v>#DIV/0!</v>
      </c>
      <c r="X27" s="37" t="e">
        <f t="shared" si="35"/>
        <v>#DIV/0!</v>
      </c>
      <c r="Y27" s="37" t="e">
        <f t="shared" si="36"/>
        <v>#DIV/0!</v>
      </c>
      <c r="Z27" s="37" t="e">
        <f t="shared" si="37"/>
        <v>#DIV/0!</v>
      </c>
      <c r="AA27" s="37" t="e">
        <f t="shared" si="38"/>
        <v>#DIV/0!</v>
      </c>
      <c r="AB27" s="37" t="e">
        <f t="shared" si="39"/>
        <v>#DIV/0!</v>
      </c>
      <c r="AE27" s="37">
        <f t="shared" si="10"/>
        <v>0</v>
      </c>
      <c r="AF27" s="37">
        <f t="shared" si="11"/>
        <v>0</v>
      </c>
      <c r="AG27" s="37" t="e">
        <f t="shared" si="42"/>
        <v>#VALUE!</v>
      </c>
      <c r="AH27" s="37">
        <f t="shared" si="12"/>
        <v>0</v>
      </c>
      <c r="AI27" s="37">
        <f t="shared" si="43"/>
        <v>0</v>
      </c>
      <c r="AJ27" s="37">
        <f t="shared" si="13"/>
        <v>0</v>
      </c>
      <c r="AK27" s="37" t="e">
        <f>IF(EXACT(#REF!,$S27),$R27,0)</f>
        <v>#REF!</v>
      </c>
      <c r="AL27" s="37">
        <f t="shared" si="14"/>
        <v>0</v>
      </c>
      <c r="AM27" s="37">
        <f t="shared" si="45"/>
        <v>0</v>
      </c>
      <c r="AN27" s="37">
        <f t="shared" si="15"/>
        <v>0</v>
      </c>
      <c r="AO27" s="37">
        <f t="shared" si="46"/>
        <v>0</v>
      </c>
      <c r="AP27" s="37">
        <f t="shared" si="16"/>
        <v>0</v>
      </c>
      <c r="AQ27" s="37" t="e">
        <f t="shared" si="47"/>
        <v>#VALUE!</v>
      </c>
      <c r="AR27" s="37">
        <f t="shared" si="17"/>
        <v>0</v>
      </c>
      <c r="AS27" s="37">
        <f t="shared" si="48"/>
        <v>0</v>
      </c>
      <c r="AT27" s="37">
        <f t="shared" si="18"/>
        <v>0</v>
      </c>
      <c r="AU27" s="37">
        <f t="shared" si="49"/>
        <v>0</v>
      </c>
      <c r="AV27" s="37">
        <f t="shared" si="19"/>
        <v>0</v>
      </c>
      <c r="AW27" s="37" t="e">
        <f t="shared" si="50"/>
        <v>#VALUE!</v>
      </c>
      <c r="AX27" s="37">
        <f t="shared" si="20"/>
        <v>0</v>
      </c>
      <c r="AY27" s="37" t="e">
        <f t="shared" si="51"/>
        <v>#VALUE!</v>
      </c>
      <c r="AZ27" s="37">
        <f t="shared" si="21"/>
        <v>0</v>
      </c>
      <c r="BA27" s="37" t="e">
        <f t="shared" si="52"/>
        <v>#VALUE!</v>
      </c>
      <c r="BB27" s="37">
        <f t="shared" si="22"/>
        <v>0</v>
      </c>
      <c r="BC27" s="37" t="e">
        <f t="shared" si="53"/>
        <v>#VALUE!</v>
      </c>
      <c r="BD27" s="37">
        <f t="shared" si="23"/>
        <v>0</v>
      </c>
      <c r="BE27" s="37">
        <f t="shared" si="54"/>
        <v>0</v>
      </c>
      <c r="BF27" s="37">
        <f t="shared" si="24"/>
        <v>0</v>
      </c>
      <c r="BG27" s="37" t="e">
        <f t="shared" si="55"/>
        <v>#VALUE!</v>
      </c>
      <c r="BH27" s="37">
        <f t="shared" si="25"/>
        <v>0</v>
      </c>
      <c r="BI27" s="37" t="e">
        <f t="shared" si="56"/>
        <v>#VALUE!</v>
      </c>
      <c r="BJ27" s="37">
        <f t="shared" si="26"/>
        <v>0</v>
      </c>
      <c r="BK27" s="37" t="e">
        <f t="shared" si="57"/>
        <v>#VALUE!</v>
      </c>
      <c r="BL27" s="37">
        <f t="shared" si="27"/>
        <v>0</v>
      </c>
      <c r="BM27" s="37" t="e">
        <f t="shared" si="58"/>
        <v>#VALUE!</v>
      </c>
      <c r="BN27" s="37">
        <f t="shared" si="28"/>
        <v>0</v>
      </c>
      <c r="BO27" s="37" t="e">
        <f t="shared" si="59"/>
        <v>#VALUE!</v>
      </c>
      <c r="BP27" s="37">
        <f t="shared" si="29"/>
        <v>0</v>
      </c>
      <c r="BQ27" s="37" t="e">
        <f t="shared" si="60"/>
        <v>#VALUE!</v>
      </c>
      <c r="BR27" s="37">
        <f t="shared" si="30"/>
        <v>0</v>
      </c>
    </row>
    <row r="28" spans="1:70">
      <c r="A28" s="24"/>
      <c r="B28" s="20"/>
      <c r="C28" s="17"/>
      <c r="D28" s="335"/>
      <c r="E28" s="20"/>
      <c r="F28" s="19"/>
      <c r="G28" s="19"/>
      <c r="H28" s="19"/>
      <c r="I28" s="17"/>
      <c r="J28" s="20"/>
      <c r="K28" s="21"/>
      <c r="L28" s="20"/>
      <c r="M28" s="20"/>
      <c r="N28" s="20"/>
      <c r="O28" s="20"/>
      <c r="P28" s="21"/>
      <c r="Q28" s="21"/>
      <c r="R28" s="19"/>
      <c r="S28" s="20"/>
      <c r="T28" s="22"/>
      <c r="U28" s="2" t="e">
        <f t="shared" ref="U28:U32" si="61">L28+0.25*(1-(1-$N$6/P28)^2.67)</f>
        <v>#DIV/0!</v>
      </c>
      <c r="V28" s="2">
        <f t="shared" ref="V28:V32" si="62">($N$4+L28*$N$6)/$N$6</f>
        <v>6.2631578947368413E-2</v>
      </c>
      <c r="W28" s="2" t="e">
        <f t="shared" ref="W28:W32" si="63">($N$4/($N$4+$N$6*L28))*(0.56/$N$5*V28^1.667*M28^0.5*$N$6^2.667)/K28</f>
        <v>#DIV/0!</v>
      </c>
      <c r="X28" s="2" t="e">
        <f t="shared" ref="X28:X32" si="64">L28+($N$4/$N$6)*W28</f>
        <v>#DIV/0!</v>
      </c>
      <c r="Y28" s="2" t="e">
        <f t="shared" ref="Y28:Y32" si="65">IF(C28&gt;=15,0.54*K28^0.42*M28^0.3*(1/($N$5*X28))^0.6,Z28)</f>
        <v>#DIV/0!</v>
      </c>
      <c r="Z28" s="2" t="e">
        <f t="shared" ref="Z28:Z32" si="66">0.58*K28^0.42*M28^0.3*(1/($N$5*X28))^0.6</f>
        <v>#DIV/0!</v>
      </c>
      <c r="AA28" s="2" t="e">
        <f t="shared" ref="AA28:AA32" si="67">IF($N$4=0,0.6*K28^0.42*M28^0.3*(1/($N$5*X28))^0.6,Y28)</f>
        <v>#DIV/0!</v>
      </c>
      <c r="AB28" s="2" t="e">
        <f t="shared" ref="AB28:AB32" si="68">IF(C28&gt;AA28,1,1-(1-C28/AA28)^1.8)</f>
        <v>#DIV/0!</v>
      </c>
      <c r="AE28" s="2" t="e">
        <f t="shared" si="10"/>
        <v>#VALUE!</v>
      </c>
      <c r="AF28" s="2">
        <f t="shared" ref="AF28:AF32" si="69">IF(ISERR(AE28),0,AE28)</f>
        <v>0</v>
      </c>
      <c r="AG28" s="2" t="e">
        <f t="shared" si="42"/>
        <v>#VALUE!</v>
      </c>
      <c r="AH28" s="2">
        <f t="shared" ref="AH28:AH32" si="70">IF(ISERR(AG28),0,AG28)</f>
        <v>0</v>
      </c>
      <c r="AI28" s="2" t="e">
        <f t="shared" si="43"/>
        <v>#VALUE!</v>
      </c>
      <c r="AJ28" s="2">
        <f t="shared" ref="AJ28:AJ32" si="71">IF(ISERR(AI28),0,AI28)</f>
        <v>0</v>
      </c>
      <c r="AK28" s="2" t="e">
        <f>IF(EXACT(#REF!,$S28),$R28,0)</f>
        <v>#REF!</v>
      </c>
      <c r="AL28" s="2">
        <f t="shared" ref="AL28:AL32" si="72">IF(ISERR(AK28),0,AK28)</f>
        <v>0</v>
      </c>
      <c r="AM28" s="2" t="e">
        <f t="shared" si="45"/>
        <v>#VALUE!</v>
      </c>
      <c r="AN28" s="2">
        <f t="shared" ref="AN28:AN32" si="73">IF(ISERR(AM28),0,AM28)</f>
        <v>0</v>
      </c>
      <c r="AO28" s="2" t="e">
        <f t="shared" si="46"/>
        <v>#VALUE!</v>
      </c>
      <c r="AP28" s="2">
        <f t="shared" ref="AP28:AP32" si="74">IF(ISERR(AO28),0,AO28)</f>
        <v>0</v>
      </c>
      <c r="AQ28" s="2" t="e">
        <f t="shared" si="47"/>
        <v>#VALUE!</v>
      </c>
      <c r="AR28" s="2">
        <f t="shared" ref="AR28:AR32" si="75">IF(ISERR(AQ28),0,AQ28)</f>
        <v>0</v>
      </c>
      <c r="AS28" s="2" t="e">
        <f t="shared" si="48"/>
        <v>#VALUE!</v>
      </c>
      <c r="AT28" s="2">
        <f t="shared" ref="AT28:AT32" si="76">IF(ISERR(AS28),0,AS28)</f>
        <v>0</v>
      </c>
      <c r="AU28" s="2" t="e">
        <f t="shared" si="49"/>
        <v>#VALUE!</v>
      </c>
      <c r="AV28" s="2">
        <f t="shared" ref="AV28:AV32" si="77">IF(ISERR(AU28),0,AU28)</f>
        <v>0</v>
      </c>
      <c r="AW28" s="2" t="e">
        <f t="shared" si="50"/>
        <v>#VALUE!</v>
      </c>
      <c r="AX28" s="2">
        <f t="shared" ref="AX28:AX32" si="78">IF(ISERR(AW28),0,AW28)</f>
        <v>0</v>
      </c>
      <c r="AY28" s="2" t="e">
        <f t="shared" si="51"/>
        <v>#VALUE!</v>
      </c>
      <c r="AZ28" s="2">
        <f t="shared" ref="AZ28:AZ32" si="79">IF(ISERR(AY28),0,AY28)</f>
        <v>0</v>
      </c>
      <c r="BA28" s="2" t="e">
        <f t="shared" si="52"/>
        <v>#VALUE!</v>
      </c>
      <c r="BB28" s="2">
        <f t="shared" ref="BB28:BB32" si="80">IF(ISERR(BA28),0,BA28)</f>
        <v>0</v>
      </c>
      <c r="BC28" s="2" t="e">
        <f t="shared" si="53"/>
        <v>#VALUE!</v>
      </c>
      <c r="BD28" s="2">
        <f t="shared" ref="BD28:BD32" si="81">IF(ISERR(BC28),0,BC28)</f>
        <v>0</v>
      </c>
      <c r="BE28" s="2" t="e">
        <f t="shared" si="54"/>
        <v>#VALUE!</v>
      </c>
      <c r="BF28" s="2">
        <f t="shared" ref="BF28:BF32" si="82">IF(ISERR(BE28),0,BE28)</f>
        <v>0</v>
      </c>
      <c r="BG28" s="2" t="e">
        <f t="shared" si="55"/>
        <v>#VALUE!</v>
      </c>
      <c r="BH28" s="2">
        <f t="shared" ref="BH28:BH32" si="83">IF(ISERR(BG28),0,BG28)</f>
        <v>0</v>
      </c>
      <c r="BI28" s="2" t="e">
        <f t="shared" si="56"/>
        <v>#VALUE!</v>
      </c>
      <c r="BJ28" s="2">
        <f t="shared" ref="BJ28:BJ32" si="84">IF(ISERR(BI28),0,BI28)</f>
        <v>0</v>
      </c>
      <c r="BK28" s="2" t="e">
        <f t="shared" si="57"/>
        <v>#VALUE!</v>
      </c>
      <c r="BL28" s="2">
        <f t="shared" ref="BL28:BL32" si="85">IF(ISERR(BK28),0,BK28)</f>
        <v>0</v>
      </c>
      <c r="BM28" s="2" t="e">
        <f t="shared" si="58"/>
        <v>#VALUE!</v>
      </c>
      <c r="BN28" s="2">
        <f t="shared" ref="BN28:BN32" si="86">IF(ISERR(BM28),0,BM28)</f>
        <v>0</v>
      </c>
      <c r="BO28" s="2" t="e">
        <f t="shared" si="59"/>
        <v>#VALUE!</v>
      </c>
      <c r="BP28" s="2">
        <f t="shared" ref="BP28:BP32" si="87">IF(ISERR(BO28),0,BO28)</f>
        <v>0</v>
      </c>
      <c r="BQ28" s="2" t="e">
        <f t="shared" si="60"/>
        <v>#VALUE!</v>
      </c>
      <c r="BR28" s="2">
        <f t="shared" ref="BR28:BR32" si="88">IF(ISERR(BQ28),0,BQ28)</f>
        <v>0</v>
      </c>
    </row>
    <row r="29" spans="1:70">
      <c r="A29" s="24"/>
      <c r="B29" s="20"/>
      <c r="C29" s="17"/>
      <c r="D29" s="335"/>
      <c r="E29" s="20"/>
      <c r="F29" s="19"/>
      <c r="G29" s="19"/>
      <c r="H29" s="19"/>
      <c r="I29" s="17"/>
      <c r="J29" s="20"/>
      <c r="K29" s="21"/>
      <c r="L29" s="20"/>
      <c r="M29" s="20"/>
      <c r="N29" s="20"/>
      <c r="O29" s="20"/>
      <c r="P29" s="21"/>
      <c r="Q29" s="21"/>
      <c r="R29" s="19"/>
      <c r="S29" s="20"/>
      <c r="T29" s="22"/>
      <c r="U29" s="2" t="e">
        <f t="shared" si="61"/>
        <v>#DIV/0!</v>
      </c>
      <c r="V29" s="2">
        <f t="shared" si="62"/>
        <v>6.2631578947368413E-2</v>
      </c>
      <c r="W29" s="2" t="e">
        <f t="shared" si="63"/>
        <v>#DIV/0!</v>
      </c>
      <c r="X29" s="2" t="e">
        <f t="shared" si="64"/>
        <v>#DIV/0!</v>
      </c>
      <c r="Y29" s="2" t="e">
        <f t="shared" si="65"/>
        <v>#DIV/0!</v>
      </c>
      <c r="Z29" s="2" t="e">
        <f t="shared" si="66"/>
        <v>#DIV/0!</v>
      </c>
      <c r="AA29" s="2" t="e">
        <f t="shared" si="67"/>
        <v>#DIV/0!</v>
      </c>
      <c r="AB29" s="2" t="e">
        <f t="shared" si="68"/>
        <v>#DIV/0!</v>
      </c>
      <c r="AE29" s="2" t="e">
        <f t="shared" si="10"/>
        <v>#VALUE!</v>
      </c>
      <c r="AF29" s="2">
        <f t="shared" si="69"/>
        <v>0</v>
      </c>
      <c r="AG29" s="2" t="e">
        <f t="shared" si="42"/>
        <v>#VALUE!</v>
      </c>
      <c r="AH29" s="2">
        <f t="shared" si="70"/>
        <v>0</v>
      </c>
      <c r="AI29" s="2" t="e">
        <f t="shared" si="43"/>
        <v>#VALUE!</v>
      </c>
      <c r="AJ29" s="2">
        <f t="shared" si="71"/>
        <v>0</v>
      </c>
      <c r="AK29" s="2" t="e">
        <f>IF(EXACT(#REF!,$S29),$R29,0)</f>
        <v>#REF!</v>
      </c>
      <c r="AL29" s="2">
        <f t="shared" si="72"/>
        <v>0</v>
      </c>
      <c r="AM29" s="2" t="e">
        <f t="shared" si="45"/>
        <v>#VALUE!</v>
      </c>
      <c r="AN29" s="2">
        <f t="shared" si="73"/>
        <v>0</v>
      </c>
      <c r="AO29" s="2" t="e">
        <f t="shared" si="46"/>
        <v>#VALUE!</v>
      </c>
      <c r="AP29" s="2">
        <f t="shared" si="74"/>
        <v>0</v>
      </c>
      <c r="AQ29" s="2" t="e">
        <f t="shared" si="47"/>
        <v>#VALUE!</v>
      </c>
      <c r="AR29" s="2">
        <f t="shared" si="75"/>
        <v>0</v>
      </c>
      <c r="AS29" s="2" t="e">
        <f t="shared" si="48"/>
        <v>#VALUE!</v>
      </c>
      <c r="AT29" s="2">
        <f t="shared" si="76"/>
        <v>0</v>
      </c>
      <c r="AU29" s="2" t="e">
        <f t="shared" si="49"/>
        <v>#VALUE!</v>
      </c>
      <c r="AV29" s="2">
        <f t="shared" si="77"/>
        <v>0</v>
      </c>
      <c r="AW29" s="2" t="e">
        <f t="shared" si="50"/>
        <v>#VALUE!</v>
      </c>
      <c r="AX29" s="2">
        <f t="shared" si="78"/>
        <v>0</v>
      </c>
      <c r="AY29" s="2" t="e">
        <f t="shared" si="51"/>
        <v>#VALUE!</v>
      </c>
      <c r="AZ29" s="2">
        <f t="shared" si="79"/>
        <v>0</v>
      </c>
      <c r="BA29" s="2" t="e">
        <f t="shared" si="52"/>
        <v>#VALUE!</v>
      </c>
      <c r="BB29" s="2">
        <f t="shared" si="80"/>
        <v>0</v>
      </c>
      <c r="BC29" s="2" t="e">
        <f t="shared" si="53"/>
        <v>#VALUE!</v>
      </c>
      <c r="BD29" s="2">
        <f t="shared" si="81"/>
        <v>0</v>
      </c>
      <c r="BE29" s="2" t="e">
        <f t="shared" si="54"/>
        <v>#VALUE!</v>
      </c>
      <c r="BF29" s="2">
        <f t="shared" si="82"/>
        <v>0</v>
      </c>
      <c r="BG29" s="2" t="e">
        <f t="shared" si="55"/>
        <v>#VALUE!</v>
      </c>
      <c r="BH29" s="2">
        <f t="shared" si="83"/>
        <v>0</v>
      </c>
      <c r="BI29" s="2" t="e">
        <f t="shared" si="56"/>
        <v>#VALUE!</v>
      </c>
      <c r="BJ29" s="2">
        <f t="shared" si="84"/>
        <v>0</v>
      </c>
      <c r="BK29" s="2" t="e">
        <f t="shared" si="57"/>
        <v>#VALUE!</v>
      </c>
      <c r="BL29" s="2">
        <f t="shared" si="85"/>
        <v>0</v>
      </c>
      <c r="BM29" s="2" t="e">
        <f t="shared" si="58"/>
        <v>#VALUE!</v>
      </c>
      <c r="BN29" s="2">
        <f t="shared" si="86"/>
        <v>0</v>
      </c>
      <c r="BO29" s="2" t="e">
        <f t="shared" si="59"/>
        <v>#VALUE!</v>
      </c>
      <c r="BP29" s="2">
        <f t="shared" si="87"/>
        <v>0</v>
      </c>
      <c r="BQ29" s="2" t="e">
        <f t="shared" si="60"/>
        <v>#VALUE!</v>
      </c>
      <c r="BR29" s="2">
        <f t="shared" si="88"/>
        <v>0</v>
      </c>
    </row>
    <row r="30" spans="1:70">
      <c r="A30" s="24"/>
      <c r="B30" s="20"/>
      <c r="C30" s="17"/>
      <c r="D30" s="335"/>
      <c r="E30" s="20"/>
      <c r="F30" s="19"/>
      <c r="G30" s="19"/>
      <c r="H30" s="19"/>
      <c r="I30" s="17"/>
      <c r="J30" s="20"/>
      <c r="K30" s="21"/>
      <c r="L30" s="20"/>
      <c r="M30" s="20"/>
      <c r="N30" s="20"/>
      <c r="O30" s="20"/>
      <c r="P30" s="21"/>
      <c r="Q30" s="21"/>
      <c r="R30" s="19"/>
      <c r="S30" s="20"/>
      <c r="T30" s="22"/>
      <c r="U30" s="2" t="e">
        <f t="shared" si="61"/>
        <v>#DIV/0!</v>
      </c>
      <c r="V30" s="2">
        <f t="shared" si="62"/>
        <v>6.2631578947368413E-2</v>
      </c>
      <c r="W30" s="2" t="e">
        <f t="shared" si="63"/>
        <v>#DIV/0!</v>
      </c>
      <c r="X30" s="2" t="e">
        <f t="shared" si="64"/>
        <v>#DIV/0!</v>
      </c>
      <c r="Y30" s="2" t="e">
        <f t="shared" si="65"/>
        <v>#DIV/0!</v>
      </c>
      <c r="Z30" s="2" t="e">
        <f t="shared" si="66"/>
        <v>#DIV/0!</v>
      </c>
      <c r="AA30" s="2" t="e">
        <f t="shared" si="67"/>
        <v>#DIV/0!</v>
      </c>
      <c r="AB30" s="2" t="e">
        <f t="shared" si="68"/>
        <v>#DIV/0!</v>
      </c>
      <c r="AE30" s="2" t="e">
        <f t="shared" si="10"/>
        <v>#VALUE!</v>
      </c>
      <c r="AF30" s="2">
        <f t="shared" si="69"/>
        <v>0</v>
      </c>
      <c r="AG30" s="2" t="e">
        <f t="shared" si="42"/>
        <v>#VALUE!</v>
      </c>
      <c r="AH30" s="2">
        <f t="shared" si="70"/>
        <v>0</v>
      </c>
      <c r="AI30" s="2" t="e">
        <f t="shared" si="43"/>
        <v>#VALUE!</v>
      </c>
      <c r="AJ30" s="2">
        <f t="shared" si="71"/>
        <v>0</v>
      </c>
      <c r="AK30" s="2" t="e">
        <f>IF(EXACT(#REF!,$S30),$R30,0)</f>
        <v>#REF!</v>
      </c>
      <c r="AL30" s="2">
        <f t="shared" si="72"/>
        <v>0</v>
      </c>
      <c r="AM30" s="2" t="e">
        <f t="shared" si="45"/>
        <v>#VALUE!</v>
      </c>
      <c r="AN30" s="2">
        <f t="shared" si="73"/>
        <v>0</v>
      </c>
      <c r="AO30" s="2" t="e">
        <f t="shared" si="46"/>
        <v>#VALUE!</v>
      </c>
      <c r="AP30" s="2">
        <f t="shared" si="74"/>
        <v>0</v>
      </c>
      <c r="AQ30" s="2" t="e">
        <f t="shared" si="47"/>
        <v>#VALUE!</v>
      </c>
      <c r="AR30" s="2">
        <f t="shared" si="75"/>
        <v>0</v>
      </c>
      <c r="AS30" s="2" t="e">
        <f t="shared" si="48"/>
        <v>#VALUE!</v>
      </c>
      <c r="AT30" s="2">
        <f t="shared" si="76"/>
        <v>0</v>
      </c>
      <c r="AU30" s="2" t="e">
        <f t="shared" si="49"/>
        <v>#VALUE!</v>
      </c>
      <c r="AV30" s="2">
        <f t="shared" si="77"/>
        <v>0</v>
      </c>
      <c r="AW30" s="2" t="e">
        <f t="shared" si="50"/>
        <v>#VALUE!</v>
      </c>
      <c r="AX30" s="2">
        <f t="shared" si="78"/>
        <v>0</v>
      </c>
      <c r="AY30" s="2" t="e">
        <f t="shared" si="51"/>
        <v>#VALUE!</v>
      </c>
      <c r="AZ30" s="2">
        <f t="shared" si="79"/>
        <v>0</v>
      </c>
      <c r="BA30" s="2" t="e">
        <f t="shared" si="52"/>
        <v>#VALUE!</v>
      </c>
      <c r="BB30" s="2">
        <f t="shared" si="80"/>
        <v>0</v>
      </c>
      <c r="BC30" s="2" t="e">
        <f t="shared" si="53"/>
        <v>#VALUE!</v>
      </c>
      <c r="BD30" s="2">
        <f t="shared" si="81"/>
        <v>0</v>
      </c>
      <c r="BE30" s="2" t="e">
        <f t="shared" si="54"/>
        <v>#VALUE!</v>
      </c>
      <c r="BF30" s="2">
        <f t="shared" si="82"/>
        <v>0</v>
      </c>
      <c r="BG30" s="2" t="e">
        <f t="shared" si="55"/>
        <v>#VALUE!</v>
      </c>
      <c r="BH30" s="2">
        <f t="shared" si="83"/>
        <v>0</v>
      </c>
      <c r="BI30" s="2" t="e">
        <f t="shared" si="56"/>
        <v>#VALUE!</v>
      </c>
      <c r="BJ30" s="2">
        <f t="shared" si="84"/>
        <v>0</v>
      </c>
      <c r="BK30" s="2" t="e">
        <f t="shared" si="57"/>
        <v>#VALUE!</v>
      </c>
      <c r="BL30" s="2">
        <f t="shared" si="85"/>
        <v>0</v>
      </c>
      <c r="BM30" s="2" t="e">
        <f t="shared" si="58"/>
        <v>#VALUE!</v>
      </c>
      <c r="BN30" s="2">
        <f t="shared" si="86"/>
        <v>0</v>
      </c>
      <c r="BO30" s="2" t="e">
        <f t="shared" si="59"/>
        <v>#VALUE!</v>
      </c>
      <c r="BP30" s="2">
        <f t="shared" si="87"/>
        <v>0</v>
      </c>
      <c r="BQ30" s="2" t="e">
        <f t="shared" si="60"/>
        <v>#VALUE!</v>
      </c>
      <c r="BR30" s="2">
        <f t="shared" si="88"/>
        <v>0</v>
      </c>
    </row>
    <row r="31" spans="1:70">
      <c r="A31" s="24"/>
      <c r="B31" s="20"/>
      <c r="C31" s="17"/>
      <c r="D31" s="335"/>
      <c r="E31" s="20"/>
      <c r="F31" s="19"/>
      <c r="G31" s="19"/>
      <c r="H31" s="19"/>
      <c r="I31" s="17"/>
      <c r="J31" s="20"/>
      <c r="K31" s="21"/>
      <c r="L31" s="20"/>
      <c r="M31" s="20"/>
      <c r="N31" s="20"/>
      <c r="O31" s="20"/>
      <c r="P31" s="21"/>
      <c r="Q31" s="21"/>
      <c r="R31" s="19"/>
      <c r="S31" s="20"/>
      <c r="T31" s="22"/>
      <c r="U31" s="2" t="e">
        <f t="shared" si="61"/>
        <v>#DIV/0!</v>
      </c>
      <c r="V31" s="2">
        <f t="shared" si="62"/>
        <v>6.2631578947368413E-2</v>
      </c>
      <c r="W31" s="2" t="e">
        <f t="shared" si="63"/>
        <v>#DIV/0!</v>
      </c>
      <c r="X31" s="2" t="e">
        <f t="shared" si="64"/>
        <v>#DIV/0!</v>
      </c>
      <c r="Y31" s="2" t="e">
        <f t="shared" si="65"/>
        <v>#DIV/0!</v>
      </c>
      <c r="Z31" s="2" t="e">
        <f t="shared" si="66"/>
        <v>#DIV/0!</v>
      </c>
      <c r="AA31" s="2" t="e">
        <f t="shared" si="67"/>
        <v>#DIV/0!</v>
      </c>
      <c r="AB31" s="2" t="e">
        <f t="shared" si="68"/>
        <v>#DIV/0!</v>
      </c>
      <c r="AC31" s="37"/>
      <c r="AD31" s="37"/>
      <c r="AE31" s="37" t="e">
        <f t="shared" si="10"/>
        <v>#VALUE!</v>
      </c>
      <c r="AF31" s="37">
        <f t="shared" si="69"/>
        <v>0</v>
      </c>
      <c r="AG31" s="37" t="e">
        <f t="shared" si="42"/>
        <v>#VALUE!</v>
      </c>
      <c r="AH31" s="37">
        <f t="shared" si="70"/>
        <v>0</v>
      </c>
      <c r="AI31" s="37" t="e">
        <f t="shared" si="43"/>
        <v>#VALUE!</v>
      </c>
      <c r="AJ31" s="37">
        <f t="shared" si="71"/>
        <v>0</v>
      </c>
      <c r="AK31" s="37" t="e">
        <f>IF(EXACT(#REF!,$S31),$R31,0)</f>
        <v>#REF!</v>
      </c>
      <c r="AL31" s="37">
        <f t="shared" si="72"/>
        <v>0</v>
      </c>
      <c r="AM31" s="37" t="e">
        <f t="shared" si="45"/>
        <v>#VALUE!</v>
      </c>
      <c r="AN31" s="37">
        <f t="shared" si="73"/>
        <v>0</v>
      </c>
      <c r="AO31" s="37" t="e">
        <f t="shared" si="46"/>
        <v>#VALUE!</v>
      </c>
      <c r="AP31" s="37">
        <f t="shared" si="74"/>
        <v>0</v>
      </c>
      <c r="AQ31" s="37" t="e">
        <f t="shared" si="47"/>
        <v>#VALUE!</v>
      </c>
      <c r="AR31" s="37">
        <f t="shared" si="75"/>
        <v>0</v>
      </c>
      <c r="AS31" s="37" t="e">
        <f t="shared" si="48"/>
        <v>#VALUE!</v>
      </c>
      <c r="AT31" s="37">
        <f t="shared" si="76"/>
        <v>0</v>
      </c>
      <c r="AU31" s="37" t="e">
        <f t="shared" si="49"/>
        <v>#VALUE!</v>
      </c>
      <c r="AV31" s="37">
        <f t="shared" si="77"/>
        <v>0</v>
      </c>
      <c r="AW31" s="37" t="e">
        <f t="shared" si="50"/>
        <v>#VALUE!</v>
      </c>
      <c r="AX31" s="37">
        <f t="shared" si="78"/>
        <v>0</v>
      </c>
      <c r="AY31" s="37" t="e">
        <f t="shared" si="51"/>
        <v>#VALUE!</v>
      </c>
      <c r="AZ31" s="37">
        <f t="shared" si="79"/>
        <v>0</v>
      </c>
      <c r="BA31" s="37" t="e">
        <f t="shared" si="52"/>
        <v>#VALUE!</v>
      </c>
      <c r="BB31" s="37">
        <f t="shared" si="80"/>
        <v>0</v>
      </c>
      <c r="BC31" s="37" t="e">
        <f t="shared" si="53"/>
        <v>#VALUE!</v>
      </c>
      <c r="BD31" s="37">
        <f t="shared" si="81"/>
        <v>0</v>
      </c>
      <c r="BE31" s="37" t="e">
        <f t="shared" si="54"/>
        <v>#VALUE!</v>
      </c>
      <c r="BF31" s="37">
        <f t="shared" si="82"/>
        <v>0</v>
      </c>
      <c r="BG31" s="37" t="e">
        <f t="shared" si="55"/>
        <v>#VALUE!</v>
      </c>
      <c r="BH31" s="37">
        <f t="shared" si="83"/>
        <v>0</v>
      </c>
      <c r="BI31" s="37" t="e">
        <f t="shared" si="56"/>
        <v>#VALUE!</v>
      </c>
      <c r="BJ31" s="37">
        <f t="shared" si="84"/>
        <v>0</v>
      </c>
      <c r="BK31" s="37" t="e">
        <f t="shared" si="57"/>
        <v>#VALUE!</v>
      </c>
      <c r="BL31" s="37">
        <f t="shared" si="85"/>
        <v>0</v>
      </c>
      <c r="BM31" s="37" t="e">
        <f t="shared" si="58"/>
        <v>#VALUE!</v>
      </c>
      <c r="BN31" s="37">
        <f t="shared" si="86"/>
        <v>0</v>
      </c>
      <c r="BO31" s="37" t="e">
        <f t="shared" si="59"/>
        <v>#VALUE!</v>
      </c>
      <c r="BP31" s="37">
        <f t="shared" si="87"/>
        <v>0</v>
      </c>
      <c r="BQ31" s="37" t="e">
        <f t="shared" si="60"/>
        <v>#VALUE!</v>
      </c>
      <c r="BR31" s="37">
        <f t="shared" si="88"/>
        <v>0</v>
      </c>
    </row>
    <row r="32" spans="1:70">
      <c r="A32" s="24"/>
      <c r="B32" s="20"/>
      <c r="C32" s="17"/>
      <c r="D32" s="335"/>
      <c r="E32" s="20"/>
      <c r="F32" s="19"/>
      <c r="G32" s="19"/>
      <c r="H32" s="19"/>
      <c r="I32" s="17"/>
      <c r="J32" s="20"/>
      <c r="K32" s="21"/>
      <c r="L32" s="20"/>
      <c r="M32" s="20"/>
      <c r="N32" s="20"/>
      <c r="O32" s="20"/>
      <c r="P32" s="21"/>
      <c r="Q32" s="21"/>
      <c r="R32" s="19"/>
      <c r="S32" s="20"/>
      <c r="T32" s="22"/>
      <c r="U32" s="2" t="e">
        <f t="shared" si="61"/>
        <v>#DIV/0!</v>
      </c>
      <c r="V32" s="2">
        <f t="shared" si="62"/>
        <v>6.2631578947368413E-2</v>
      </c>
      <c r="W32" s="2" t="e">
        <f t="shared" si="63"/>
        <v>#DIV/0!</v>
      </c>
      <c r="X32" s="2" t="e">
        <f t="shared" si="64"/>
        <v>#DIV/0!</v>
      </c>
      <c r="Y32" s="2" t="e">
        <f t="shared" si="65"/>
        <v>#DIV/0!</v>
      </c>
      <c r="Z32" s="2" t="e">
        <f t="shared" si="66"/>
        <v>#DIV/0!</v>
      </c>
      <c r="AA32" s="2" t="e">
        <f t="shared" si="67"/>
        <v>#DIV/0!</v>
      </c>
      <c r="AB32" s="2" t="e">
        <f t="shared" si="68"/>
        <v>#DIV/0!</v>
      </c>
      <c r="AE32" s="2" t="e">
        <f t="shared" si="10"/>
        <v>#VALUE!</v>
      </c>
      <c r="AF32" s="2">
        <f t="shared" si="69"/>
        <v>0</v>
      </c>
      <c r="AG32" s="2" t="e">
        <f t="shared" si="42"/>
        <v>#VALUE!</v>
      </c>
      <c r="AH32" s="2">
        <f t="shared" si="70"/>
        <v>0</v>
      </c>
      <c r="AI32" s="2" t="e">
        <f t="shared" si="43"/>
        <v>#VALUE!</v>
      </c>
      <c r="AJ32" s="2">
        <f t="shared" si="71"/>
        <v>0</v>
      </c>
      <c r="AK32" s="2" t="e">
        <f>IF(EXACT(#REF!,$S32),$R32,0)</f>
        <v>#REF!</v>
      </c>
      <c r="AL32" s="2">
        <f t="shared" si="72"/>
        <v>0</v>
      </c>
      <c r="AM32" s="2" t="e">
        <f t="shared" si="45"/>
        <v>#VALUE!</v>
      </c>
      <c r="AN32" s="2">
        <f t="shared" si="73"/>
        <v>0</v>
      </c>
      <c r="AO32" s="2" t="e">
        <f t="shared" si="46"/>
        <v>#VALUE!</v>
      </c>
      <c r="AP32" s="2">
        <f t="shared" si="74"/>
        <v>0</v>
      </c>
      <c r="AQ32" s="2" t="e">
        <f t="shared" si="47"/>
        <v>#VALUE!</v>
      </c>
      <c r="AR32" s="2">
        <f t="shared" si="75"/>
        <v>0</v>
      </c>
      <c r="AS32" s="2" t="e">
        <f t="shared" si="48"/>
        <v>#VALUE!</v>
      </c>
      <c r="AT32" s="2">
        <f t="shared" si="76"/>
        <v>0</v>
      </c>
      <c r="AU32" s="2" t="e">
        <f t="shared" si="49"/>
        <v>#VALUE!</v>
      </c>
      <c r="AV32" s="2">
        <f t="shared" si="77"/>
        <v>0</v>
      </c>
      <c r="AW32" s="2" t="e">
        <f t="shared" si="50"/>
        <v>#VALUE!</v>
      </c>
      <c r="AX32" s="2">
        <f t="shared" si="78"/>
        <v>0</v>
      </c>
      <c r="AY32" s="2" t="e">
        <f t="shared" si="51"/>
        <v>#VALUE!</v>
      </c>
      <c r="AZ32" s="2">
        <f t="shared" si="79"/>
        <v>0</v>
      </c>
      <c r="BA32" s="2" t="e">
        <f t="shared" si="52"/>
        <v>#VALUE!</v>
      </c>
      <c r="BB32" s="2">
        <f t="shared" si="80"/>
        <v>0</v>
      </c>
      <c r="BC32" s="2" t="e">
        <f t="shared" si="53"/>
        <v>#VALUE!</v>
      </c>
      <c r="BD32" s="2">
        <f t="shared" si="81"/>
        <v>0</v>
      </c>
      <c r="BE32" s="2" t="e">
        <f t="shared" si="54"/>
        <v>#VALUE!</v>
      </c>
      <c r="BF32" s="2">
        <f t="shared" si="82"/>
        <v>0</v>
      </c>
      <c r="BG32" s="2" t="e">
        <f t="shared" si="55"/>
        <v>#VALUE!</v>
      </c>
      <c r="BH32" s="2">
        <f t="shared" si="83"/>
        <v>0</v>
      </c>
      <c r="BI32" s="2" t="e">
        <f t="shared" si="56"/>
        <v>#VALUE!</v>
      </c>
      <c r="BJ32" s="2">
        <f t="shared" si="84"/>
        <v>0</v>
      </c>
      <c r="BK32" s="2" t="e">
        <f t="shared" si="57"/>
        <v>#VALUE!</v>
      </c>
      <c r="BL32" s="2">
        <f t="shared" si="85"/>
        <v>0</v>
      </c>
      <c r="BM32" s="2" t="e">
        <f t="shared" si="58"/>
        <v>#VALUE!</v>
      </c>
      <c r="BN32" s="2">
        <f t="shared" si="86"/>
        <v>0</v>
      </c>
      <c r="BO32" s="2" t="e">
        <f t="shared" si="59"/>
        <v>#VALUE!</v>
      </c>
      <c r="BP32" s="2">
        <f t="shared" si="87"/>
        <v>0</v>
      </c>
      <c r="BQ32" s="2" t="e">
        <f t="shared" si="60"/>
        <v>#VALUE!</v>
      </c>
      <c r="BR32" s="2">
        <f t="shared" si="88"/>
        <v>0</v>
      </c>
    </row>
    <row r="33" spans="1:70">
      <c r="A33" s="24"/>
      <c r="B33" s="20"/>
      <c r="C33" s="17"/>
      <c r="D33" s="335"/>
      <c r="E33" s="20"/>
      <c r="F33" s="19" t="str">
        <f t="shared" si="0"/>
        <v xml:space="preserve"> </v>
      </c>
      <c r="G33" s="19"/>
      <c r="H33" s="19" t="str">
        <f t="shared" si="1"/>
        <v xml:space="preserve"> </v>
      </c>
      <c r="I33" s="17"/>
      <c r="J33" s="20"/>
      <c r="K33" s="21" t="str">
        <f t="shared" si="31"/>
        <v xml:space="preserve"> </v>
      </c>
      <c r="L33" s="20"/>
      <c r="M33" s="20"/>
      <c r="N33" s="20"/>
      <c r="O33" s="20"/>
      <c r="P33" s="21" t="str">
        <f t="shared" ref="P33:P38" si="89">IF(AND(D33=0,E33=0)," ",+L56)</f>
        <v xml:space="preserve"> </v>
      </c>
      <c r="Q33" s="21" t="str">
        <f t="shared" ref="Q33:Q38" si="90">IF(AND(D33=0,E33=0)," ",R56)</f>
        <v xml:space="preserve"> </v>
      </c>
      <c r="R33" s="19" t="str">
        <f t="shared" si="44"/>
        <v xml:space="preserve"> </v>
      </c>
      <c r="S33" s="20"/>
      <c r="T33" s="22" t="s">
        <v>7</v>
      </c>
      <c r="U33" s="2" t="e">
        <f t="shared" si="2"/>
        <v>#DIV/0!</v>
      </c>
      <c r="V33" s="2">
        <f t="shared" si="3"/>
        <v>6.2631578947368413E-2</v>
      </c>
      <c r="W33" s="2" t="e">
        <f t="shared" si="4"/>
        <v>#DIV/0!</v>
      </c>
      <c r="X33" s="2" t="e">
        <f t="shared" si="5"/>
        <v>#DIV/0!</v>
      </c>
      <c r="Y33" s="2" t="e">
        <f t="shared" si="6"/>
        <v>#DIV/0!</v>
      </c>
      <c r="Z33" s="2" t="e">
        <f t="shared" si="7"/>
        <v>#DIV/0!</v>
      </c>
      <c r="AA33" s="2" t="e">
        <f t="shared" si="8"/>
        <v>#DIV/0!</v>
      </c>
      <c r="AB33" s="2" t="e">
        <f t="shared" si="9"/>
        <v>#DIV/0!</v>
      </c>
      <c r="AE33" s="2" t="e">
        <f t="shared" si="10"/>
        <v>#VALUE!</v>
      </c>
      <c r="AF33" s="2">
        <f t="shared" si="11"/>
        <v>0</v>
      </c>
      <c r="AG33" s="2" t="e">
        <f t="shared" si="42"/>
        <v>#VALUE!</v>
      </c>
      <c r="AH33" s="2">
        <f t="shared" si="12"/>
        <v>0</v>
      </c>
      <c r="AI33" s="2" t="e">
        <f t="shared" si="43"/>
        <v>#VALUE!</v>
      </c>
      <c r="AJ33" s="2">
        <f t="shared" si="13"/>
        <v>0</v>
      </c>
      <c r="AK33" s="2" t="e">
        <f>IF(EXACT(#REF!,$S33),$R33,0)</f>
        <v>#REF!</v>
      </c>
      <c r="AL33" s="2">
        <f t="shared" si="14"/>
        <v>0</v>
      </c>
      <c r="AM33" s="2" t="e">
        <f t="shared" si="45"/>
        <v>#VALUE!</v>
      </c>
      <c r="AN33" s="2">
        <f t="shared" si="15"/>
        <v>0</v>
      </c>
      <c r="AO33" s="2" t="e">
        <f t="shared" si="46"/>
        <v>#VALUE!</v>
      </c>
      <c r="AP33" s="2">
        <f t="shared" si="16"/>
        <v>0</v>
      </c>
      <c r="AQ33" s="2" t="e">
        <f t="shared" si="47"/>
        <v>#VALUE!</v>
      </c>
      <c r="AR33" s="2">
        <f t="shared" si="17"/>
        <v>0</v>
      </c>
      <c r="AS33" s="2" t="e">
        <f t="shared" si="48"/>
        <v>#VALUE!</v>
      </c>
      <c r="AT33" s="2">
        <f t="shared" si="18"/>
        <v>0</v>
      </c>
      <c r="AU33" s="2" t="e">
        <f t="shared" si="49"/>
        <v>#VALUE!</v>
      </c>
      <c r="AV33" s="2">
        <f t="shared" si="19"/>
        <v>0</v>
      </c>
      <c r="AW33" s="2" t="e">
        <f t="shared" si="50"/>
        <v>#VALUE!</v>
      </c>
      <c r="AX33" s="2">
        <f t="shared" si="20"/>
        <v>0</v>
      </c>
      <c r="AY33" s="2" t="e">
        <f t="shared" si="51"/>
        <v>#VALUE!</v>
      </c>
      <c r="AZ33" s="2">
        <f t="shared" si="21"/>
        <v>0</v>
      </c>
      <c r="BA33" s="2" t="e">
        <f t="shared" si="52"/>
        <v>#VALUE!</v>
      </c>
      <c r="BB33" s="2">
        <f t="shared" si="22"/>
        <v>0</v>
      </c>
      <c r="BC33" s="2" t="e">
        <f t="shared" si="53"/>
        <v>#VALUE!</v>
      </c>
      <c r="BD33" s="2">
        <f t="shared" si="23"/>
        <v>0</v>
      </c>
      <c r="BE33" s="2" t="e">
        <f t="shared" si="54"/>
        <v>#VALUE!</v>
      </c>
      <c r="BF33" s="2">
        <f t="shared" si="24"/>
        <v>0</v>
      </c>
      <c r="BG33" s="2" t="e">
        <f t="shared" si="55"/>
        <v>#VALUE!</v>
      </c>
      <c r="BH33" s="2">
        <f t="shared" si="25"/>
        <v>0</v>
      </c>
      <c r="BI33" s="2" t="e">
        <f t="shared" si="56"/>
        <v>#VALUE!</v>
      </c>
      <c r="BJ33" s="2">
        <f t="shared" si="26"/>
        <v>0</v>
      </c>
      <c r="BK33" s="2" t="e">
        <f t="shared" si="57"/>
        <v>#VALUE!</v>
      </c>
      <c r="BL33" s="2">
        <f t="shared" si="27"/>
        <v>0</v>
      </c>
      <c r="BM33" s="2" t="e">
        <f t="shared" si="58"/>
        <v>#VALUE!</v>
      </c>
      <c r="BN33" s="2">
        <f t="shared" si="28"/>
        <v>0</v>
      </c>
      <c r="BO33" s="2" t="e">
        <f t="shared" si="59"/>
        <v>#VALUE!</v>
      </c>
      <c r="BP33" s="2">
        <f t="shared" si="29"/>
        <v>0</v>
      </c>
      <c r="BQ33" s="2" t="e">
        <f t="shared" si="60"/>
        <v>#VALUE!</v>
      </c>
      <c r="BR33" s="2">
        <f t="shared" si="30"/>
        <v>0</v>
      </c>
    </row>
    <row r="34" spans="1:70">
      <c r="A34" s="24"/>
      <c r="B34" s="20"/>
      <c r="C34" s="17"/>
      <c r="D34" s="20"/>
      <c r="E34" s="20"/>
      <c r="F34" s="19" t="str">
        <f t="shared" si="0"/>
        <v xml:space="preserve"> </v>
      </c>
      <c r="G34" s="19"/>
      <c r="H34" s="19" t="str">
        <f t="shared" si="1"/>
        <v xml:space="preserve"> </v>
      </c>
      <c r="I34" s="17"/>
      <c r="J34" s="20"/>
      <c r="K34" s="21" t="str">
        <f t="shared" si="31"/>
        <v xml:space="preserve"> </v>
      </c>
      <c r="L34" s="20"/>
      <c r="M34" s="20"/>
      <c r="N34" s="20"/>
      <c r="O34" s="20"/>
      <c r="P34" s="21" t="str">
        <f t="shared" si="89"/>
        <v xml:space="preserve"> </v>
      </c>
      <c r="Q34" s="21" t="str">
        <f t="shared" si="90"/>
        <v xml:space="preserve"> </v>
      </c>
      <c r="R34" s="19" t="str">
        <f t="shared" si="44"/>
        <v xml:space="preserve"> </v>
      </c>
      <c r="S34" s="20"/>
      <c r="T34" s="22" t="s">
        <v>7</v>
      </c>
      <c r="U34" s="2" t="e">
        <f t="shared" si="2"/>
        <v>#DIV/0!</v>
      </c>
      <c r="V34" s="2">
        <f t="shared" si="3"/>
        <v>6.2631578947368413E-2</v>
      </c>
      <c r="W34" s="2" t="e">
        <f t="shared" si="4"/>
        <v>#DIV/0!</v>
      </c>
      <c r="X34" s="2" t="e">
        <f t="shared" si="5"/>
        <v>#DIV/0!</v>
      </c>
      <c r="Y34" s="2" t="e">
        <f t="shared" si="6"/>
        <v>#DIV/0!</v>
      </c>
      <c r="Z34" s="2" t="e">
        <f t="shared" si="7"/>
        <v>#DIV/0!</v>
      </c>
      <c r="AA34" s="2" t="e">
        <f t="shared" si="8"/>
        <v>#DIV/0!</v>
      </c>
      <c r="AB34" s="2" t="e">
        <f t="shared" si="9"/>
        <v>#DIV/0!</v>
      </c>
      <c r="AE34" s="2" t="e">
        <f t="shared" si="10"/>
        <v>#VALUE!</v>
      </c>
      <c r="AF34" s="2">
        <f t="shared" si="11"/>
        <v>0</v>
      </c>
      <c r="AG34" s="2" t="e">
        <f t="shared" si="42"/>
        <v>#VALUE!</v>
      </c>
      <c r="AH34" s="2">
        <f t="shared" si="12"/>
        <v>0</v>
      </c>
      <c r="AI34" s="2" t="e">
        <f t="shared" si="43"/>
        <v>#VALUE!</v>
      </c>
      <c r="AJ34" s="2">
        <f t="shared" si="13"/>
        <v>0</v>
      </c>
      <c r="AK34" s="2" t="e">
        <f>IF(EXACT(#REF!,$S34),$R34,0)</f>
        <v>#REF!</v>
      </c>
      <c r="AL34" s="2">
        <f t="shared" si="14"/>
        <v>0</v>
      </c>
      <c r="AM34" s="2" t="e">
        <f t="shared" si="45"/>
        <v>#VALUE!</v>
      </c>
      <c r="AN34" s="2">
        <f t="shared" si="15"/>
        <v>0</v>
      </c>
      <c r="AO34" s="2" t="e">
        <f t="shared" si="46"/>
        <v>#VALUE!</v>
      </c>
      <c r="AP34" s="2">
        <f t="shared" si="16"/>
        <v>0</v>
      </c>
      <c r="AQ34" s="2" t="e">
        <f t="shared" si="47"/>
        <v>#VALUE!</v>
      </c>
      <c r="AR34" s="2">
        <f t="shared" si="17"/>
        <v>0</v>
      </c>
      <c r="AS34" s="2" t="e">
        <f t="shared" si="48"/>
        <v>#VALUE!</v>
      </c>
      <c r="AT34" s="2">
        <f t="shared" si="18"/>
        <v>0</v>
      </c>
      <c r="AU34" s="2" t="e">
        <f t="shared" si="49"/>
        <v>#VALUE!</v>
      </c>
      <c r="AV34" s="2">
        <f t="shared" si="19"/>
        <v>0</v>
      </c>
      <c r="AW34" s="2" t="e">
        <f t="shared" si="50"/>
        <v>#VALUE!</v>
      </c>
      <c r="AX34" s="2">
        <f t="shared" si="20"/>
        <v>0</v>
      </c>
      <c r="AY34" s="2" t="e">
        <f t="shared" si="51"/>
        <v>#VALUE!</v>
      </c>
      <c r="AZ34" s="2">
        <f t="shared" si="21"/>
        <v>0</v>
      </c>
      <c r="BA34" s="2" t="e">
        <f t="shared" si="52"/>
        <v>#VALUE!</v>
      </c>
      <c r="BB34" s="2">
        <f t="shared" si="22"/>
        <v>0</v>
      </c>
      <c r="BC34" s="2" t="e">
        <f t="shared" si="53"/>
        <v>#VALUE!</v>
      </c>
      <c r="BD34" s="2">
        <f t="shared" si="23"/>
        <v>0</v>
      </c>
      <c r="BE34" s="2" t="e">
        <f t="shared" si="54"/>
        <v>#VALUE!</v>
      </c>
      <c r="BF34" s="2">
        <f t="shared" si="24"/>
        <v>0</v>
      </c>
      <c r="BG34" s="2" t="e">
        <f t="shared" si="55"/>
        <v>#VALUE!</v>
      </c>
      <c r="BH34" s="2">
        <f t="shared" si="25"/>
        <v>0</v>
      </c>
      <c r="BI34" s="2" t="e">
        <f t="shared" si="56"/>
        <v>#VALUE!</v>
      </c>
      <c r="BJ34" s="2">
        <f t="shared" si="26"/>
        <v>0</v>
      </c>
      <c r="BK34" s="2" t="e">
        <f t="shared" si="57"/>
        <v>#VALUE!</v>
      </c>
      <c r="BL34" s="2">
        <f t="shared" si="27"/>
        <v>0</v>
      </c>
      <c r="BM34" s="2" t="e">
        <f t="shared" si="58"/>
        <v>#VALUE!</v>
      </c>
      <c r="BN34" s="2">
        <f t="shared" si="28"/>
        <v>0</v>
      </c>
      <c r="BO34" s="2" t="e">
        <f t="shared" si="59"/>
        <v>#VALUE!</v>
      </c>
      <c r="BP34" s="2">
        <f t="shared" si="29"/>
        <v>0</v>
      </c>
      <c r="BQ34" s="2" t="e">
        <f t="shared" si="60"/>
        <v>#VALUE!</v>
      </c>
      <c r="BR34" s="2">
        <f t="shared" si="30"/>
        <v>0</v>
      </c>
    </row>
    <row r="35" spans="1:70">
      <c r="A35" s="24"/>
      <c r="B35" s="20"/>
      <c r="C35" s="17"/>
      <c r="D35" s="20"/>
      <c r="E35" s="20"/>
      <c r="F35" s="19" t="str">
        <f t="shared" si="0"/>
        <v xml:space="preserve"> </v>
      </c>
      <c r="G35" s="19"/>
      <c r="H35" s="19" t="str">
        <f t="shared" si="1"/>
        <v xml:space="preserve"> </v>
      </c>
      <c r="I35" s="17"/>
      <c r="J35" s="20"/>
      <c r="K35" s="21" t="str">
        <f t="shared" si="31"/>
        <v xml:space="preserve"> </v>
      </c>
      <c r="L35" s="20"/>
      <c r="M35" s="20"/>
      <c r="N35" s="20"/>
      <c r="O35" s="20"/>
      <c r="P35" s="21" t="str">
        <f t="shared" si="89"/>
        <v xml:space="preserve"> </v>
      </c>
      <c r="Q35" s="21" t="str">
        <f t="shared" si="90"/>
        <v xml:space="preserve"> </v>
      </c>
      <c r="R35" s="19" t="str">
        <f t="shared" si="44"/>
        <v xml:space="preserve"> </v>
      </c>
      <c r="S35" s="20"/>
      <c r="T35" s="22" t="s">
        <v>7</v>
      </c>
      <c r="U35" s="2" t="e">
        <f t="shared" si="2"/>
        <v>#DIV/0!</v>
      </c>
      <c r="V35" s="2">
        <f t="shared" si="3"/>
        <v>6.2631578947368413E-2</v>
      </c>
      <c r="W35" s="2" t="e">
        <f t="shared" si="4"/>
        <v>#DIV/0!</v>
      </c>
      <c r="X35" s="2" t="e">
        <f t="shared" si="5"/>
        <v>#DIV/0!</v>
      </c>
      <c r="Y35" s="2" t="e">
        <f t="shared" si="6"/>
        <v>#DIV/0!</v>
      </c>
      <c r="Z35" s="2" t="e">
        <f t="shared" si="7"/>
        <v>#DIV/0!</v>
      </c>
      <c r="AA35" s="2" t="e">
        <f t="shared" si="8"/>
        <v>#DIV/0!</v>
      </c>
      <c r="AB35" s="2" t="e">
        <f t="shared" si="9"/>
        <v>#DIV/0!</v>
      </c>
      <c r="AE35" s="2" t="e">
        <f t="shared" si="10"/>
        <v>#VALUE!</v>
      </c>
      <c r="AF35" s="2">
        <f t="shared" si="11"/>
        <v>0</v>
      </c>
      <c r="AG35" s="2" t="e">
        <f t="shared" si="42"/>
        <v>#VALUE!</v>
      </c>
      <c r="AH35" s="2">
        <f t="shared" si="12"/>
        <v>0</v>
      </c>
      <c r="AI35" s="2" t="e">
        <f t="shared" si="43"/>
        <v>#VALUE!</v>
      </c>
      <c r="AJ35" s="2">
        <f t="shared" si="13"/>
        <v>0</v>
      </c>
      <c r="AK35" s="2" t="e">
        <f>IF(EXACT(#REF!,$S35),$R35,0)</f>
        <v>#REF!</v>
      </c>
      <c r="AL35" s="2">
        <f t="shared" si="14"/>
        <v>0</v>
      </c>
      <c r="AM35" s="2" t="e">
        <f t="shared" si="45"/>
        <v>#VALUE!</v>
      </c>
      <c r="AN35" s="2">
        <f t="shared" si="15"/>
        <v>0</v>
      </c>
      <c r="AO35" s="2" t="e">
        <f t="shared" si="46"/>
        <v>#VALUE!</v>
      </c>
      <c r="AP35" s="2">
        <f t="shared" si="16"/>
        <v>0</v>
      </c>
      <c r="AQ35" s="2" t="e">
        <f t="shared" si="47"/>
        <v>#VALUE!</v>
      </c>
      <c r="AR35" s="2">
        <f t="shared" si="17"/>
        <v>0</v>
      </c>
      <c r="AS35" s="2" t="e">
        <f t="shared" si="48"/>
        <v>#VALUE!</v>
      </c>
      <c r="AT35" s="2">
        <f t="shared" si="18"/>
        <v>0</v>
      </c>
      <c r="AU35" s="2" t="e">
        <f t="shared" si="49"/>
        <v>#VALUE!</v>
      </c>
      <c r="AV35" s="2">
        <f t="shared" si="19"/>
        <v>0</v>
      </c>
      <c r="AW35" s="2" t="e">
        <f t="shared" si="50"/>
        <v>#VALUE!</v>
      </c>
      <c r="AX35" s="2">
        <f t="shared" si="20"/>
        <v>0</v>
      </c>
      <c r="AY35" s="2" t="e">
        <f t="shared" si="51"/>
        <v>#VALUE!</v>
      </c>
      <c r="AZ35" s="2">
        <f t="shared" si="21"/>
        <v>0</v>
      </c>
      <c r="BA35" s="2" t="e">
        <f t="shared" si="52"/>
        <v>#VALUE!</v>
      </c>
      <c r="BB35" s="2">
        <f t="shared" si="22"/>
        <v>0</v>
      </c>
      <c r="BC35" s="2" t="e">
        <f t="shared" si="53"/>
        <v>#VALUE!</v>
      </c>
      <c r="BD35" s="2">
        <f t="shared" si="23"/>
        <v>0</v>
      </c>
      <c r="BE35" s="2" t="e">
        <f t="shared" si="54"/>
        <v>#VALUE!</v>
      </c>
      <c r="BF35" s="2">
        <f t="shared" si="24"/>
        <v>0</v>
      </c>
      <c r="BG35" s="2" t="e">
        <f t="shared" si="55"/>
        <v>#VALUE!</v>
      </c>
      <c r="BH35" s="2">
        <f t="shared" si="25"/>
        <v>0</v>
      </c>
      <c r="BI35" s="2" t="e">
        <f t="shared" si="56"/>
        <v>#VALUE!</v>
      </c>
      <c r="BJ35" s="2">
        <f t="shared" si="26"/>
        <v>0</v>
      </c>
      <c r="BK35" s="2" t="e">
        <f t="shared" si="57"/>
        <v>#VALUE!</v>
      </c>
      <c r="BL35" s="2">
        <f t="shared" si="27"/>
        <v>0</v>
      </c>
      <c r="BM35" s="2" t="e">
        <f t="shared" si="58"/>
        <v>#VALUE!</v>
      </c>
      <c r="BN35" s="2">
        <f t="shared" si="28"/>
        <v>0</v>
      </c>
      <c r="BO35" s="2" t="e">
        <f t="shared" si="59"/>
        <v>#VALUE!</v>
      </c>
      <c r="BP35" s="2">
        <f t="shared" si="29"/>
        <v>0</v>
      </c>
      <c r="BQ35" s="2" t="e">
        <f t="shared" si="60"/>
        <v>#VALUE!</v>
      </c>
      <c r="BR35" s="2">
        <f t="shared" si="30"/>
        <v>0</v>
      </c>
    </row>
    <row r="36" spans="1:70">
      <c r="A36" s="24"/>
      <c r="B36" s="20"/>
      <c r="C36" s="17"/>
      <c r="D36" s="20"/>
      <c r="E36" s="20"/>
      <c r="F36" s="19" t="str">
        <f t="shared" si="0"/>
        <v xml:space="preserve"> </v>
      </c>
      <c r="G36" s="19"/>
      <c r="H36" s="19" t="str">
        <f t="shared" si="1"/>
        <v xml:space="preserve"> </v>
      </c>
      <c r="I36" s="17"/>
      <c r="J36" s="20"/>
      <c r="K36" s="21" t="str">
        <f t="shared" si="31"/>
        <v xml:space="preserve"> </v>
      </c>
      <c r="L36" s="20"/>
      <c r="M36" s="20"/>
      <c r="N36" s="20"/>
      <c r="O36" s="20"/>
      <c r="P36" s="21" t="str">
        <f t="shared" si="89"/>
        <v xml:space="preserve"> </v>
      </c>
      <c r="Q36" s="21" t="str">
        <f t="shared" si="90"/>
        <v xml:space="preserve"> </v>
      </c>
      <c r="R36" s="19" t="str">
        <f t="shared" si="44"/>
        <v xml:space="preserve"> </v>
      </c>
      <c r="S36" s="20"/>
      <c r="T36" s="22" t="s">
        <v>7</v>
      </c>
      <c r="U36" s="2" t="e">
        <f t="shared" si="2"/>
        <v>#DIV/0!</v>
      </c>
      <c r="V36" s="2">
        <f t="shared" si="3"/>
        <v>6.2631578947368413E-2</v>
      </c>
      <c r="W36" s="2" t="e">
        <f t="shared" si="4"/>
        <v>#DIV/0!</v>
      </c>
      <c r="X36" s="2" t="e">
        <f t="shared" si="5"/>
        <v>#DIV/0!</v>
      </c>
      <c r="Y36" s="2" t="e">
        <f t="shared" si="6"/>
        <v>#DIV/0!</v>
      </c>
      <c r="Z36" s="2" t="e">
        <f t="shared" si="7"/>
        <v>#DIV/0!</v>
      </c>
      <c r="AA36" s="2" t="e">
        <f t="shared" si="8"/>
        <v>#DIV/0!</v>
      </c>
      <c r="AB36" s="2" t="e">
        <f t="shared" si="9"/>
        <v>#DIV/0!</v>
      </c>
      <c r="AE36" s="2" t="e">
        <f t="shared" si="10"/>
        <v>#VALUE!</v>
      </c>
      <c r="AF36" s="2">
        <f t="shared" si="11"/>
        <v>0</v>
      </c>
      <c r="AG36" s="2" t="e">
        <f t="shared" si="42"/>
        <v>#VALUE!</v>
      </c>
      <c r="AH36" s="2">
        <f t="shared" si="12"/>
        <v>0</v>
      </c>
      <c r="AI36" s="2" t="e">
        <f t="shared" si="43"/>
        <v>#VALUE!</v>
      </c>
      <c r="AJ36" s="2">
        <f t="shared" si="13"/>
        <v>0</v>
      </c>
      <c r="AK36" s="2" t="e">
        <f>IF(EXACT(#REF!,$S36),$R36,0)</f>
        <v>#REF!</v>
      </c>
      <c r="AL36" s="2">
        <f t="shared" si="14"/>
        <v>0</v>
      </c>
      <c r="AM36" s="2" t="e">
        <f t="shared" si="45"/>
        <v>#VALUE!</v>
      </c>
      <c r="AN36" s="2">
        <f t="shared" si="15"/>
        <v>0</v>
      </c>
      <c r="AO36" s="2" t="e">
        <f t="shared" si="46"/>
        <v>#VALUE!</v>
      </c>
      <c r="AP36" s="2">
        <f t="shared" si="16"/>
        <v>0</v>
      </c>
      <c r="AQ36" s="2" t="e">
        <f t="shared" si="47"/>
        <v>#VALUE!</v>
      </c>
      <c r="AR36" s="2">
        <f t="shared" si="17"/>
        <v>0</v>
      </c>
      <c r="AS36" s="2" t="e">
        <f t="shared" si="48"/>
        <v>#VALUE!</v>
      </c>
      <c r="AT36" s="2">
        <f t="shared" si="18"/>
        <v>0</v>
      </c>
      <c r="AU36" s="2" t="e">
        <f t="shared" si="49"/>
        <v>#VALUE!</v>
      </c>
      <c r="AV36" s="2">
        <f t="shared" si="19"/>
        <v>0</v>
      </c>
      <c r="AW36" s="2" t="e">
        <f t="shared" si="50"/>
        <v>#VALUE!</v>
      </c>
      <c r="AX36" s="2">
        <f t="shared" si="20"/>
        <v>0</v>
      </c>
      <c r="AY36" s="2" t="e">
        <f t="shared" si="51"/>
        <v>#VALUE!</v>
      </c>
      <c r="AZ36" s="2">
        <f t="shared" si="21"/>
        <v>0</v>
      </c>
      <c r="BA36" s="2" t="e">
        <f t="shared" si="52"/>
        <v>#VALUE!</v>
      </c>
      <c r="BB36" s="2">
        <f t="shared" si="22"/>
        <v>0</v>
      </c>
      <c r="BC36" s="2" t="e">
        <f t="shared" si="53"/>
        <v>#VALUE!</v>
      </c>
      <c r="BD36" s="2">
        <f t="shared" si="23"/>
        <v>0</v>
      </c>
      <c r="BE36" s="2" t="e">
        <f t="shared" si="54"/>
        <v>#VALUE!</v>
      </c>
      <c r="BF36" s="2">
        <f t="shared" si="24"/>
        <v>0</v>
      </c>
      <c r="BG36" s="2" t="e">
        <f t="shared" si="55"/>
        <v>#VALUE!</v>
      </c>
      <c r="BH36" s="2">
        <f t="shared" si="25"/>
        <v>0</v>
      </c>
      <c r="BI36" s="2" t="e">
        <f t="shared" si="56"/>
        <v>#VALUE!</v>
      </c>
      <c r="BJ36" s="2">
        <f t="shared" si="26"/>
        <v>0</v>
      </c>
      <c r="BK36" s="2" t="e">
        <f t="shared" si="57"/>
        <v>#VALUE!</v>
      </c>
      <c r="BL36" s="2">
        <f t="shared" si="27"/>
        <v>0</v>
      </c>
      <c r="BM36" s="2" t="e">
        <f t="shared" si="58"/>
        <v>#VALUE!</v>
      </c>
      <c r="BN36" s="2">
        <f t="shared" si="28"/>
        <v>0</v>
      </c>
      <c r="BO36" s="2" t="e">
        <f t="shared" si="59"/>
        <v>#VALUE!</v>
      </c>
      <c r="BP36" s="2">
        <f t="shared" si="29"/>
        <v>0</v>
      </c>
      <c r="BQ36" s="2" t="e">
        <f t="shared" si="60"/>
        <v>#VALUE!</v>
      </c>
      <c r="BR36" s="2">
        <f t="shared" si="30"/>
        <v>0</v>
      </c>
    </row>
    <row r="37" spans="1:70">
      <c r="A37" s="24"/>
      <c r="B37" s="20"/>
      <c r="C37" s="17"/>
      <c r="D37" s="20"/>
      <c r="E37" s="20"/>
      <c r="F37" s="19" t="str">
        <f t="shared" si="0"/>
        <v xml:space="preserve"> </v>
      </c>
      <c r="G37" s="19"/>
      <c r="H37" s="19" t="str">
        <f t="shared" si="1"/>
        <v xml:space="preserve"> </v>
      </c>
      <c r="I37" s="17"/>
      <c r="J37" s="20"/>
      <c r="K37" s="21" t="str">
        <f t="shared" si="31"/>
        <v xml:space="preserve"> </v>
      </c>
      <c r="L37" s="20"/>
      <c r="M37" s="20"/>
      <c r="N37" s="20"/>
      <c r="O37" s="20"/>
      <c r="P37" s="21" t="str">
        <f t="shared" si="89"/>
        <v xml:space="preserve"> </v>
      </c>
      <c r="Q37" s="21" t="str">
        <f t="shared" si="90"/>
        <v xml:space="preserve"> </v>
      </c>
      <c r="R37" s="19" t="str">
        <f t="shared" si="44"/>
        <v xml:space="preserve"> </v>
      </c>
      <c r="S37" s="20"/>
      <c r="T37" s="22" t="s">
        <v>7</v>
      </c>
      <c r="U37" s="2" t="e">
        <f t="shared" si="2"/>
        <v>#DIV/0!</v>
      </c>
      <c r="V37" s="2">
        <f t="shared" si="3"/>
        <v>6.2631578947368413E-2</v>
      </c>
      <c r="W37" s="2" t="e">
        <f t="shared" si="4"/>
        <v>#DIV/0!</v>
      </c>
      <c r="X37" s="2" t="e">
        <f t="shared" si="5"/>
        <v>#DIV/0!</v>
      </c>
      <c r="Y37" s="2" t="e">
        <f t="shared" si="6"/>
        <v>#DIV/0!</v>
      </c>
      <c r="Z37" s="2" t="e">
        <f t="shared" si="7"/>
        <v>#DIV/0!</v>
      </c>
      <c r="AA37" s="2" t="e">
        <f t="shared" si="8"/>
        <v>#DIV/0!</v>
      </c>
      <c r="AB37" s="2" t="e">
        <f t="shared" si="9"/>
        <v>#DIV/0!</v>
      </c>
      <c r="AE37" s="2" t="e">
        <f t="shared" si="10"/>
        <v>#VALUE!</v>
      </c>
      <c r="AF37" s="2">
        <f t="shared" si="11"/>
        <v>0</v>
      </c>
      <c r="AG37" s="2" t="e">
        <f t="shared" si="42"/>
        <v>#VALUE!</v>
      </c>
      <c r="AH37" s="2">
        <f t="shared" si="12"/>
        <v>0</v>
      </c>
      <c r="AI37" s="2" t="e">
        <f t="shared" si="43"/>
        <v>#VALUE!</v>
      </c>
      <c r="AJ37" s="2">
        <f t="shared" si="13"/>
        <v>0</v>
      </c>
      <c r="AK37" s="2" t="e">
        <f>IF(EXACT(#REF!,$S37),$R37,0)</f>
        <v>#REF!</v>
      </c>
      <c r="AL37" s="2">
        <f t="shared" si="14"/>
        <v>0</v>
      </c>
      <c r="AM37" s="2" t="e">
        <f t="shared" si="45"/>
        <v>#VALUE!</v>
      </c>
      <c r="AN37" s="2">
        <f t="shared" si="15"/>
        <v>0</v>
      </c>
      <c r="AO37" s="2" t="e">
        <f t="shared" si="46"/>
        <v>#VALUE!</v>
      </c>
      <c r="AP37" s="2">
        <f t="shared" si="16"/>
        <v>0</v>
      </c>
      <c r="AQ37" s="2" t="e">
        <f t="shared" si="47"/>
        <v>#VALUE!</v>
      </c>
      <c r="AR37" s="2">
        <f t="shared" si="17"/>
        <v>0</v>
      </c>
      <c r="AS37" s="2" t="e">
        <f t="shared" si="48"/>
        <v>#VALUE!</v>
      </c>
      <c r="AT37" s="2">
        <f t="shared" si="18"/>
        <v>0</v>
      </c>
      <c r="AU37" s="2" t="e">
        <f t="shared" si="49"/>
        <v>#VALUE!</v>
      </c>
      <c r="AV37" s="2">
        <f t="shared" si="19"/>
        <v>0</v>
      </c>
      <c r="AW37" s="2" t="e">
        <f t="shared" si="50"/>
        <v>#VALUE!</v>
      </c>
      <c r="AX37" s="2">
        <f t="shared" si="20"/>
        <v>0</v>
      </c>
      <c r="AY37" s="2" t="e">
        <f t="shared" si="51"/>
        <v>#VALUE!</v>
      </c>
      <c r="AZ37" s="2">
        <f t="shared" si="21"/>
        <v>0</v>
      </c>
      <c r="BA37" s="2" t="e">
        <f t="shared" si="52"/>
        <v>#VALUE!</v>
      </c>
      <c r="BB37" s="2">
        <f t="shared" si="22"/>
        <v>0</v>
      </c>
      <c r="BC37" s="2" t="e">
        <f t="shared" si="53"/>
        <v>#VALUE!</v>
      </c>
      <c r="BD37" s="2">
        <f t="shared" si="23"/>
        <v>0</v>
      </c>
      <c r="BE37" s="2" t="e">
        <f t="shared" si="54"/>
        <v>#VALUE!</v>
      </c>
      <c r="BF37" s="2">
        <f t="shared" si="24"/>
        <v>0</v>
      </c>
      <c r="BG37" s="2" t="e">
        <f t="shared" si="55"/>
        <v>#VALUE!</v>
      </c>
      <c r="BH37" s="2">
        <f t="shared" si="25"/>
        <v>0</v>
      </c>
      <c r="BI37" s="2" t="e">
        <f t="shared" si="56"/>
        <v>#VALUE!</v>
      </c>
      <c r="BJ37" s="2">
        <f t="shared" si="26"/>
        <v>0</v>
      </c>
      <c r="BK37" s="2" t="e">
        <f t="shared" si="57"/>
        <v>#VALUE!</v>
      </c>
      <c r="BL37" s="2">
        <f t="shared" si="27"/>
        <v>0</v>
      </c>
      <c r="BM37" s="2" t="e">
        <f t="shared" si="58"/>
        <v>#VALUE!</v>
      </c>
      <c r="BN37" s="2">
        <f t="shared" si="28"/>
        <v>0</v>
      </c>
      <c r="BO37" s="2" t="e">
        <f t="shared" si="59"/>
        <v>#VALUE!</v>
      </c>
      <c r="BP37" s="2">
        <f t="shared" si="29"/>
        <v>0</v>
      </c>
      <c r="BQ37" s="2" t="e">
        <f t="shared" si="60"/>
        <v>#VALUE!</v>
      </c>
      <c r="BR37" s="2">
        <f t="shared" si="30"/>
        <v>0</v>
      </c>
    </row>
    <row r="38" spans="1:70">
      <c r="A38" s="25"/>
      <c r="B38" s="26"/>
      <c r="C38" s="26"/>
      <c r="D38" s="26"/>
      <c r="E38" s="26"/>
      <c r="F38" s="19" t="str">
        <f t="shared" si="0"/>
        <v xml:space="preserve"> </v>
      </c>
      <c r="G38" s="19" t="str">
        <f>IF(AND(D38=0,E38=0)," ",BR40)</f>
        <v xml:space="preserve"> </v>
      </c>
      <c r="H38" s="19" t="str">
        <f t="shared" si="1"/>
        <v xml:space="preserve"> </v>
      </c>
      <c r="I38" s="26"/>
      <c r="J38" s="26"/>
      <c r="K38" s="21" t="str">
        <f t="shared" si="31"/>
        <v xml:space="preserve"> </v>
      </c>
      <c r="L38" s="26"/>
      <c r="M38" s="26"/>
      <c r="N38" s="26"/>
      <c r="O38" s="26"/>
      <c r="P38" s="21" t="str">
        <f t="shared" si="89"/>
        <v xml:space="preserve"> </v>
      </c>
      <c r="Q38" s="21" t="str">
        <f t="shared" si="90"/>
        <v xml:space="preserve"> </v>
      </c>
      <c r="R38" s="19" t="str">
        <f t="shared" si="44"/>
        <v xml:space="preserve"> </v>
      </c>
      <c r="S38" s="23" t="s">
        <v>7</v>
      </c>
      <c r="T38" s="22" t="s">
        <v>7</v>
      </c>
      <c r="U38" s="2" t="e">
        <f t="shared" si="2"/>
        <v>#DIV/0!</v>
      </c>
      <c r="V38" s="2">
        <f t="shared" si="3"/>
        <v>6.2631578947368413E-2</v>
      </c>
      <c r="W38" s="2" t="e">
        <f t="shared" si="4"/>
        <v>#DIV/0!</v>
      </c>
      <c r="X38" s="2" t="e">
        <f t="shared" si="5"/>
        <v>#DIV/0!</v>
      </c>
      <c r="Y38" s="2" t="e">
        <f t="shared" si="6"/>
        <v>#DIV/0!</v>
      </c>
      <c r="Z38" s="2" t="e">
        <f t="shared" si="7"/>
        <v>#DIV/0!</v>
      </c>
      <c r="AA38" s="2" t="e">
        <f t="shared" si="8"/>
        <v>#DIV/0!</v>
      </c>
      <c r="AB38" s="2" t="e">
        <f t="shared" si="9"/>
        <v>#DIV/0!</v>
      </c>
      <c r="AE38" s="2">
        <f t="shared" si="10"/>
        <v>0</v>
      </c>
      <c r="AF38" s="2">
        <f t="shared" si="11"/>
        <v>0</v>
      </c>
      <c r="AG38" s="2" t="e">
        <f t="shared" si="42"/>
        <v>#VALUE!</v>
      </c>
      <c r="AH38" s="2">
        <f t="shared" si="12"/>
        <v>0</v>
      </c>
      <c r="AI38" s="2">
        <f t="shared" si="43"/>
        <v>0</v>
      </c>
      <c r="AJ38" s="2">
        <f t="shared" si="13"/>
        <v>0</v>
      </c>
      <c r="AK38" s="2" t="e">
        <f>IF(EXACT(#REF!,$S38),$R38,0)</f>
        <v>#REF!</v>
      </c>
      <c r="AL38" s="2">
        <f t="shared" si="14"/>
        <v>0</v>
      </c>
      <c r="AM38" s="2">
        <f t="shared" si="45"/>
        <v>0</v>
      </c>
      <c r="AN38" s="2">
        <f t="shared" si="15"/>
        <v>0</v>
      </c>
      <c r="AO38" s="2">
        <f t="shared" si="46"/>
        <v>0</v>
      </c>
      <c r="AP38" s="2">
        <f t="shared" si="16"/>
        <v>0</v>
      </c>
      <c r="AQ38" s="2" t="e">
        <f t="shared" si="47"/>
        <v>#VALUE!</v>
      </c>
      <c r="AR38" s="2">
        <f t="shared" si="17"/>
        <v>0</v>
      </c>
      <c r="AS38" s="2">
        <f t="shared" si="48"/>
        <v>0</v>
      </c>
      <c r="AT38" s="2">
        <f t="shared" si="18"/>
        <v>0</v>
      </c>
      <c r="AU38" s="2">
        <f t="shared" si="49"/>
        <v>0</v>
      </c>
      <c r="AV38" s="2">
        <f t="shared" si="19"/>
        <v>0</v>
      </c>
      <c r="AW38" s="2" t="e">
        <f t="shared" si="50"/>
        <v>#VALUE!</v>
      </c>
      <c r="AX38" s="2">
        <f t="shared" si="20"/>
        <v>0</v>
      </c>
      <c r="AY38" s="2" t="e">
        <f t="shared" si="51"/>
        <v>#VALUE!</v>
      </c>
      <c r="AZ38" s="2">
        <f t="shared" si="21"/>
        <v>0</v>
      </c>
      <c r="BA38" s="2" t="e">
        <f t="shared" si="52"/>
        <v>#VALUE!</v>
      </c>
      <c r="BB38" s="2">
        <f t="shared" si="22"/>
        <v>0</v>
      </c>
      <c r="BC38" s="2" t="e">
        <f t="shared" si="53"/>
        <v>#VALUE!</v>
      </c>
      <c r="BD38" s="2">
        <f t="shared" si="23"/>
        <v>0</v>
      </c>
      <c r="BE38" s="2">
        <f t="shared" si="54"/>
        <v>0</v>
      </c>
      <c r="BF38" s="2">
        <f t="shared" si="24"/>
        <v>0</v>
      </c>
      <c r="BG38" s="2" t="e">
        <f t="shared" si="55"/>
        <v>#VALUE!</v>
      </c>
      <c r="BH38" s="2">
        <f t="shared" si="25"/>
        <v>0</v>
      </c>
      <c r="BI38" s="2" t="e">
        <f t="shared" si="56"/>
        <v>#VALUE!</v>
      </c>
      <c r="BJ38" s="2">
        <f t="shared" si="26"/>
        <v>0</v>
      </c>
      <c r="BK38" s="2" t="e">
        <f t="shared" si="57"/>
        <v>#VALUE!</v>
      </c>
      <c r="BL38" s="2">
        <f t="shared" si="27"/>
        <v>0</v>
      </c>
      <c r="BM38" s="2" t="e">
        <f t="shared" si="58"/>
        <v>#VALUE!</v>
      </c>
      <c r="BN38" s="2">
        <f t="shared" si="28"/>
        <v>0</v>
      </c>
      <c r="BO38" s="2" t="e">
        <f t="shared" si="59"/>
        <v>#VALUE!</v>
      </c>
      <c r="BP38" s="2">
        <f t="shared" si="29"/>
        <v>0</v>
      </c>
      <c r="BQ38" s="2" t="e">
        <f t="shared" si="60"/>
        <v>#VALUE!</v>
      </c>
      <c r="BR38" s="2">
        <f t="shared" si="30"/>
        <v>0</v>
      </c>
    </row>
    <row r="39" spans="1:70" ht="15.75" thickBot="1"/>
    <row r="40" spans="1:70" ht="15.75" thickTop="1">
      <c r="D40" s="27" t="s">
        <v>92</v>
      </c>
      <c r="E40" s="28"/>
      <c r="F40" s="28"/>
      <c r="G40" s="28"/>
      <c r="H40" s="29"/>
      <c r="L40" s="3" t="s">
        <v>93</v>
      </c>
      <c r="P40" s="3" t="s">
        <v>93</v>
      </c>
      <c r="Q40" s="3" t="s">
        <v>93</v>
      </c>
      <c r="R40" s="3" t="s">
        <v>94</v>
      </c>
      <c r="AF40" s="2">
        <f>SUM(AF11:AF38)</f>
        <v>0</v>
      </c>
      <c r="AH40" s="2">
        <f>SUM(AH11:AH38)</f>
        <v>0</v>
      </c>
      <c r="AJ40" s="2">
        <f>SUM(AJ11:AJ38)</f>
        <v>0</v>
      </c>
      <c r="AL40" s="2">
        <f>SUM(AL11:AL38)</f>
        <v>0</v>
      </c>
      <c r="AN40" s="2">
        <f>SUM(AN11:AN38)</f>
        <v>0</v>
      </c>
      <c r="AP40" s="2">
        <f>SUM(AP11:AP38)</f>
        <v>0</v>
      </c>
      <c r="AR40" s="2">
        <f>SUM(AR11:AR38)</f>
        <v>0</v>
      </c>
      <c r="AT40" s="2">
        <f>SUM(AT11:AT38)</f>
        <v>0</v>
      </c>
      <c r="AV40" s="2">
        <f>SUM(AV11:AV38)</f>
        <v>4.4466641180826452E-2</v>
      </c>
      <c r="AX40" s="2">
        <f>SUM(AX11:AX38)</f>
        <v>0</v>
      </c>
      <c r="AZ40" s="2">
        <f>SUM(AZ11:AZ38)</f>
        <v>0</v>
      </c>
      <c r="BB40" s="2">
        <f>SUM(BB11:BB38)</f>
        <v>0</v>
      </c>
      <c r="BD40" s="2">
        <f>SUM(BD11:BD38)</f>
        <v>0</v>
      </c>
      <c r="BF40" s="2">
        <f>SUM(BF11:BF38)</f>
        <v>0</v>
      </c>
      <c r="BH40" s="2">
        <f>SUM(BH11:BH38)</f>
        <v>0</v>
      </c>
      <c r="BJ40" s="2">
        <f>SUM(BJ11:BJ38)</f>
        <v>0</v>
      </c>
      <c r="BL40" s="2">
        <f>SUM(BL11:BL38)</f>
        <v>0</v>
      </c>
      <c r="BN40" s="2">
        <f>SUM(BN11:BN38)</f>
        <v>0</v>
      </c>
      <c r="BP40" s="2">
        <f>SUM(BP11:BP38)</f>
        <v>0</v>
      </c>
      <c r="BR40" s="2">
        <f>SUM(BR11:BR38)</f>
        <v>0</v>
      </c>
    </row>
    <row r="41" spans="1:70">
      <c r="D41" s="30" t="s">
        <v>95</v>
      </c>
      <c r="H41" s="31"/>
      <c r="L41" s="3" t="s">
        <v>96</v>
      </c>
      <c r="M41" s="3" t="s">
        <v>97</v>
      </c>
      <c r="N41" s="3"/>
      <c r="O41" s="3"/>
      <c r="P41" s="3" t="s">
        <v>98</v>
      </c>
      <c r="Q41" s="3" t="s">
        <v>99</v>
      </c>
      <c r="R41" s="3" t="s">
        <v>99</v>
      </c>
    </row>
    <row r="42" spans="1:70">
      <c r="D42" s="30" t="s">
        <v>100</v>
      </c>
      <c r="H42" s="31"/>
      <c r="L42" s="2" t="e">
        <f t="shared" ref="L42:L61" si="91">IF(ISERR(M42),Q42,M42)</f>
        <v>#DIV/0!</v>
      </c>
      <c r="M42" s="2" t="e">
        <f>IF(EXACT($M$41,$M11),$P42,0)</f>
        <v>#DIV/0!</v>
      </c>
      <c r="P42" s="2" t="e">
        <f>(K11/(2.3*(C11+1.8*$N$6)))^0.667/L11</f>
        <v>#DIV/0!</v>
      </c>
      <c r="Q42" s="32" t="e">
        <f>((K11*$N$5)/(0.56*L11^1.67*M11^0.5))^0.3745</f>
        <v>#DIV/0!</v>
      </c>
      <c r="R42" s="2" t="e">
        <f>IF(P11=P42,100,+AB11*100)</f>
        <v>#DIV/0!</v>
      </c>
    </row>
    <row r="43" spans="1:70">
      <c r="D43" s="33" t="s">
        <v>101</v>
      </c>
      <c r="E43" s="34"/>
      <c r="F43" s="34"/>
      <c r="G43" s="34"/>
      <c r="H43" s="35"/>
      <c r="L43" s="2">
        <f t="shared" si="91"/>
        <v>0</v>
      </c>
      <c r="M43" s="2" t="e">
        <f>IF(EXACT($M$41,$M13),$P43,0)</f>
        <v>#VALUE!</v>
      </c>
      <c r="P43" s="2">
        <f>(K13/(2.3*(C13+1.8*$N$6)))^0.667/L13</f>
        <v>0</v>
      </c>
      <c r="Q43" s="32">
        <f>((K13*$N$5)/(0.56*L13^1.67*M13^0.5))^0.3745</f>
        <v>0</v>
      </c>
      <c r="R43" s="2" t="e">
        <f>IF(P13=P43,100,+AB13*100)</f>
        <v>#DIV/0!</v>
      </c>
    </row>
    <row r="44" spans="1:70" ht="15.75" thickTop="1">
      <c r="L44" s="2">
        <f t="shared" si="91"/>
        <v>12.397278748047711</v>
      </c>
      <c r="M44" s="2" t="e">
        <f>IF(EXACT($M$41,$M15),$P44,0)</f>
        <v>#VALUE!</v>
      </c>
      <c r="P44" s="2">
        <f>(K15/(2.3*(C15+1.8*$N$6)))^0.667/L15</f>
        <v>11.518652226183997</v>
      </c>
      <c r="Q44" s="32">
        <f>((K15*$N$5)/(0.56*L15^1.67*M15^0.5))^0.3745</f>
        <v>12.397278748047711</v>
      </c>
      <c r="R44" s="2">
        <f>IF(P15=P44,100,+AB15*100)</f>
        <v>70.568961284679659</v>
      </c>
    </row>
    <row r="45" spans="1:70">
      <c r="L45" s="2" t="e">
        <f t="shared" si="91"/>
        <v>#REF!</v>
      </c>
      <c r="M45" s="2" t="e">
        <f>IF(EXACT($M$41,#REF!),$P45,0)</f>
        <v>#REF!</v>
      </c>
      <c r="P45" s="2" t="e">
        <f>(#REF!/(2.3*(#REF!+1.8*$N$6)))^0.667/#REF!</f>
        <v>#REF!</v>
      </c>
      <c r="Q45" s="32" t="e">
        <f>((#REF!*$N$5)/(0.56*#REF!^1.67*#REF!^0.5))^0.3745</f>
        <v>#REF!</v>
      </c>
      <c r="R45" s="2" t="e">
        <f>IF(#REF!=P45,100,+#REF!*100)</f>
        <v>#REF!</v>
      </c>
    </row>
    <row r="46" spans="1:70">
      <c r="C46" s="3" t="s">
        <v>102</v>
      </c>
      <c r="D46" s="3" t="s">
        <v>103</v>
      </c>
      <c r="L46" s="2">
        <f t="shared" si="91"/>
        <v>11.775544512520103</v>
      </c>
      <c r="M46" s="2" t="e">
        <f>IF(EXACT($M$41,$M17),$P46,0)</f>
        <v>#VALUE!</v>
      </c>
      <c r="P46" s="2">
        <f>(K17/(2.3*(C17+1.8*$N$6)))^0.667/L17</f>
        <v>10.462580786288852</v>
      </c>
      <c r="Q46" s="32">
        <f>((K17*$N$5)/(0.56*L17^1.67*M17^0.5))^0.3745</f>
        <v>11.775544512520103</v>
      </c>
      <c r="R46" s="2">
        <f>IF(P17=P46,100,+AB17*100)</f>
        <v>80.730930922547955</v>
      </c>
    </row>
    <row r="47" spans="1:70">
      <c r="D47" s="3" t="s">
        <v>104</v>
      </c>
      <c r="L47" s="2">
        <f t="shared" si="91"/>
        <v>8.8786233539877575</v>
      </c>
      <c r="M47" s="2">
        <f>IF(EXACT($M$41,$M18),$P47,0)</f>
        <v>8.8786233539877575</v>
      </c>
      <c r="P47" s="2">
        <f>(K18/(2.3*(C18+1.8*$N$6)))^0.667/L18</f>
        <v>8.8786233539877575</v>
      </c>
      <c r="Q47" s="32" t="e">
        <f>((K18*$N$5)/(0.56*L18^1.67*M18^0.5))^0.3745</f>
        <v>#DIV/0!</v>
      </c>
      <c r="R47" s="2">
        <f>IF(P18=P47,100,+AB18*100)</f>
        <v>100</v>
      </c>
    </row>
    <row r="48" spans="1:70">
      <c r="D48" s="3" t="s">
        <v>105</v>
      </c>
      <c r="G48" s="3" t="s">
        <v>106</v>
      </c>
      <c r="H48" s="3" t="s">
        <v>103</v>
      </c>
      <c r="L48" s="2">
        <f t="shared" si="91"/>
        <v>0</v>
      </c>
      <c r="M48" s="2" t="e">
        <f t="shared" ref="M48:M55" si="92">IF(EXACT($M$41,$M20),$P48,0)</f>
        <v>#VALUE!</v>
      </c>
      <c r="P48" s="2">
        <f t="shared" ref="P48:P55" si="93">(K20/(2.3*(C20+1.8*$N$6)))^0.667/L20</f>
        <v>0</v>
      </c>
      <c r="Q48" s="32">
        <f t="shared" ref="Q48:Q55" si="94">((K20*$N$5)/(0.56*L20^1.67*M20^0.5))^0.3745</f>
        <v>0</v>
      </c>
      <c r="R48" s="2" t="e">
        <f t="shared" ref="R48:R55" si="95">IF(P20=P48,100,+AB20*100)</f>
        <v>#DIV/0!</v>
      </c>
    </row>
    <row r="49" spans="1:18">
      <c r="D49" s="3" t="s">
        <v>107</v>
      </c>
      <c r="H49" s="3" t="s">
        <v>108</v>
      </c>
      <c r="L49" s="2">
        <f t="shared" si="91"/>
        <v>4.6422257269283218</v>
      </c>
      <c r="M49" s="2" t="e">
        <f t="shared" si="92"/>
        <v>#VALUE!</v>
      </c>
      <c r="P49" s="2">
        <f t="shared" si="93"/>
        <v>2.9446242247108452</v>
      </c>
      <c r="Q49" s="32">
        <f t="shared" si="94"/>
        <v>4.6422257269283218</v>
      </c>
      <c r="R49" s="2">
        <f t="shared" si="95"/>
        <v>100</v>
      </c>
    </row>
    <row r="50" spans="1:18">
      <c r="D50" s="3" t="s">
        <v>109</v>
      </c>
      <c r="H50" s="3" t="s">
        <v>110</v>
      </c>
      <c r="L50" s="2">
        <f t="shared" si="91"/>
        <v>5.4697368425426349</v>
      </c>
      <c r="M50" s="2">
        <f t="shared" si="92"/>
        <v>5.4697368425426349</v>
      </c>
      <c r="P50" s="2">
        <f t="shared" si="93"/>
        <v>5.4697368425426349</v>
      </c>
      <c r="Q50" s="32" t="e">
        <f t="shared" si="94"/>
        <v>#DIV/0!</v>
      </c>
      <c r="R50" s="2">
        <f t="shared" si="95"/>
        <v>100</v>
      </c>
    </row>
    <row r="51" spans="1:18">
      <c r="H51" s="3" t="s">
        <v>111</v>
      </c>
      <c r="L51" s="2">
        <f t="shared" si="91"/>
        <v>0</v>
      </c>
      <c r="M51" s="2" t="e">
        <f t="shared" si="92"/>
        <v>#VALUE!</v>
      </c>
      <c r="P51" s="2">
        <f t="shared" si="93"/>
        <v>0</v>
      </c>
      <c r="Q51" s="32">
        <f t="shared" si="94"/>
        <v>0</v>
      </c>
      <c r="R51" s="2" t="e">
        <f t="shared" si="95"/>
        <v>#DIV/0!</v>
      </c>
    </row>
    <row r="52" spans="1:18">
      <c r="D52" s="3" t="s">
        <v>7</v>
      </c>
      <c r="L52" s="2">
        <f t="shared" si="91"/>
        <v>0</v>
      </c>
      <c r="M52" s="2" t="e">
        <f t="shared" si="92"/>
        <v>#VALUE!</v>
      </c>
      <c r="P52" s="2">
        <f t="shared" si="93"/>
        <v>0</v>
      </c>
      <c r="Q52" s="32">
        <f t="shared" si="94"/>
        <v>0</v>
      </c>
      <c r="R52" s="2" t="e">
        <f t="shared" si="95"/>
        <v>#DIV/0!</v>
      </c>
    </row>
    <row r="53" spans="1:18">
      <c r="G53" s="3" t="s">
        <v>112</v>
      </c>
      <c r="H53" s="3" t="s">
        <v>113</v>
      </c>
      <c r="L53" s="2">
        <f t="shared" si="91"/>
        <v>0</v>
      </c>
      <c r="M53" s="2" t="e">
        <f t="shared" si="92"/>
        <v>#VALUE!</v>
      </c>
      <c r="P53" s="2">
        <f t="shared" si="93"/>
        <v>0</v>
      </c>
      <c r="Q53" s="32">
        <f t="shared" si="94"/>
        <v>0</v>
      </c>
      <c r="R53" s="2" t="e">
        <f t="shared" si="95"/>
        <v>#DIV/0!</v>
      </c>
    </row>
    <row r="54" spans="1:18">
      <c r="H54" s="3" t="s">
        <v>114</v>
      </c>
      <c r="L54" s="2">
        <f t="shared" si="91"/>
        <v>0</v>
      </c>
      <c r="M54" s="2" t="e">
        <f t="shared" si="92"/>
        <v>#VALUE!</v>
      </c>
      <c r="P54" s="2">
        <f t="shared" si="93"/>
        <v>0</v>
      </c>
      <c r="Q54" s="32">
        <f t="shared" si="94"/>
        <v>0</v>
      </c>
      <c r="R54" s="2" t="e">
        <f t="shared" si="95"/>
        <v>#DIV/0!</v>
      </c>
    </row>
    <row r="55" spans="1:18">
      <c r="L55" s="2">
        <f t="shared" si="91"/>
        <v>0</v>
      </c>
      <c r="M55" s="2" t="e">
        <f t="shared" si="92"/>
        <v>#VALUE!</v>
      </c>
      <c r="P55" s="2">
        <f t="shared" si="93"/>
        <v>0</v>
      </c>
      <c r="Q55" s="32">
        <f t="shared" si="94"/>
        <v>0</v>
      </c>
      <c r="R55" s="2" t="e">
        <f t="shared" si="95"/>
        <v>#DIV/0!</v>
      </c>
    </row>
    <row r="56" spans="1:18">
      <c r="A56" s="3" t="s">
        <v>115</v>
      </c>
      <c r="B56" s="3"/>
      <c r="C56" s="3" t="s">
        <v>103</v>
      </c>
      <c r="L56" s="2" t="e">
        <f t="shared" si="91"/>
        <v>#DIV/0!</v>
      </c>
      <c r="M56" s="2" t="e">
        <f t="shared" ref="M56:M61" si="96">IF(EXACT($M$41,$M33),$P56,0)</f>
        <v>#VALUE!</v>
      </c>
      <c r="P56" s="2" t="e">
        <f t="shared" ref="P56:P61" si="97">(K33/(2.3*(C33+1.8*$N$6)))^0.667/L33</f>
        <v>#DIV/0!</v>
      </c>
      <c r="Q56" s="32" t="e">
        <f t="shared" ref="Q56:Q61" si="98">((K33*$N$5)/(0.56*L33^1.67*M33^0.5))^0.3745</f>
        <v>#DIV/0!</v>
      </c>
      <c r="R56" s="2" t="e">
        <f t="shared" ref="R56:R61" si="99">IF(P33=P56,100,+AB33*100)</f>
        <v>#DIV/0!</v>
      </c>
    </row>
    <row r="57" spans="1:18">
      <c r="C57" s="3" t="s">
        <v>116</v>
      </c>
      <c r="L57" s="2" t="e">
        <f t="shared" si="91"/>
        <v>#DIV/0!</v>
      </c>
      <c r="M57" s="2" t="e">
        <f t="shared" si="96"/>
        <v>#VALUE!</v>
      </c>
      <c r="P57" s="2" t="e">
        <f t="shared" si="97"/>
        <v>#DIV/0!</v>
      </c>
      <c r="Q57" s="32" t="e">
        <f t="shared" si="98"/>
        <v>#DIV/0!</v>
      </c>
      <c r="R57" s="2" t="e">
        <f t="shared" si="99"/>
        <v>#DIV/0!</v>
      </c>
    </row>
    <row r="58" spans="1:18">
      <c r="C58" s="3" t="s">
        <v>117</v>
      </c>
      <c r="L58" s="2" t="e">
        <f t="shared" si="91"/>
        <v>#DIV/0!</v>
      </c>
      <c r="M58" s="2" t="e">
        <f t="shared" si="96"/>
        <v>#VALUE!</v>
      </c>
      <c r="P58" s="2" t="e">
        <f t="shared" si="97"/>
        <v>#DIV/0!</v>
      </c>
      <c r="Q58" s="32" t="e">
        <f t="shared" si="98"/>
        <v>#DIV/0!</v>
      </c>
      <c r="R58" s="2" t="e">
        <f t="shared" si="99"/>
        <v>#DIV/0!</v>
      </c>
    </row>
    <row r="59" spans="1:18">
      <c r="C59" s="3" t="s">
        <v>118</v>
      </c>
      <c r="L59" s="2" t="e">
        <f t="shared" si="91"/>
        <v>#DIV/0!</v>
      </c>
      <c r="M59" s="2" t="e">
        <f t="shared" si="96"/>
        <v>#VALUE!</v>
      </c>
      <c r="P59" s="2" t="e">
        <f t="shared" si="97"/>
        <v>#DIV/0!</v>
      </c>
      <c r="Q59" s="32" t="e">
        <f t="shared" si="98"/>
        <v>#DIV/0!</v>
      </c>
      <c r="R59" s="2" t="e">
        <f t="shared" si="99"/>
        <v>#DIV/0!</v>
      </c>
    </row>
    <row r="60" spans="1:18">
      <c r="C60" s="3" t="s">
        <v>119</v>
      </c>
      <c r="L60" s="2" t="e">
        <f t="shared" si="91"/>
        <v>#DIV/0!</v>
      </c>
      <c r="M60" s="2" t="e">
        <f t="shared" si="96"/>
        <v>#VALUE!</v>
      </c>
      <c r="P60" s="2" t="e">
        <f t="shared" si="97"/>
        <v>#DIV/0!</v>
      </c>
      <c r="Q60" s="32" t="e">
        <f t="shared" si="98"/>
        <v>#DIV/0!</v>
      </c>
      <c r="R60" s="2" t="e">
        <f t="shared" si="99"/>
        <v>#DIV/0!</v>
      </c>
    </row>
    <row r="61" spans="1:18">
      <c r="C61" s="3" t="s">
        <v>120</v>
      </c>
      <c r="L61" s="2" t="e">
        <f t="shared" si="91"/>
        <v>#DIV/0!</v>
      </c>
      <c r="M61" s="2" t="e">
        <f t="shared" si="96"/>
        <v>#VALUE!</v>
      </c>
      <c r="P61" s="2" t="e">
        <f t="shared" si="97"/>
        <v>#DIV/0!</v>
      </c>
      <c r="Q61" s="32" t="e">
        <f t="shared" si="98"/>
        <v>#DIV/0!</v>
      </c>
      <c r="R61" s="2" t="e">
        <f t="shared" si="99"/>
        <v>#DIV/0!</v>
      </c>
    </row>
    <row r="62" spans="1:18">
      <c r="C62" s="3" t="s">
        <v>121</v>
      </c>
    </row>
    <row r="63" spans="1:18">
      <c r="C63" s="3" t="s">
        <v>122</v>
      </c>
    </row>
    <row r="64" spans="1:18">
      <c r="C64" s="3" t="s">
        <v>123</v>
      </c>
    </row>
    <row r="65" spans="3:8">
      <c r="C65" s="3" t="s">
        <v>124</v>
      </c>
    </row>
    <row r="66" spans="3:8">
      <c r="C66" s="3" t="s">
        <v>125</v>
      </c>
    </row>
    <row r="67" spans="3:8">
      <c r="C67" s="3" t="s">
        <v>126</v>
      </c>
      <c r="G67" s="3" t="s">
        <v>127</v>
      </c>
      <c r="H67" s="3" t="s">
        <v>128</v>
      </c>
    </row>
    <row r="68" spans="3:8">
      <c r="C68" s="3" t="s">
        <v>109</v>
      </c>
    </row>
    <row r="83" spans="1:19">
      <c r="A83" s="3" t="s">
        <v>53</v>
      </c>
      <c r="B83" s="3"/>
      <c r="D83" s="36" t="s">
        <v>129</v>
      </c>
      <c r="I83" s="3" t="s">
        <v>130</v>
      </c>
      <c r="K83" s="3" t="s">
        <v>54</v>
      </c>
      <c r="P83" s="7">
        <v>0.125</v>
      </c>
      <c r="Q83" s="3" t="s">
        <v>55</v>
      </c>
    </row>
    <row r="84" spans="1:19">
      <c r="M84" s="3" t="s">
        <v>57</v>
      </c>
      <c r="N84" s="3"/>
      <c r="O84" s="3"/>
      <c r="P84" s="7">
        <v>1.4999999999999999E-2</v>
      </c>
    </row>
    <row r="85" spans="1:19">
      <c r="A85" s="3" t="s">
        <v>59</v>
      </c>
      <c r="B85" s="3"/>
      <c r="D85" s="36" t="s">
        <v>131</v>
      </c>
      <c r="L85" s="3" t="s">
        <v>61</v>
      </c>
      <c r="P85" s="7">
        <v>1</v>
      </c>
      <c r="Q85" s="3" t="s">
        <v>55</v>
      </c>
    </row>
    <row r="87" spans="1:19">
      <c r="A87" s="37" t="s">
        <v>4</v>
      </c>
      <c r="B87" s="37"/>
      <c r="C87" s="37" t="s">
        <v>4</v>
      </c>
      <c r="D87" s="37" t="s">
        <v>21</v>
      </c>
      <c r="G87" s="37" t="s">
        <v>64</v>
      </c>
      <c r="H87" s="37" t="s">
        <v>2</v>
      </c>
      <c r="I87" s="37" t="s">
        <v>65</v>
      </c>
      <c r="J87" s="37" t="s">
        <v>66</v>
      </c>
      <c r="K87" s="37" t="s">
        <v>45</v>
      </c>
      <c r="L87" s="37" t="s">
        <v>67</v>
      </c>
      <c r="M87" s="37" t="s">
        <v>68</v>
      </c>
      <c r="N87" s="37"/>
      <c r="O87" s="37"/>
      <c r="P87" s="37" t="s">
        <v>69</v>
      </c>
      <c r="Q87" s="37" t="s">
        <v>70</v>
      </c>
      <c r="R87" s="37" t="s">
        <v>64</v>
      </c>
      <c r="S87" s="37" t="s">
        <v>64</v>
      </c>
    </row>
    <row r="88" spans="1:19">
      <c r="A88" s="37" t="s">
        <v>77</v>
      </c>
      <c r="B88" s="37"/>
      <c r="C88" s="37" t="s">
        <v>1</v>
      </c>
      <c r="D88" s="3" t="s">
        <v>78</v>
      </c>
      <c r="E88" s="37" t="s">
        <v>79</v>
      </c>
      <c r="F88" s="37" t="s">
        <v>80</v>
      </c>
      <c r="G88" s="37" t="s">
        <v>80</v>
      </c>
      <c r="H88" s="37" t="s">
        <v>80</v>
      </c>
      <c r="I88" s="37" t="s">
        <v>81</v>
      </c>
      <c r="J88" s="37" t="s">
        <v>82</v>
      </c>
      <c r="K88" s="37" t="s">
        <v>83</v>
      </c>
      <c r="L88" s="37" t="s">
        <v>84</v>
      </c>
      <c r="M88" s="37" t="s">
        <v>84</v>
      </c>
      <c r="N88" s="37"/>
      <c r="O88" s="37"/>
      <c r="P88" s="37" t="s">
        <v>85</v>
      </c>
      <c r="Q88" s="37" t="s">
        <v>86</v>
      </c>
      <c r="R88" s="37" t="s">
        <v>80</v>
      </c>
      <c r="S88" s="37" t="s">
        <v>8</v>
      </c>
    </row>
    <row r="90" spans="1:19">
      <c r="A90" s="36" t="s">
        <v>91</v>
      </c>
      <c r="B90" s="36"/>
      <c r="C90" s="38">
        <v>20</v>
      </c>
      <c r="D90" s="39">
        <v>1.58</v>
      </c>
      <c r="E90" s="39">
        <v>0.35</v>
      </c>
      <c r="F90" s="40">
        <v>0.55300000000000005</v>
      </c>
      <c r="G90" s="40">
        <v>0</v>
      </c>
      <c r="H90" s="40">
        <v>0.55300000000000005</v>
      </c>
      <c r="I90" s="38">
        <v>8.8000000000000007</v>
      </c>
      <c r="J90" s="7">
        <v>4.55</v>
      </c>
      <c r="K90" s="32">
        <v>2.5161500000000001</v>
      </c>
      <c r="L90" s="7">
        <v>1.7999999999999999E-2</v>
      </c>
      <c r="M90" s="7">
        <v>7.0999999999999994E-2</v>
      </c>
      <c r="N90" s="7"/>
      <c r="O90" s="7"/>
      <c r="P90" s="32">
        <v>7.3723545072728598</v>
      </c>
      <c r="Q90" s="32">
        <v>80.544401925362806</v>
      </c>
      <c r="R90" s="40">
        <v>0.107589457352744</v>
      </c>
      <c r="S90" s="36" t="s">
        <v>132</v>
      </c>
    </row>
    <row r="91" spans="1:19">
      <c r="A91" s="36" t="s">
        <v>133</v>
      </c>
      <c r="B91" s="36"/>
      <c r="C91" s="38">
        <v>15</v>
      </c>
      <c r="D91" s="39">
        <v>1.74</v>
      </c>
      <c r="E91" s="39">
        <v>0.41</v>
      </c>
      <c r="F91" s="40">
        <v>0.71340000000000003</v>
      </c>
      <c r="G91" s="40">
        <v>0</v>
      </c>
      <c r="H91" s="40">
        <v>0.71340000000000003</v>
      </c>
      <c r="I91" s="38">
        <v>7.75</v>
      </c>
      <c r="J91" s="7">
        <v>4.7699999999999996</v>
      </c>
      <c r="K91" s="32">
        <v>3.4029180000000001</v>
      </c>
      <c r="L91" s="7">
        <v>0.06</v>
      </c>
      <c r="M91" s="7">
        <v>3.5999999999999997E-2</v>
      </c>
      <c r="N91" s="7"/>
      <c r="O91" s="7"/>
      <c r="P91" s="32">
        <v>4.4149219847824099</v>
      </c>
      <c r="Q91" s="32">
        <v>91.041647961783795</v>
      </c>
      <c r="R91" s="40">
        <v>6.3908883440634306E-2</v>
      </c>
      <c r="S91" s="36" t="s">
        <v>134</v>
      </c>
    </row>
    <row r="92" spans="1:19">
      <c r="A92" s="36" t="s">
        <v>134</v>
      </c>
      <c r="B92" s="36"/>
      <c r="C92" s="38">
        <v>20</v>
      </c>
      <c r="D92" s="39">
        <v>2.36</v>
      </c>
      <c r="E92" s="39">
        <v>0.37</v>
      </c>
      <c r="F92" s="40">
        <v>0.87319999999999998</v>
      </c>
      <c r="G92" s="40">
        <v>6.3908883440634306E-2</v>
      </c>
      <c r="H92" s="40">
        <v>0.93710888344063403</v>
      </c>
      <c r="I92" s="38">
        <v>8.6</v>
      </c>
      <c r="J92" s="7">
        <v>4.5999999999999996</v>
      </c>
      <c r="K92" s="32">
        <v>4.31070086382692</v>
      </c>
      <c r="L92" s="7">
        <v>0.04</v>
      </c>
      <c r="M92" s="7">
        <v>0.02</v>
      </c>
      <c r="N92" s="7"/>
      <c r="O92" s="7"/>
      <c r="P92" s="32">
        <v>6.9392530944413702</v>
      </c>
      <c r="Q92" s="32">
        <v>95.427031335951099</v>
      </c>
      <c r="R92" s="40">
        <v>4.2853695587758998E-2</v>
      </c>
      <c r="S92" s="36" t="s">
        <v>135</v>
      </c>
    </row>
    <row r="93" spans="1:19">
      <c r="A93" s="36" t="s">
        <v>135</v>
      </c>
      <c r="B93" s="36"/>
      <c r="C93" s="38">
        <v>20</v>
      </c>
      <c r="D93" s="39">
        <v>0.83</v>
      </c>
      <c r="E93" s="39">
        <v>0.42</v>
      </c>
      <c r="F93" s="40">
        <v>0.34860000000000002</v>
      </c>
      <c r="G93" s="40">
        <v>4.2853695587758998E-2</v>
      </c>
      <c r="H93" s="40">
        <v>0.391453695587759</v>
      </c>
      <c r="I93" s="38">
        <v>6.2</v>
      </c>
      <c r="J93" s="7">
        <v>5.0599999999999996</v>
      </c>
      <c r="K93" s="32">
        <v>1.9807556996740601</v>
      </c>
      <c r="L93" s="7">
        <v>1.4E-2</v>
      </c>
      <c r="M93" s="7">
        <v>0.02</v>
      </c>
      <c r="N93" s="7"/>
      <c r="O93" s="7"/>
      <c r="P93" s="32">
        <v>9.9996409340445194</v>
      </c>
      <c r="Q93" s="32">
        <v>94.1800559811158</v>
      </c>
      <c r="R93" s="40">
        <v>2.2782385943060798E-2</v>
      </c>
      <c r="S93" s="36" t="s">
        <v>136</v>
      </c>
    </row>
    <row r="94" spans="1:19">
      <c r="A94" s="36" t="s">
        <v>136</v>
      </c>
      <c r="B94" s="36"/>
      <c r="C94" s="38">
        <v>20</v>
      </c>
      <c r="D94" s="7">
        <v>1.43</v>
      </c>
      <c r="E94" s="7">
        <v>0.35</v>
      </c>
      <c r="F94" s="40">
        <v>0.50049999999999994</v>
      </c>
      <c r="G94" s="40">
        <v>2.2782385943060798E-2</v>
      </c>
      <c r="H94" s="40">
        <v>0.52328238594306098</v>
      </c>
      <c r="I94" s="38">
        <v>6.6</v>
      </c>
      <c r="J94" s="7">
        <v>4.93</v>
      </c>
      <c r="K94" s="32">
        <v>2.5797821626992898</v>
      </c>
      <c r="L94" s="7">
        <v>1.7000000000000001E-2</v>
      </c>
      <c r="M94" s="7">
        <v>2.5999999999999999E-2</v>
      </c>
      <c r="N94" s="7"/>
      <c r="O94" s="7"/>
      <c r="P94" s="32">
        <v>9.3086700253709207</v>
      </c>
      <c r="Q94" s="32">
        <v>87.415515728016402</v>
      </c>
      <c r="R94" s="40">
        <v>6.5852389557064905E-2</v>
      </c>
      <c r="S94" s="36" t="s">
        <v>137</v>
      </c>
    </row>
    <row r="95" spans="1:19">
      <c r="A95" s="36" t="s">
        <v>137</v>
      </c>
      <c r="B95" s="36"/>
      <c r="C95" s="38">
        <v>20</v>
      </c>
      <c r="D95" s="7">
        <v>2.5499999999999998</v>
      </c>
      <c r="E95" s="7">
        <v>0.36</v>
      </c>
      <c r="F95" s="40">
        <v>0.91800000000000004</v>
      </c>
      <c r="G95" s="40">
        <v>6.5852389557064905E-2</v>
      </c>
      <c r="H95" s="40">
        <v>0.983852389557065</v>
      </c>
      <c r="I95" s="38">
        <v>9.25</v>
      </c>
      <c r="J95" s="7">
        <v>4.46</v>
      </c>
      <c r="K95" s="32">
        <v>4.3879816574245103</v>
      </c>
      <c r="L95" s="7">
        <v>3.1E-2</v>
      </c>
      <c r="M95" s="7">
        <v>3.3000000000000002E-2</v>
      </c>
      <c r="N95" s="7"/>
      <c r="O95" s="7"/>
      <c r="P95" s="32">
        <v>7.4595257990191897</v>
      </c>
      <c r="Q95" s="32">
        <v>83.000141413753795</v>
      </c>
      <c r="R95" s="40">
        <v>0.16725351492210599</v>
      </c>
      <c r="S95" s="36" t="s">
        <v>138</v>
      </c>
    </row>
    <row r="96" spans="1:19">
      <c r="A96" s="36" t="s">
        <v>138</v>
      </c>
      <c r="B96" s="36"/>
      <c r="C96" s="38">
        <v>20</v>
      </c>
      <c r="D96" s="7">
        <v>2.89</v>
      </c>
      <c r="E96" s="7">
        <v>0.41</v>
      </c>
      <c r="F96" s="40">
        <v>1.1849000000000001</v>
      </c>
      <c r="G96" s="40">
        <v>0.16725351492210599</v>
      </c>
      <c r="H96" s="40">
        <v>1.35215351492211</v>
      </c>
      <c r="I96" s="38">
        <v>9.3000000000000007</v>
      </c>
      <c r="J96" s="7">
        <v>4.45</v>
      </c>
      <c r="K96" s="32">
        <v>6.0170831414033703</v>
      </c>
      <c r="L96" s="7">
        <v>0.04</v>
      </c>
      <c r="M96" s="7">
        <v>3.5999999999999997E-2</v>
      </c>
      <c r="N96" s="7"/>
      <c r="O96" s="7"/>
      <c r="P96" s="32">
        <v>7.0429536341066603</v>
      </c>
      <c r="Q96" s="32">
        <v>80.4097954456454</v>
      </c>
      <c r="R96" s="40">
        <v>0.26488963946213701</v>
      </c>
      <c r="S96" s="36" t="s">
        <v>139</v>
      </c>
    </row>
    <row r="97" spans="1:19">
      <c r="A97" s="36" t="s">
        <v>140</v>
      </c>
      <c r="B97" s="36"/>
      <c r="C97" s="38">
        <v>10</v>
      </c>
      <c r="D97" s="7">
        <v>0.12</v>
      </c>
      <c r="E97" s="7">
        <v>0.86</v>
      </c>
      <c r="F97" s="40">
        <v>0.1032</v>
      </c>
      <c r="G97" s="40">
        <v>6.5070571849340699E-3</v>
      </c>
      <c r="H97" s="40">
        <v>0.109707057184934</v>
      </c>
      <c r="I97" s="38">
        <v>5</v>
      </c>
      <c r="J97" s="7">
        <v>5.38</v>
      </c>
      <c r="K97" s="32">
        <v>0.590223967654945</v>
      </c>
      <c r="L97" s="7">
        <v>0.02</v>
      </c>
      <c r="M97" s="7">
        <v>1.0999999999999999E-2</v>
      </c>
      <c r="N97" s="7"/>
      <c r="O97" s="7"/>
      <c r="P97" s="32">
        <v>5.6859902730203897</v>
      </c>
      <c r="Q97" s="32">
        <v>100</v>
      </c>
      <c r="R97" s="40">
        <v>0</v>
      </c>
      <c r="S97" s="36" t="s">
        <v>141</v>
      </c>
    </row>
    <row r="98" spans="1:19">
      <c r="A98" s="36" t="s">
        <v>142</v>
      </c>
      <c r="B98" s="36"/>
      <c r="C98" s="38">
        <v>10</v>
      </c>
      <c r="D98" s="7">
        <v>0.17</v>
      </c>
      <c r="E98" s="7">
        <v>0.86</v>
      </c>
      <c r="F98" s="40">
        <v>0.1462</v>
      </c>
      <c r="G98" s="40">
        <v>0</v>
      </c>
      <c r="H98" s="40">
        <v>0.1462</v>
      </c>
      <c r="I98" s="38">
        <v>5</v>
      </c>
      <c r="J98" s="7">
        <v>5.38</v>
      </c>
      <c r="K98" s="32">
        <v>0.78655600000000003</v>
      </c>
      <c r="L98" s="7">
        <v>0.02</v>
      </c>
      <c r="M98" s="7">
        <v>1.7999999999999999E-2</v>
      </c>
      <c r="N98" s="7"/>
      <c r="O98" s="7"/>
      <c r="P98" s="32">
        <v>5.7738043365877498</v>
      </c>
      <c r="Q98" s="32">
        <v>95.549208491837206</v>
      </c>
      <c r="R98" s="40">
        <v>6.5070571849340699E-3</v>
      </c>
      <c r="S98" s="36" t="s">
        <v>140</v>
      </c>
    </row>
    <row r="99" spans="1:19">
      <c r="A99" s="36" t="s">
        <v>143</v>
      </c>
      <c r="B99" s="36"/>
      <c r="C99" s="38">
        <v>15</v>
      </c>
      <c r="D99" s="7">
        <v>0.15</v>
      </c>
      <c r="E99" s="7">
        <v>0.86</v>
      </c>
      <c r="F99" s="40">
        <v>0.129</v>
      </c>
      <c r="G99" s="40">
        <v>0</v>
      </c>
      <c r="H99" s="40">
        <v>0.129</v>
      </c>
      <c r="I99" s="38">
        <v>5</v>
      </c>
      <c r="J99" s="7">
        <v>5.38</v>
      </c>
      <c r="K99" s="32">
        <v>0.69401999999999997</v>
      </c>
      <c r="L99" s="7">
        <v>0.02</v>
      </c>
      <c r="M99" s="7">
        <v>4.2000000000000003E-2</v>
      </c>
      <c r="N99" s="7"/>
      <c r="O99" s="7"/>
      <c r="P99" s="32">
        <v>4.7011213825744003</v>
      </c>
      <c r="Q99" s="32">
        <v>100</v>
      </c>
      <c r="R99" s="40">
        <v>0</v>
      </c>
      <c r="S99" s="36" t="s">
        <v>142</v>
      </c>
    </row>
    <row r="100" spans="1:19">
      <c r="A100" s="36" t="s">
        <v>144</v>
      </c>
      <c r="B100" s="36"/>
      <c r="C100" s="38">
        <v>20</v>
      </c>
      <c r="D100" s="7">
        <v>1.53</v>
      </c>
      <c r="E100" s="7">
        <v>0.41</v>
      </c>
      <c r="F100" s="40">
        <v>0.62729999999999997</v>
      </c>
      <c r="G100" s="40">
        <v>0</v>
      </c>
      <c r="H100" s="40">
        <v>0.62729999999999997</v>
      </c>
      <c r="I100" s="38">
        <v>8.8000000000000007</v>
      </c>
      <c r="J100" s="7">
        <v>4.55</v>
      </c>
      <c r="K100" s="32">
        <v>2.8542149999999999</v>
      </c>
      <c r="L100" s="7">
        <v>2.9000000000000001E-2</v>
      </c>
      <c r="M100" s="7">
        <v>4.4999999999999998E-2</v>
      </c>
      <c r="N100" s="7"/>
      <c r="O100" s="7"/>
      <c r="P100" s="32">
        <v>6.2467602281872496</v>
      </c>
      <c r="Q100" s="32">
        <v>89.907892014203</v>
      </c>
      <c r="R100" s="40">
        <v>6.3307793394904402E-2</v>
      </c>
      <c r="S100" s="36" t="s">
        <v>145</v>
      </c>
    </row>
    <row r="101" spans="1:19">
      <c r="A101" s="36" t="s">
        <v>145</v>
      </c>
      <c r="B101" s="36"/>
      <c r="C101" s="38">
        <v>20</v>
      </c>
      <c r="D101" s="7">
        <v>1.44</v>
      </c>
      <c r="E101" s="7">
        <v>0.39</v>
      </c>
      <c r="F101" s="40">
        <v>0.56159999999999999</v>
      </c>
      <c r="G101" s="40">
        <v>6.3307793394904402E-2</v>
      </c>
      <c r="H101" s="40">
        <v>0.62490779339490399</v>
      </c>
      <c r="I101" s="38">
        <v>8.1</v>
      </c>
      <c r="J101" s="7">
        <v>4.7300000000000004</v>
      </c>
      <c r="K101" s="32">
        <v>2.9558138627578998</v>
      </c>
      <c r="L101" s="7">
        <v>3.5999999999999997E-2</v>
      </c>
      <c r="M101" s="7">
        <v>4.5999999999999999E-2</v>
      </c>
      <c r="N101" s="7"/>
      <c r="O101" s="7"/>
      <c r="P101" s="32">
        <v>5.5058832101917696</v>
      </c>
      <c r="Q101" s="32">
        <v>93.180166268126996</v>
      </c>
      <c r="R101" s="40">
        <v>4.2617672487049202E-2</v>
      </c>
      <c r="S101" s="36" t="s">
        <v>146</v>
      </c>
    </row>
    <row r="102" spans="1:19">
      <c r="A102" s="36" t="s">
        <v>146</v>
      </c>
      <c r="B102" s="36"/>
      <c r="C102" s="38">
        <v>15</v>
      </c>
      <c r="D102" s="7">
        <v>0.95</v>
      </c>
      <c r="E102" s="7">
        <v>0.41</v>
      </c>
      <c r="F102" s="40">
        <v>0.38950000000000001</v>
      </c>
      <c r="G102" s="40">
        <v>4.2617672487049202E-2</v>
      </c>
      <c r="H102" s="40">
        <v>0.43211767248704902</v>
      </c>
      <c r="I102" s="38">
        <v>8.9</v>
      </c>
      <c r="J102" s="7">
        <v>4.53</v>
      </c>
      <c r="K102" s="32">
        <v>1.95749305636633</v>
      </c>
      <c r="L102" s="7">
        <v>5.0999999999999997E-2</v>
      </c>
      <c r="M102" s="7">
        <v>0.05</v>
      </c>
      <c r="N102" s="7"/>
      <c r="O102" s="7"/>
      <c r="P102" s="32">
        <v>3.7360644678766302</v>
      </c>
      <c r="Q102" s="32">
        <v>96.851265620306293</v>
      </c>
      <c r="R102" s="40">
        <v>1.3606237714331801E-2</v>
      </c>
      <c r="S102" s="36" t="s">
        <v>147</v>
      </c>
    </row>
    <row r="103" spans="1:19">
      <c r="A103" s="36" t="s">
        <v>148</v>
      </c>
      <c r="B103" s="36"/>
      <c r="C103" s="38">
        <v>15</v>
      </c>
      <c r="D103" s="7">
        <v>1.01</v>
      </c>
      <c r="E103" s="7">
        <v>0.51</v>
      </c>
      <c r="F103" s="40">
        <v>0.5151</v>
      </c>
      <c r="G103" s="40">
        <v>0</v>
      </c>
      <c r="H103" s="40">
        <v>0.5151</v>
      </c>
      <c r="I103" s="38">
        <v>10.5</v>
      </c>
      <c r="J103" s="7">
        <v>4.2699999999999996</v>
      </c>
      <c r="K103" s="32">
        <v>2.1994769999999999</v>
      </c>
      <c r="L103" s="7">
        <v>6.5000000000000002E-2</v>
      </c>
      <c r="M103" s="7">
        <v>4.4999999999999998E-2</v>
      </c>
      <c r="N103" s="7"/>
      <c r="O103" s="7"/>
      <c r="P103" s="32">
        <v>3.4202364803929699</v>
      </c>
      <c r="Q103" s="32">
        <v>98.8934652596555</v>
      </c>
      <c r="R103" s="40">
        <v>5.6997604475143701E-3</v>
      </c>
      <c r="S103" s="36" t="s">
        <v>147</v>
      </c>
    </row>
    <row r="104" spans="1:19">
      <c r="A104" s="36" t="s">
        <v>149</v>
      </c>
      <c r="B104" s="36"/>
      <c r="C104" s="38">
        <v>10</v>
      </c>
      <c r="D104" s="7">
        <v>0.2</v>
      </c>
      <c r="E104" s="7">
        <v>0.86</v>
      </c>
      <c r="F104" s="40">
        <v>0.17199999999999999</v>
      </c>
      <c r="G104" s="40">
        <v>0</v>
      </c>
      <c r="H104" s="40">
        <v>0.17199999999999999</v>
      </c>
      <c r="I104" s="38">
        <v>5</v>
      </c>
      <c r="J104" s="7">
        <v>5.38</v>
      </c>
      <c r="K104" s="32">
        <v>0.92535999999999996</v>
      </c>
      <c r="L104" s="7">
        <v>2.9000000000000001E-2</v>
      </c>
      <c r="M104" s="7">
        <v>4.7E-2</v>
      </c>
      <c r="N104" s="7"/>
      <c r="O104" s="7"/>
      <c r="P104" s="32">
        <v>4.0637048590953597</v>
      </c>
      <c r="Q104" s="32">
        <v>89.653330864124698</v>
      </c>
      <c r="R104" s="40">
        <v>1.77962709137055E-2</v>
      </c>
      <c r="S104" s="36" t="s">
        <v>150</v>
      </c>
    </row>
    <row r="105" spans="1:19">
      <c r="A105" s="36" t="s">
        <v>150</v>
      </c>
      <c r="B105" s="36"/>
      <c r="C105" s="38">
        <v>20</v>
      </c>
      <c r="D105" s="7">
        <v>0.43</v>
      </c>
      <c r="E105" s="7">
        <v>0.86</v>
      </c>
      <c r="F105" s="40">
        <v>0.36980000000000002</v>
      </c>
      <c r="G105" s="40">
        <v>1.77962709137055E-2</v>
      </c>
      <c r="H105" s="40">
        <v>0.38759627091370502</v>
      </c>
      <c r="I105" s="38">
        <v>5</v>
      </c>
      <c r="J105" s="7">
        <v>5.38</v>
      </c>
      <c r="K105" s="32">
        <v>2.0852679375157401</v>
      </c>
      <c r="L105" s="7">
        <v>1.7999999999999999E-2</v>
      </c>
      <c r="M105" s="7">
        <v>0.03</v>
      </c>
      <c r="N105" s="7"/>
      <c r="O105" s="7"/>
      <c r="P105" s="32">
        <v>8.0744634014334</v>
      </c>
      <c r="Q105" s="32">
        <v>93.625413967820407</v>
      </c>
      <c r="R105" s="40">
        <v>2.4707657746914299E-2</v>
      </c>
      <c r="S105" s="36" t="s">
        <v>151</v>
      </c>
    </row>
    <row r="106" spans="1:19">
      <c r="A106" s="36" t="s">
        <v>147</v>
      </c>
      <c r="B106" s="36"/>
      <c r="C106" s="38">
        <v>20</v>
      </c>
      <c r="D106" s="7">
        <v>0.72</v>
      </c>
      <c r="E106" s="7">
        <v>0.86</v>
      </c>
      <c r="F106" s="40">
        <v>0.61919999999999997</v>
      </c>
      <c r="G106" s="40">
        <v>1.9305998161846201E-2</v>
      </c>
      <c r="H106" s="40">
        <v>0.63850599816184594</v>
      </c>
      <c r="I106" s="38">
        <v>5</v>
      </c>
      <c r="J106" s="7">
        <v>5.38</v>
      </c>
      <c r="K106" s="32">
        <v>3.4351622701107298</v>
      </c>
      <c r="L106" s="7">
        <v>2.4E-2</v>
      </c>
      <c r="M106" s="7">
        <v>2.5000000000000001E-2</v>
      </c>
      <c r="N106" s="7"/>
      <c r="O106" s="7"/>
      <c r="P106" s="32">
        <v>8.4137175351745501</v>
      </c>
      <c r="Q106" s="32">
        <v>86.756539073019297</v>
      </c>
      <c r="R106" s="40">
        <v>8.4560292382992494E-2</v>
      </c>
      <c r="S106" s="36" t="s">
        <v>141</v>
      </c>
    </row>
    <row r="107" spans="1:19">
      <c r="A107" s="36" t="s">
        <v>151</v>
      </c>
      <c r="B107" s="36"/>
      <c r="C107" s="38">
        <v>15</v>
      </c>
      <c r="D107" s="7">
        <v>0.44</v>
      </c>
      <c r="E107" s="7">
        <v>0.45</v>
      </c>
      <c r="F107" s="40">
        <v>0.19800000000000001</v>
      </c>
      <c r="G107" s="40">
        <v>2.4707657746914299E-2</v>
      </c>
      <c r="H107" s="40">
        <v>0.22270765774691401</v>
      </c>
      <c r="I107" s="38">
        <v>5.35</v>
      </c>
      <c r="J107" s="7">
        <v>5.3</v>
      </c>
      <c r="K107" s="32">
        <v>1.1803505860586501</v>
      </c>
      <c r="L107" s="7">
        <v>2.1999999999999999E-2</v>
      </c>
      <c r="M107" s="7">
        <v>3.2000000000000001E-2</v>
      </c>
      <c r="N107" s="7"/>
      <c r="O107" s="7"/>
      <c r="P107" s="32">
        <v>5.6859400061749099</v>
      </c>
      <c r="Q107" s="32">
        <v>99.173204319338495</v>
      </c>
      <c r="R107" s="40">
        <v>1.84133729475393E-3</v>
      </c>
      <c r="S107" s="36" t="s">
        <v>141</v>
      </c>
    </row>
    <row r="108" spans="1:19">
      <c r="A108" s="36" t="s">
        <v>152</v>
      </c>
      <c r="B108" s="36"/>
      <c r="C108" s="38">
        <v>15</v>
      </c>
      <c r="D108" s="7">
        <v>0.25</v>
      </c>
      <c r="E108" s="7">
        <v>0.51</v>
      </c>
      <c r="F108" s="40">
        <v>0.1275</v>
      </c>
      <c r="G108" s="40">
        <v>0</v>
      </c>
      <c r="H108" s="40">
        <v>0.1275</v>
      </c>
      <c r="I108" s="38">
        <v>5</v>
      </c>
      <c r="J108" s="7">
        <v>5.38</v>
      </c>
      <c r="K108" s="32">
        <v>0.68594999999999995</v>
      </c>
      <c r="L108" s="7">
        <v>1.4999999999999999E-2</v>
      </c>
      <c r="M108" s="7">
        <v>5.5E-2</v>
      </c>
      <c r="N108" s="7"/>
      <c r="O108" s="7"/>
      <c r="P108" s="32">
        <v>5.3273135452583897</v>
      </c>
      <c r="Q108" s="32">
        <v>100</v>
      </c>
      <c r="R108" s="40">
        <v>0</v>
      </c>
      <c r="S108" s="36" t="s">
        <v>141</v>
      </c>
    </row>
    <row r="109" spans="1:19">
      <c r="F109" s="41" t="s">
        <v>7</v>
      </c>
      <c r="G109" s="41" t="s">
        <v>7</v>
      </c>
      <c r="H109" s="41" t="s">
        <v>7</v>
      </c>
      <c r="K109" s="22" t="s">
        <v>7</v>
      </c>
      <c r="P109" s="22" t="s">
        <v>7</v>
      </c>
      <c r="Q109" s="22" t="s">
        <v>7</v>
      </c>
      <c r="R109" s="41" t="s">
        <v>7</v>
      </c>
      <c r="S109" s="36" t="s">
        <v>7</v>
      </c>
    </row>
  </sheetData>
  <mergeCells count="1">
    <mergeCell ref="A10:S10"/>
  </mergeCells>
  <printOptions gridLinesSet="0"/>
  <pageMargins left="0.5" right="0.5" top="0.5" bottom="0.55000000000000004" header="0.5" footer="0.5"/>
  <pageSetup scale="52" orientation="landscape" horizontalDpi="2400" verticalDpi="2400" r:id="rId1"/>
  <headerFooter alignWithMargins="0">
    <oddFooter>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27</vt:i4>
      </vt:variant>
    </vt:vector>
  </HeadingPairs>
  <TitlesOfParts>
    <vt:vector size="42" baseType="lpstr">
      <vt:lpstr>MD 410 Inlet Drainage Calcs</vt:lpstr>
      <vt:lpstr>Rationals-MCDOT</vt:lpstr>
      <vt:lpstr>Inlet Spacing_10-yr</vt:lpstr>
      <vt:lpstr>10 Yr Pipe Capacity</vt:lpstr>
      <vt:lpstr>25 Yr SHA Pipe Capacity</vt:lpstr>
      <vt:lpstr> 10 Yr MoCo HGL</vt:lpstr>
      <vt:lpstr>25 Yr SHA HGL</vt:lpstr>
      <vt:lpstr>SHA Intensity</vt:lpstr>
      <vt:lpstr>MoCoIntensity</vt:lpstr>
      <vt:lpstr>Kb Values MoCo</vt:lpstr>
      <vt:lpstr>Pipe Properties</vt:lpstr>
      <vt:lpstr>HGL 25-yr</vt:lpstr>
      <vt:lpstr>TABLES</vt:lpstr>
      <vt:lpstr>Intensity</vt:lpstr>
      <vt:lpstr>Inlet Spacing_2-yr</vt:lpstr>
      <vt:lpstr>'Inlet Spacing_10-yr'!\0</vt:lpstr>
      <vt:lpstr>'Inlet Spacing_2-yr'!\0</vt:lpstr>
      <vt:lpstr>'MD 410 Inlet Drainage Calcs'!\0</vt:lpstr>
      <vt:lpstr>'Inlet Spacing_10-yr'!\c</vt:lpstr>
      <vt:lpstr>'Inlet Spacing_2-yr'!\c</vt:lpstr>
      <vt:lpstr>'MD 410 Inlet Drainage Calcs'!\c</vt:lpstr>
      <vt:lpstr>'Inlet Spacing_10-yr'!\e</vt:lpstr>
      <vt:lpstr>'Inlet Spacing_2-yr'!\e</vt:lpstr>
      <vt:lpstr>'MD 410 Inlet Drainage Calcs'!\e</vt:lpstr>
      <vt:lpstr>'Inlet Spacing_10-yr'!\p</vt:lpstr>
      <vt:lpstr>'Inlet Spacing_2-yr'!\p</vt:lpstr>
      <vt:lpstr>'MD 410 Inlet Drainage Calcs'!\p</vt:lpstr>
      <vt:lpstr>'Inlet Spacing_10-yr'!\r</vt:lpstr>
      <vt:lpstr>'Inlet Spacing_2-yr'!\r</vt:lpstr>
      <vt:lpstr>'MD 410 Inlet Drainage Calcs'!\r</vt:lpstr>
      <vt:lpstr>' 10 Yr MoCo HGL'!Print_Area</vt:lpstr>
      <vt:lpstr>'10 Yr Pipe Capacity'!Print_Area</vt:lpstr>
      <vt:lpstr>'25 Yr SHA HGL'!Print_Area</vt:lpstr>
      <vt:lpstr>'25 Yr SHA Pipe Capacity'!Print_Area</vt:lpstr>
      <vt:lpstr>'HGL 25-yr'!Print_Area</vt:lpstr>
      <vt:lpstr>'Inlet Spacing_10-yr'!Print_Area</vt:lpstr>
      <vt:lpstr>'Inlet Spacing_2-yr'!Print_Area</vt:lpstr>
      <vt:lpstr>'MD 410 Inlet Drainage Calcs'!Print_Area</vt:lpstr>
      <vt:lpstr>'Rationals-MCDOT'!Print_Area</vt:lpstr>
      <vt:lpstr>'Inlet Spacing_10-yr'!Print_Area_MI</vt:lpstr>
      <vt:lpstr>'Inlet Spacing_2-yr'!Print_Area_MI</vt:lpstr>
      <vt:lpstr>'MD 410 Inlet Drainage Calcs'!Print_Area_MI</vt:lpstr>
    </vt:vector>
  </TitlesOfParts>
  <Company>A. Morton Thomas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FAGYEI</dc:creator>
  <cp:lastModifiedBy>Khiem Nguyen</cp:lastModifiedBy>
  <cp:lastPrinted>2026-03-10T18:11:37Z</cp:lastPrinted>
  <dcterms:created xsi:type="dcterms:W3CDTF">2000-02-07T17:04:14Z</dcterms:created>
  <dcterms:modified xsi:type="dcterms:W3CDTF">2026-09-10T05:39:44Z</dcterms:modified>
</cp:coreProperties>
</file>